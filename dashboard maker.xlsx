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0a7782c1559b1d9/Desktop/"/>
    </mc:Choice>
  </mc:AlternateContent>
  <xr:revisionPtr revIDLastSave="26" documentId="14_{92ACFD9C-11A1-4C1A-800B-6DC4FEFF081E}" xr6:coauthVersionLast="47" xr6:coauthVersionMax="47" xr10:uidLastSave="{CE1E6933-44EA-427D-82E0-F847BB6BDBDF}"/>
  <bookViews>
    <workbookView xWindow="-108" yWindow="-108" windowWidth="23256" windowHeight="13896" activeTab="3" xr2:uid="{03D61491-24C1-44E9-A173-950FB8FD88EE}"/>
  </bookViews>
  <sheets>
    <sheet name="Coffe_sales" sheetId="1" r:id="rId1"/>
    <sheet name="Sheet7" sheetId="9" r:id="rId2"/>
    <sheet name="Sheet2" sheetId="3" r:id="rId3"/>
    <sheet name="Sheet8" sheetId="10" r:id="rId4"/>
  </sheets>
  <definedNames>
    <definedName name="_xlnm._FilterDatabase" localSheetId="0" hidden="1">Coffe_sales!$P$1:$P$3548</definedName>
    <definedName name="_xlchart.v2.0" hidden="1">Sheet8!$A$54:$A$66</definedName>
    <definedName name="_xlchart.v2.1" hidden="1">Sheet8!$B$54:$B$66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Z2" i="1"/>
  <c r="V2" i="1"/>
  <c r="U2" i="1"/>
  <c r="T2" i="1"/>
  <c r="S2" i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2" i="1"/>
  <c r="O2" i="1"/>
  <c r="M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/>
  <c r="N210" i="1" a="1"/>
  <c r="N210" i="1" s="1"/>
  <c r="N211" i="1" a="1"/>
  <c r="N211" i="1" s="1"/>
  <c r="N212" i="1" a="1"/>
  <c r="N212" i="1" s="1"/>
  <c r="N213" i="1" a="1"/>
  <c r="N213" i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/>
  <c r="N371" i="1" a="1"/>
  <c r="N371" i="1" s="1"/>
  <c r="N372" i="1" a="1"/>
  <c r="N372" i="1" s="1"/>
  <c r="N373" i="1" a="1"/>
  <c r="N373" i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/>
  <c r="N442" i="1" a="1"/>
  <c r="N442" i="1"/>
  <c r="N443" i="1" a="1"/>
  <c r="N443" i="1" s="1"/>
  <c r="N444" i="1" a="1"/>
  <c r="N444" i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/>
  <c r="N565" i="1" a="1"/>
  <c r="N565" i="1" s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/>
  <c r="N603" i="1" a="1"/>
  <c r="N603" i="1" s="1"/>
  <c r="N604" i="1" a="1"/>
  <c r="N604" i="1" s="1"/>
  <c r="N605" i="1" a="1"/>
  <c r="N605" i="1" s="1"/>
  <c r="N606" i="1" a="1"/>
  <c r="N606" i="1" s="1"/>
  <c r="N607" i="1" a="1"/>
  <c r="N607" i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/>
  <c r="N649" i="1" a="1"/>
  <c r="N649" i="1" s="1"/>
  <c r="N650" i="1" a="1"/>
  <c r="N650" i="1" s="1"/>
  <c r="N651" i="1" a="1"/>
  <c r="N651" i="1" s="1"/>
  <c r="N652" i="1" a="1"/>
  <c r="N652" i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/>
  <c r="N705" i="1" a="1"/>
  <c r="N705" i="1" s="1"/>
  <c r="N706" i="1" a="1"/>
  <c r="N706" i="1" s="1"/>
  <c r="N707" i="1" a="1"/>
  <c r="N707" i="1" s="1"/>
  <c r="N708" i="1" a="1"/>
  <c r="N708" i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/>
  <c r="N1044" i="1" a="1"/>
  <c r="N1044" i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/>
  <c r="N1061" i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 s="1"/>
  <c r="N1083" i="1" a="1"/>
  <c r="N1083" i="1"/>
  <c r="N1084" i="1" a="1"/>
  <c r="N1084" i="1" s="1"/>
  <c r="N1085" i="1" a="1"/>
  <c r="N1085" i="1" s="1"/>
  <c r="N1086" i="1" a="1"/>
  <c r="N1086" i="1"/>
  <c r="N1087" i="1" a="1"/>
  <c r="N1087" i="1" s="1"/>
  <c r="N1088" i="1" a="1"/>
  <c r="N1088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/>
  <c r="N1115" i="1" a="1"/>
  <c r="N1115" i="1" s="1"/>
  <c r="N1116" i="1" a="1"/>
  <c r="N1116" i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/>
  <c r="N1174" i="1" a="1"/>
  <c r="N1174" i="1" s="1"/>
  <c r="N1175" i="1" a="1"/>
  <c r="N1175" i="1" s="1"/>
  <c r="N1176" i="1" a="1"/>
  <c r="N1176" i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/>
  <c r="N1287" i="1" a="1"/>
  <c r="N1287" i="1" s="1"/>
  <c r="N1288" i="1" a="1"/>
  <c r="N1288" i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/>
  <c r="N1314" i="1" a="1"/>
  <c r="N1314" i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/>
  <c r="N1332" i="1" a="1"/>
  <c r="N1332" i="1" s="1"/>
  <c r="N1333" i="1" a="1"/>
  <c r="N1333" i="1" s="1"/>
  <c r="N1334" i="1" a="1"/>
  <c r="N1334" i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/>
  <c r="N1429" i="1" a="1"/>
  <c r="N1429" i="1" s="1"/>
  <c r="N1430" i="1" a="1"/>
  <c r="N1430" i="1" s="1"/>
  <c r="N1431" i="1" a="1"/>
  <c r="N1431" i="1"/>
  <c r="N1432" i="1" a="1"/>
  <c r="N1432" i="1"/>
  <c r="N1433" i="1" a="1"/>
  <c r="N1433" i="1" s="1"/>
  <c r="N1434" i="1" a="1"/>
  <c r="N1434" i="1" s="1"/>
  <c r="N1435" i="1" a="1"/>
  <c r="N1435" i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 s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/>
  <c r="N1738" i="1" a="1"/>
  <c r="N1738" i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/>
  <c r="N1763" i="1" a="1"/>
  <c r="N1763" i="1" s="1"/>
  <c r="N1764" i="1" a="1"/>
  <c r="N1764" i="1" s="1"/>
  <c r="N1765" i="1" a="1"/>
  <c r="N1765" i="1" s="1"/>
  <c r="N1766" i="1" a="1"/>
  <c r="N1766" i="1" s="1"/>
  <c r="N1767" i="1" a="1"/>
  <c r="N1767" i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 s="1"/>
  <c r="N1783" i="1" a="1"/>
  <c r="N1783" i="1" s="1"/>
  <c r="N1784" i="1" a="1"/>
  <c r="N1784" i="1" s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/>
  <c r="N1800" i="1" a="1"/>
  <c r="N1800" i="1" s="1"/>
  <c r="N1801" i="1" a="1"/>
  <c r="N1801" i="1" s="1"/>
  <c r="N1802" i="1" a="1"/>
  <c r="N1802" i="1" s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/>
  <c r="N1810" i="1" a="1"/>
  <c r="N1810" i="1" s="1"/>
  <c r="N1811" i="1" a="1"/>
  <c r="N1811" i="1" s="1"/>
  <c r="N1812" i="1" a="1"/>
  <c r="N1812" i="1" s="1"/>
  <c r="N1813" i="1" a="1"/>
  <c r="N1813" i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/>
  <c r="N1836" i="1" a="1"/>
  <c r="N1836" i="1" s="1"/>
  <c r="N1837" i="1" a="1"/>
  <c r="N1837" i="1" s="1"/>
  <c r="N1838" i="1" a="1"/>
  <c r="N1838" i="1" s="1"/>
  <c r="N1839" i="1" a="1"/>
  <c r="N1839" i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/>
  <c r="N1866" i="1" a="1"/>
  <c r="N1866" i="1" s="1"/>
  <c r="N1867" i="1" a="1"/>
  <c r="N1867" i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/>
  <c r="N1889" i="1" a="1"/>
  <c r="N1889" i="1" s="1"/>
  <c r="N1890" i="1" a="1"/>
  <c r="N1890" i="1" s="1"/>
  <c r="N1891" i="1" a="1"/>
  <c r="N1891" i="1"/>
  <c r="N1892" i="1" a="1"/>
  <c r="N1892" i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/>
  <c r="N1926" i="1" a="1"/>
  <c r="N1926" i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/>
  <c r="N1940" i="1" a="1"/>
  <c r="N1940" i="1"/>
  <c r="N1941" i="1" a="1"/>
  <c r="N1941" i="1" s="1"/>
  <c r="N1942" i="1" a="1"/>
  <c r="N1942" i="1" s="1"/>
  <c r="N1943" i="1" a="1"/>
  <c r="N1943" i="1" s="1"/>
  <c r="N1944" i="1" a="1"/>
  <c r="N1944" i="1" s="1"/>
  <c r="N1945" i="1" a="1"/>
  <c r="N1945" i="1" s="1"/>
  <c r="N1946" i="1" a="1"/>
  <c r="N1946" i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/>
  <c r="N1970" i="1" a="1"/>
  <c r="N1970" i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/>
  <c r="N1976" i="1" a="1"/>
  <c r="N1976" i="1" s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 s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/>
  <c r="N2007" i="1" a="1"/>
  <c r="N2007" i="1" s="1"/>
  <c r="N2008" i="1" a="1"/>
  <c r="N2008" i="1"/>
  <c r="N2009" i="1" a="1"/>
  <c r="N2009" i="1" s="1"/>
  <c r="N2010" i="1" a="1"/>
  <c r="N2010" i="1" s="1"/>
  <c r="N2011" i="1" a="1"/>
  <c r="N2011" i="1" s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 s="1"/>
  <c r="N2017" i="1" a="1"/>
  <c r="N2017" i="1" s="1"/>
  <c r="N2018" i="1" a="1"/>
  <c r="N2018" i="1" s="1"/>
  <c r="N2019" i="1" a="1"/>
  <c r="N2019" i="1" s="1"/>
  <c r="N2020" i="1" a="1"/>
  <c r="N2020" i="1" s="1"/>
  <c r="N2021" i="1" a="1"/>
  <c r="N2021" i="1" s="1"/>
  <c r="N2022" i="1" a="1"/>
  <c r="N2022" i="1" s="1"/>
  <c r="N2023" i="1" a="1"/>
  <c r="N2023" i="1" s="1"/>
  <c r="N2024" i="1" a="1"/>
  <c r="N2024" i="1"/>
  <c r="N2025" i="1" a="1"/>
  <c r="N2025" i="1" s="1"/>
  <c r="N2026" i="1" a="1"/>
  <c r="N2026" i="1" s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 s="1"/>
  <c r="N2032" i="1" a="1"/>
  <c r="N2032" i="1" s="1"/>
  <c r="N2033" i="1" a="1"/>
  <c r="N2033" i="1" s="1"/>
  <c r="N2034" i="1" a="1"/>
  <c r="N2034" i="1" s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/>
  <c r="N2048" i="1" a="1"/>
  <c r="N2048" i="1" s="1"/>
  <c r="N2049" i="1" a="1"/>
  <c r="N2049" i="1" s="1"/>
  <c r="N2050" i="1" a="1"/>
  <c r="N2050" i="1" s="1"/>
  <c r="N2051" i="1" a="1"/>
  <c r="N2051" i="1" s="1"/>
  <c r="N2052" i="1" a="1"/>
  <c r="N2052" i="1"/>
  <c r="N2053" i="1" a="1"/>
  <c r="N2053" i="1" s="1"/>
  <c r="N2054" i="1" a="1"/>
  <c r="N2054" i="1" s="1"/>
  <c r="N2055" i="1" a="1"/>
  <c r="N2055" i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66" i="1" a="1"/>
  <c r="N2066" i="1" s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 s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/>
  <c r="N2081" i="1" a="1"/>
  <c r="N2081" i="1" s="1"/>
  <c r="N2082" i="1" a="1"/>
  <c r="N2082" i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 s="1"/>
  <c r="N2130" i="1" a="1"/>
  <c r="N2130" i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 s="1"/>
  <c r="N2139" i="1" a="1"/>
  <c r="N2139" i="1" s="1"/>
  <c r="N2140" i="1" a="1"/>
  <c r="N2140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 s="1"/>
  <c r="N2148" i="1" a="1"/>
  <c r="N2148" i="1" s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/>
  <c r="N2154" i="1" a="1"/>
  <c r="N2154" i="1" s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 s="1"/>
  <c r="N2161" i="1" a="1"/>
  <c r="N2161" i="1" s="1"/>
  <c r="N2162" i="1" a="1"/>
  <c r="N2162" i="1" s="1"/>
  <c r="N2163" i="1" a="1"/>
  <c r="N2163" i="1" s="1"/>
  <c r="N2164" i="1" a="1"/>
  <c r="N2164" i="1" s="1"/>
  <c r="N2165" i="1" a="1"/>
  <c r="N2165" i="1" s="1"/>
  <c r="N2166" i="1" a="1"/>
  <c r="N2166" i="1" s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 s="1"/>
  <c r="N2191" i="1" a="1"/>
  <c r="N2191" i="1" s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 s="1"/>
  <c r="N2201" i="1" a="1"/>
  <c r="N2201" i="1" s="1"/>
  <c r="N2202" i="1" a="1"/>
  <c r="N2202" i="1" s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 s="1"/>
  <c r="N2226" i="1" a="1"/>
  <c r="N2226" i="1" s="1"/>
  <c r="N2227" i="1" a="1"/>
  <c r="N2227" i="1" s="1"/>
  <c r="N2228" i="1" a="1"/>
  <c r="N2228" i="1" s="1"/>
  <c r="N2229" i="1" a="1"/>
  <c r="N2229" i="1" s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 s="1"/>
  <c r="N2235" i="1" a="1"/>
  <c r="N2235" i="1" s="1"/>
  <c r="N2236" i="1" a="1"/>
  <c r="N2236" i="1" s="1"/>
  <c r="N2237" i="1" a="1"/>
  <c r="N2237" i="1" s="1"/>
  <c r="N2238" i="1" a="1"/>
  <c r="N2238" i="1" s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 s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 s="1"/>
  <c r="N2292" i="1" a="1"/>
  <c r="N2292" i="1" s="1"/>
  <c r="N2293" i="1" a="1"/>
  <c r="N2293" i="1" s="1"/>
  <c r="N2294" i="1" a="1"/>
  <c r="N2294" i="1" s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 s="1"/>
  <c r="N2300" i="1" a="1"/>
  <c r="N2300" i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 s="1"/>
  <c r="N2313" i="1" a="1"/>
  <c r="N2313" i="1"/>
  <c r="N2314" i="1" a="1"/>
  <c r="N2314" i="1" s="1"/>
  <c r="N2315" i="1" a="1"/>
  <c r="N2315" i="1" s="1"/>
  <c r="N2316" i="1" a="1"/>
  <c r="N2316" i="1" s="1"/>
  <c r="N2317" i="1" a="1"/>
  <c r="N2317" i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/>
  <c r="N2338" i="1" a="1"/>
  <c r="N2338" i="1" s="1"/>
  <c r="N2339" i="1" a="1"/>
  <c r="N2339" i="1" s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 s="1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 s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/>
  <c r="N2367" i="1" a="1"/>
  <c r="N2367" i="1" s="1"/>
  <c r="N2368" i="1" a="1"/>
  <c r="N2368" i="1" s="1"/>
  <c r="N2369" i="1" a="1"/>
  <c r="N2369" i="1" s="1"/>
  <c r="N2370" i="1" a="1"/>
  <c r="N2370" i="1" s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/>
  <c r="N2385" i="1" a="1"/>
  <c r="N2385" i="1" s="1"/>
  <c r="N2386" i="1" a="1"/>
  <c r="N2386" i="1"/>
  <c r="N2387" i="1" a="1"/>
  <c r="N2387" i="1" s="1"/>
  <c r="N2388" i="1" a="1"/>
  <c r="N2388" i="1" s="1"/>
  <c r="N2389" i="1" a="1"/>
  <c r="N2389" i="1" s="1"/>
  <c r="N2390" i="1" a="1"/>
  <c r="N2390" i="1" s="1"/>
  <c r="N2391" i="1" a="1"/>
  <c r="N2391" i="1" s="1"/>
  <c r="N2392" i="1" a="1"/>
  <c r="N2392" i="1" s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 s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 s="1"/>
  <c r="N2434" i="1" a="1"/>
  <c r="N2434" i="1" s="1"/>
  <c r="N2435" i="1" a="1"/>
  <c r="N2435" i="1" s="1"/>
  <c r="N2436" i="1" a="1"/>
  <c r="N2436" i="1" s="1"/>
  <c r="N2437" i="1" a="1"/>
  <c r="N2437" i="1" s="1"/>
  <c r="N2438" i="1" a="1"/>
  <c r="N2438" i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 s="1"/>
  <c r="N2447" i="1" a="1"/>
  <c r="N2447" i="1" s="1"/>
  <c r="N2448" i="1" a="1"/>
  <c r="N2448" i="1" s="1"/>
  <c r="N2449" i="1" a="1"/>
  <c r="N2449" i="1" s="1"/>
  <c r="N2450" i="1" a="1"/>
  <c r="N2450" i="1" s="1"/>
  <c r="N2451" i="1" a="1"/>
  <c r="N2451" i="1" s="1"/>
  <c r="N2452" i="1" a="1"/>
  <c r="N2452" i="1" s="1"/>
  <c r="N2453" i="1" a="1"/>
  <c r="N2453" i="1" s="1"/>
  <c r="N2454" i="1" a="1"/>
  <c r="N2454" i="1" s="1"/>
  <c r="N2455" i="1" a="1"/>
  <c r="N2455" i="1" s="1"/>
  <c r="N2456" i="1" a="1"/>
  <c r="N2456" i="1" s="1"/>
  <c r="N2457" i="1" a="1"/>
  <c r="N2457" i="1" s="1"/>
  <c r="N2458" i="1" a="1"/>
  <c r="N2458" i="1" s="1"/>
  <c r="N2459" i="1" a="1"/>
  <c r="N2459" i="1" s="1"/>
  <c r="N2460" i="1" a="1"/>
  <c r="N2460" i="1"/>
  <c r="N2461" i="1" a="1"/>
  <c r="N2461" i="1" s="1"/>
  <c r="N2462" i="1" a="1"/>
  <c r="N2462" i="1" s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 s="1"/>
  <c r="N2468" i="1" a="1"/>
  <c r="N2468" i="1"/>
  <c r="N2469" i="1" a="1"/>
  <c r="N2469" i="1" s="1"/>
  <c r="N2470" i="1" a="1"/>
  <c r="N2470" i="1" s="1"/>
  <c r="N2471" i="1" a="1"/>
  <c r="N2471" i="1" s="1"/>
  <c r="N2472" i="1" a="1"/>
  <c r="N2472" i="1" s="1"/>
  <c r="N2473" i="1" a="1"/>
  <c r="N2473" i="1" s="1"/>
  <c r="N2474" i="1" a="1"/>
  <c r="N2474" i="1" s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 s="1"/>
  <c r="N2482" i="1" a="1"/>
  <c r="N2482" i="1" s="1"/>
  <c r="N2483" i="1" a="1"/>
  <c r="N2483" i="1" s="1"/>
  <c r="N2484" i="1" a="1"/>
  <c r="N2484" i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 s="1"/>
  <c r="N2498" i="1" a="1"/>
  <c r="N2498" i="1" s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 s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 s="1"/>
  <c r="N2532" i="1" a="1"/>
  <c r="N2532" i="1" s="1"/>
  <c r="N2533" i="1" a="1"/>
  <c r="N2533" i="1" s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 s="1"/>
  <c r="N2554" i="1" a="1"/>
  <c r="N2554" i="1" s="1"/>
  <c r="N2555" i="1" a="1"/>
  <c r="N2555" i="1" s="1"/>
  <c r="N2556" i="1" a="1"/>
  <c r="N2556" i="1" s="1"/>
  <c r="N2557" i="1" a="1"/>
  <c r="N2557" i="1" s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/>
  <c r="N2583" i="1" a="1"/>
  <c r="N2583" i="1" s="1"/>
  <c r="N2584" i="1" a="1"/>
  <c r="N2584" i="1" s="1"/>
  <c r="N2585" i="1" a="1"/>
  <c r="N2585" i="1" s="1"/>
  <c r="N2586" i="1" a="1"/>
  <c r="N2586" i="1" s="1"/>
  <c r="N2587" i="1" a="1"/>
  <c r="N2587" i="1" s="1"/>
  <c r="N2588" i="1" a="1"/>
  <c r="N2588" i="1" s="1"/>
  <c r="N2589" i="1" a="1"/>
  <c r="N2589" i="1" s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 s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 s="1"/>
  <c r="N2606" i="1" a="1"/>
  <c r="N2606" i="1" s="1"/>
  <c r="N2607" i="1" a="1"/>
  <c r="N2607" i="1" s="1"/>
  <c r="N2608" i="1" a="1"/>
  <c r="N2608" i="1" s="1"/>
  <c r="N2609" i="1" a="1"/>
  <c r="N2609" i="1" s="1"/>
  <c r="N2610" i="1" a="1"/>
  <c r="N2610" i="1" s="1"/>
  <c r="N2611" i="1" a="1"/>
  <c r="N2611" i="1" s="1"/>
  <c r="N2612" i="1" a="1"/>
  <c r="N2612" i="1" s="1"/>
  <c r="N2613" i="1" a="1"/>
  <c r="N2613" i="1" s="1"/>
  <c r="N2614" i="1" a="1"/>
  <c r="N2614" i="1" s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 s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 s="1"/>
  <c r="N2635" i="1" a="1"/>
  <c r="N2635" i="1" s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 s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 s="1"/>
  <c r="N2659" i="1" a="1"/>
  <c r="N2659" i="1" s="1"/>
  <c r="N2660" i="1" a="1"/>
  <c r="N2660" i="1" s="1"/>
  <c r="N2661" i="1" a="1"/>
  <c r="N2661" i="1" s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 s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 s="1"/>
  <c r="N2683" i="1" a="1"/>
  <c r="N2683" i="1" s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 s="1"/>
  <c r="N2690" i="1" a="1"/>
  <c r="N2690" i="1" s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 s="1"/>
  <c r="N2706" i="1" a="1"/>
  <c r="N2706" i="1" s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 s="1"/>
  <c r="N2715" i="1" a="1"/>
  <c r="N2715" i="1" s="1"/>
  <c r="N2716" i="1" a="1"/>
  <c r="N2716" i="1" s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 s="1"/>
  <c r="N2724" i="1" a="1"/>
  <c r="N2724" i="1" s="1"/>
  <c r="N2725" i="1" a="1"/>
  <c r="N2725" i="1" s="1"/>
  <c r="N2726" i="1" a="1"/>
  <c r="N2726" i="1" s="1"/>
  <c r="N2727" i="1" a="1"/>
  <c r="N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N2733" i="1" a="1"/>
  <c r="N2733" i="1" s="1"/>
  <c r="N2734" i="1" a="1"/>
  <c r="N2734" i="1" s="1"/>
  <c r="N2735" i="1" a="1"/>
  <c r="N2735" i="1" s="1"/>
  <c r="N2736" i="1" a="1"/>
  <c r="N2736" i="1" s="1"/>
  <c r="N2737" i="1" a="1"/>
  <c r="N2737" i="1" s="1"/>
  <c r="N2738" i="1" a="1"/>
  <c r="N2738" i="1" s="1"/>
  <c r="N2739" i="1" a="1"/>
  <c r="N2739" i="1" s="1"/>
  <c r="N2740" i="1" a="1"/>
  <c r="N2740" i="1" s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/>
  <c r="N2753" i="1" a="1"/>
  <c r="N2753" i="1" s="1"/>
  <c r="N2754" i="1" a="1"/>
  <c r="N2754" i="1" s="1"/>
  <c r="N2755" i="1" a="1"/>
  <c r="N2755" i="1" s="1"/>
  <c r="N2756" i="1" a="1"/>
  <c r="N2756" i="1" s="1"/>
  <c r="N2757" i="1" a="1"/>
  <c r="N2757" i="1" s="1"/>
  <c r="N2758" i="1" a="1"/>
  <c r="N2758" i="1" s="1"/>
  <c r="N2759" i="1" a="1"/>
  <c r="N2759" i="1" s="1"/>
  <c r="N2760" i="1" a="1"/>
  <c r="N2760" i="1" s="1"/>
  <c r="N2761" i="1" a="1"/>
  <c r="N2761" i="1" s="1"/>
  <c r="N2762" i="1" a="1"/>
  <c r="N2762" i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/>
  <c r="N2770" i="1" a="1"/>
  <c r="N2770" i="1" s="1"/>
  <c r="N2771" i="1" a="1"/>
  <c r="N2771" i="1" s="1"/>
  <c r="N2772" i="1" a="1"/>
  <c r="N2772" i="1" s="1"/>
  <c r="N2773" i="1" a="1"/>
  <c r="N2773" i="1"/>
  <c r="N2774" i="1" a="1"/>
  <c r="N2774" i="1" s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 s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 s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/>
  <c r="N2800" i="1" a="1"/>
  <c r="N2800" i="1" s="1"/>
  <c r="N2801" i="1" a="1"/>
  <c r="N2801" i="1" s="1"/>
  <c r="N2802" i="1" a="1"/>
  <c r="N2802" i="1" s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 s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 s="1"/>
  <c r="N2834" i="1" a="1"/>
  <c r="N2834" i="1" s="1"/>
  <c r="N2835" i="1" a="1"/>
  <c r="N2835" i="1" s="1"/>
  <c r="N2836" i="1" a="1"/>
  <c r="N2836" i="1" s="1"/>
  <c r="N2837" i="1" a="1"/>
  <c r="N2837" i="1"/>
  <c r="N2838" i="1" a="1"/>
  <c r="N2838" i="1" s="1"/>
  <c r="N2839" i="1" a="1"/>
  <c r="N2839" i="1" s="1"/>
  <c r="N2840" i="1" a="1"/>
  <c r="N2840" i="1" s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 s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 s="1"/>
  <c r="N2857" i="1" a="1"/>
  <c r="N2857" i="1"/>
  <c r="N2858" i="1" a="1"/>
  <c r="N2858" i="1" s="1"/>
  <c r="N2859" i="1" a="1"/>
  <c r="N2859" i="1" s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/>
  <c r="N2872" i="1" a="1"/>
  <c r="N2872" i="1" s="1"/>
  <c r="N2873" i="1" a="1"/>
  <c r="N2873" i="1" s="1"/>
  <c r="N2874" i="1" a="1"/>
  <c r="N2874" i="1" s="1"/>
  <c r="N2875" i="1" a="1"/>
  <c r="N2875" i="1"/>
  <c r="N2876" i="1" a="1"/>
  <c r="N2876" i="1" s="1"/>
  <c r="N2877" i="1" a="1"/>
  <c r="N2877" i="1" s="1"/>
  <c r="N2878" i="1" a="1"/>
  <c r="N2878" i="1" s="1"/>
  <c r="N2879" i="1" a="1"/>
  <c r="N2879" i="1" s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 s="1"/>
  <c r="N2886" i="1" a="1"/>
  <c r="N2886" i="1" s="1"/>
  <c r="N2887" i="1" a="1"/>
  <c r="N2887" i="1" s="1"/>
  <c r="N2888" i="1" a="1"/>
  <c r="N2888" i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/>
  <c r="N2897" i="1" a="1"/>
  <c r="N2897" i="1"/>
  <c r="N2898" i="1" a="1"/>
  <c r="N2898" i="1" s="1"/>
  <c r="N2899" i="1" a="1"/>
  <c r="N2899" i="1" s="1"/>
  <c r="N2900" i="1" a="1"/>
  <c r="N2900" i="1" s="1"/>
  <c r="N2901" i="1" a="1"/>
  <c r="N2901" i="1" s="1"/>
  <c r="N2902" i="1" a="1"/>
  <c r="N2902" i="1" s="1"/>
  <c r="N2903" i="1" a="1"/>
  <c r="N2903" i="1"/>
  <c r="N2904" i="1" a="1"/>
  <c r="N2904" i="1" s="1"/>
  <c r="N2905" i="1" a="1"/>
  <c r="N2905" i="1" s="1"/>
  <c r="N2906" i="1" a="1"/>
  <c r="N2906" i="1" s="1"/>
  <c r="N2907" i="1" a="1"/>
  <c r="N2907" i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 s="1"/>
  <c r="N2913" i="1" a="1"/>
  <c r="N2913" i="1" s="1"/>
  <c r="N2914" i="1" a="1"/>
  <c r="N2914" i="1" s="1"/>
  <c r="N2915" i="1" a="1"/>
  <c r="N2915" i="1"/>
  <c r="N2916" i="1" a="1"/>
  <c r="N2916" i="1" s="1"/>
  <c r="N2917" i="1" a="1"/>
  <c r="N2917" i="1" s="1"/>
  <c r="N2918" i="1" a="1"/>
  <c r="N2918" i="1"/>
  <c r="N2919" i="1" a="1"/>
  <c r="N2919" i="1" s="1"/>
  <c r="N2920" i="1" a="1"/>
  <c r="N2920" i="1" s="1"/>
  <c r="N2921" i="1" a="1"/>
  <c r="N2921" i="1" s="1"/>
  <c r="N2922" i="1" a="1"/>
  <c r="N2922" i="1" s="1"/>
  <c r="N2923" i="1" a="1"/>
  <c r="N2923" i="1" s="1"/>
  <c r="N2924" i="1" a="1"/>
  <c r="N2924" i="1"/>
  <c r="N2925" i="1" a="1"/>
  <c r="N2925" i="1"/>
  <c r="N2926" i="1" a="1"/>
  <c r="N2926" i="1" s="1"/>
  <c r="N2927" i="1" a="1"/>
  <c r="N2927" i="1" s="1"/>
  <c r="N2928" i="1" a="1"/>
  <c r="N2928" i="1" s="1"/>
  <c r="N2929" i="1" a="1"/>
  <c r="N2929" i="1" s="1"/>
  <c r="N2930" i="1" a="1"/>
  <c r="N2930" i="1" s="1"/>
  <c r="N2931" i="1" a="1"/>
  <c r="N2931" i="1" s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/>
  <c r="N2937" i="1" a="1"/>
  <c r="N2937" i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 s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 s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 s="1"/>
  <c r="N2962" i="1" a="1"/>
  <c r="N2962" i="1" s="1"/>
  <c r="N2963" i="1" a="1"/>
  <c r="N2963" i="1" s="1"/>
  <c r="N2964" i="1" a="1"/>
  <c r="N2964" i="1"/>
  <c r="N2965" i="1" a="1"/>
  <c r="N2965" i="1" s="1"/>
  <c r="N2966" i="1" a="1"/>
  <c r="N2966" i="1" s="1"/>
  <c r="N2967" i="1" a="1"/>
  <c r="N2967" i="1" s="1"/>
  <c r="N2968" i="1" a="1"/>
  <c r="N2968" i="1" s="1"/>
  <c r="N2969" i="1" a="1"/>
  <c r="N2969" i="1" s="1"/>
  <c r="N2970" i="1" a="1"/>
  <c r="N2970" i="1" s="1"/>
  <c r="N2971" i="1" a="1"/>
  <c r="N2971" i="1" s="1"/>
  <c r="N2972" i="1" a="1"/>
  <c r="N2972" i="1" s="1"/>
  <c r="N2973" i="1" a="1"/>
  <c r="N2973" i="1"/>
  <c r="N2974" i="1" a="1"/>
  <c r="N2974" i="1" s="1"/>
  <c r="N2975" i="1" a="1"/>
  <c r="N2975" i="1"/>
  <c r="N2976" i="1" a="1"/>
  <c r="N2976" i="1" s="1"/>
  <c r="N2977" i="1" a="1"/>
  <c r="N2977" i="1" s="1"/>
  <c r="N2978" i="1" a="1"/>
  <c r="N2978" i="1" s="1"/>
  <c r="N2979" i="1" a="1"/>
  <c r="N2979" i="1" s="1"/>
  <c r="N2980" i="1" a="1"/>
  <c r="N2980" i="1" s="1"/>
  <c r="N2981" i="1" a="1"/>
  <c r="N2981" i="1" s="1"/>
  <c r="N2982" i="1" a="1"/>
  <c r="N2982" i="1" s="1"/>
  <c r="N2983" i="1" a="1"/>
  <c r="N2983" i="1" s="1"/>
  <c r="N2984" i="1" a="1"/>
  <c r="N2984" i="1" s="1"/>
  <c r="N2985" i="1" a="1"/>
  <c r="N2985" i="1" s="1"/>
  <c r="N2986" i="1" a="1"/>
  <c r="N2986" i="1" s="1"/>
  <c r="N2987" i="1" a="1"/>
  <c r="N2987" i="1"/>
  <c r="N2988" i="1" a="1"/>
  <c r="N2988" i="1" s="1"/>
  <c r="N2989" i="1" a="1"/>
  <c r="N2989" i="1" s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 s="1"/>
  <c r="N3000" i="1" a="1"/>
  <c r="N3000" i="1" s="1"/>
  <c r="N3001" i="1" a="1"/>
  <c r="N3001" i="1" s="1"/>
  <c r="N3002" i="1" a="1"/>
  <c r="N3002" i="1" s="1"/>
  <c r="N3003" i="1" a="1"/>
  <c r="N3003" i="1" s="1"/>
  <c r="N3004" i="1" a="1"/>
  <c r="N3004" i="1" s="1"/>
  <c r="N3005" i="1" a="1"/>
  <c r="N3005" i="1" s="1"/>
  <c r="N3006" i="1" a="1"/>
  <c r="N3006" i="1" s="1"/>
  <c r="N3007" i="1" a="1"/>
  <c r="N3007" i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 s="1"/>
  <c r="N3013" i="1" a="1"/>
  <c r="N3013" i="1"/>
  <c r="N3014" i="1" a="1"/>
  <c r="N3014" i="1" s="1"/>
  <c r="N3015" i="1" a="1"/>
  <c r="N3015" i="1" s="1"/>
  <c r="N3016" i="1" a="1"/>
  <c r="N3016" i="1"/>
  <c r="N3017" i="1" a="1"/>
  <c r="N3017" i="1" s="1"/>
  <c r="N3018" i="1" a="1"/>
  <c r="N3018" i="1" s="1"/>
  <c r="N3019" i="1" a="1"/>
  <c r="N3019" i="1" s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 s="1"/>
  <c r="N3025" i="1" a="1"/>
  <c r="N3025" i="1" s="1"/>
  <c r="N3026" i="1" a="1"/>
  <c r="N3026" i="1" s="1"/>
  <c r="N3027" i="1" a="1"/>
  <c r="N3027" i="1" s="1"/>
  <c r="N3028" i="1" a="1"/>
  <c r="N3028" i="1" s="1"/>
  <c r="N3029" i="1" a="1"/>
  <c r="N3029" i="1" s="1"/>
  <c r="N3030" i="1" a="1"/>
  <c r="N3030" i="1" s="1"/>
  <c r="N3031" i="1" a="1"/>
  <c r="N3031" i="1" s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 s="1"/>
  <c r="N3037" i="1" a="1"/>
  <c r="N3037" i="1" s="1"/>
  <c r="N3038" i="1" a="1"/>
  <c r="N3038" i="1"/>
  <c r="N3039" i="1" a="1"/>
  <c r="N3039" i="1" s="1"/>
  <c r="N3040" i="1" a="1"/>
  <c r="N3040" i="1"/>
  <c r="N3041" i="1" a="1"/>
  <c r="N3041" i="1"/>
  <c r="N3042" i="1" a="1"/>
  <c r="N3042" i="1" s="1"/>
  <c r="N3043" i="1" a="1"/>
  <c r="N3043" i="1" s="1"/>
  <c r="N3044" i="1" a="1"/>
  <c r="N3044" i="1" s="1"/>
  <c r="N3045" i="1" a="1"/>
  <c r="N3045" i="1" s="1"/>
  <c r="N3046" i="1" a="1"/>
  <c r="N3046" i="1" s="1"/>
  <c r="N3047" i="1" a="1"/>
  <c r="N3047" i="1" s="1"/>
  <c r="N3048" i="1" a="1"/>
  <c r="N3048" i="1" s="1"/>
  <c r="N3049" i="1" a="1"/>
  <c r="N3049" i="1" s="1"/>
  <c r="N3050" i="1" a="1"/>
  <c r="N3050" i="1" s="1"/>
  <c r="N3051" i="1" a="1"/>
  <c r="N3051" i="1" s="1"/>
  <c r="N3052" i="1" a="1"/>
  <c r="N3052" i="1" s="1"/>
  <c r="N3053" i="1" a="1"/>
  <c r="N3053" i="1" s="1"/>
  <c r="N3054" i="1" a="1"/>
  <c r="N3054" i="1" s="1"/>
  <c r="N3055" i="1" a="1"/>
  <c r="N3055" i="1" s="1"/>
  <c r="N3056" i="1" a="1"/>
  <c r="N3056" i="1" s="1"/>
  <c r="N3057" i="1" a="1"/>
  <c r="N3057" i="1" s="1"/>
  <c r="N3058" i="1" a="1"/>
  <c r="N3058" i="1" s="1"/>
  <c r="N3059" i="1" a="1"/>
  <c r="N3059" i="1" s="1"/>
  <c r="N3060" i="1" a="1"/>
  <c r="N3060" i="1" s="1"/>
  <c r="N3061" i="1" a="1"/>
  <c r="N3061" i="1" s="1"/>
  <c r="N3062" i="1" a="1"/>
  <c r="N3062" i="1" s="1"/>
  <c r="N3063" i="1" a="1"/>
  <c r="N3063" i="1" s="1"/>
  <c r="N3064" i="1" a="1"/>
  <c r="N3064" i="1" s="1"/>
  <c r="N3065" i="1" a="1"/>
  <c r="N3065" i="1" s="1"/>
  <c r="N3066" i="1" a="1"/>
  <c r="N3066" i="1" s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/>
  <c r="N3073" i="1" a="1"/>
  <c r="N3073" i="1" s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 s="1"/>
  <c r="N3079" i="1" a="1"/>
  <c r="N3079" i="1" s="1"/>
  <c r="N3080" i="1" a="1"/>
  <c r="N3080" i="1"/>
  <c r="N3081" i="1" a="1"/>
  <c r="N3081" i="1" s="1"/>
  <c r="N3082" i="1" a="1"/>
  <c r="N3082" i="1" s="1"/>
  <c r="N3083" i="1" a="1"/>
  <c r="N3083" i="1" s="1"/>
  <c r="N3084" i="1" a="1"/>
  <c r="N3084" i="1" s="1"/>
  <c r="N3085" i="1" a="1"/>
  <c r="N3085" i="1" s="1"/>
  <c r="N3086" i="1" a="1"/>
  <c r="N3086" i="1" s="1"/>
  <c r="N3087" i="1" a="1"/>
  <c r="N3087" i="1"/>
  <c r="N3088" i="1" a="1"/>
  <c r="N3088" i="1" s="1"/>
  <c r="N3089" i="1" a="1"/>
  <c r="N3089" i="1" s="1"/>
  <c r="N3090" i="1" a="1"/>
  <c r="N3090" i="1" s="1"/>
  <c r="N3091" i="1" a="1"/>
  <c r="N3091" i="1" s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 s="1"/>
  <c r="N3097" i="1" a="1"/>
  <c r="N3097" i="1" s="1"/>
  <c r="N3098" i="1" a="1"/>
  <c r="N3098" i="1" s="1"/>
  <c r="N3099" i="1" a="1"/>
  <c r="N3099" i="1" s="1"/>
  <c r="N3100" i="1" a="1"/>
  <c r="N3100" i="1" s="1"/>
  <c r="N3101" i="1" a="1"/>
  <c r="N3101" i="1" s="1"/>
  <c r="N3102" i="1" a="1"/>
  <c r="N3102" i="1" s="1"/>
  <c r="N3103" i="1" a="1"/>
  <c r="N3103" i="1" s="1"/>
  <c r="N3104" i="1" a="1"/>
  <c r="N3104" i="1" s="1"/>
  <c r="N3105" i="1" a="1"/>
  <c r="N3105" i="1" s="1"/>
  <c r="N3106" i="1" a="1"/>
  <c r="N3106" i="1" s="1"/>
  <c r="N3107" i="1" a="1"/>
  <c r="N3107" i="1" s="1"/>
  <c r="N3108" i="1" a="1"/>
  <c r="N3108" i="1" s="1"/>
  <c r="N3109" i="1" a="1"/>
  <c r="N3109" i="1" s="1"/>
  <c r="N3110" i="1" a="1"/>
  <c r="N3110" i="1" s="1"/>
  <c r="N3111" i="1" a="1"/>
  <c r="N3111" i="1" s="1"/>
  <c r="N3112" i="1" a="1"/>
  <c r="N3112" i="1" s="1"/>
  <c r="N3113" i="1" a="1"/>
  <c r="N3113" i="1" s="1"/>
  <c r="N3114" i="1" a="1"/>
  <c r="N3114" i="1" s="1"/>
  <c r="N3115" i="1" a="1"/>
  <c r="N3115" i="1"/>
  <c r="N3116" i="1" a="1"/>
  <c r="N3116" i="1" s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 s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 s="1"/>
  <c r="N3127" i="1" a="1"/>
  <c r="N3127" i="1"/>
  <c r="N3128" i="1" a="1"/>
  <c r="N3128" i="1" s="1"/>
  <c r="N3129" i="1" a="1"/>
  <c r="N3129" i="1" s="1"/>
  <c r="N3130" i="1" a="1"/>
  <c r="N3130" i="1" s="1"/>
  <c r="N3131" i="1" a="1"/>
  <c r="N3131" i="1" s="1"/>
  <c r="N3132" i="1" a="1"/>
  <c r="N3132" i="1" s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 s="1"/>
  <c r="N3139" i="1" a="1"/>
  <c r="N3139" i="1" s="1"/>
  <c r="N3140" i="1" a="1"/>
  <c r="N3140" i="1" s="1"/>
  <c r="N3141" i="1" a="1"/>
  <c r="N3141" i="1" s="1"/>
  <c r="N3142" i="1" a="1"/>
  <c r="N3142" i="1" s="1"/>
  <c r="N3143" i="1" a="1"/>
  <c r="N3143" i="1" s="1"/>
  <c r="N3144" i="1" a="1"/>
  <c r="N3144" i="1" s="1"/>
  <c r="N3145" i="1" a="1"/>
  <c r="N3145" i="1" s="1"/>
  <c r="N3146" i="1" a="1"/>
  <c r="N3146" i="1" s="1"/>
  <c r="N3147" i="1" a="1"/>
  <c r="N3147" i="1" s="1"/>
  <c r="N3148" i="1" a="1"/>
  <c r="N3148" i="1" s="1"/>
  <c r="N3149" i="1" a="1"/>
  <c r="N3149" i="1" s="1"/>
  <c r="N3150" i="1" a="1"/>
  <c r="N3150" i="1" s="1"/>
  <c r="N3151" i="1" a="1"/>
  <c r="N3151" i="1" s="1"/>
  <c r="N3152" i="1" a="1"/>
  <c r="N3152" i="1" s="1"/>
  <c r="N3153" i="1" a="1"/>
  <c r="N3153" i="1"/>
  <c r="N3154" i="1" a="1"/>
  <c r="N3154" i="1" s="1"/>
  <c r="N3155" i="1" a="1"/>
  <c r="N3155" i="1" s="1"/>
  <c r="N3156" i="1" a="1"/>
  <c r="N3156" i="1" s="1"/>
  <c r="N3157" i="1" a="1"/>
  <c r="N3157" i="1" s="1"/>
  <c r="N3158" i="1" a="1"/>
  <c r="N3158" i="1" s="1"/>
  <c r="N3159" i="1" a="1"/>
  <c r="N3159" i="1" s="1"/>
  <c r="N3160" i="1" a="1"/>
  <c r="N3160" i="1" s="1"/>
  <c r="N3161" i="1" a="1"/>
  <c r="N3161" i="1" s="1"/>
  <c r="N3162" i="1" a="1"/>
  <c r="N3162" i="1" s="1"/>
  <c r="N3163" i="1" a="1"/>
  <c r="N3163" i="1" s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 s="1"/>
  <c r="N3170" i="1" a="1"/>
  <c r="N3170" i="1" s="1"/>
  <c r="N3171" i="1" a="1"/>
  <c r="N3171" i="1" s="1"/>
  <c r="N3172" i="1" a="1"/>
  <c r="N3172" i="1" s="1"/>
  <c r="N3173" i="1" a="1"/>
  <c r="N3173" i="1" s="1"/>
  <c r="N3174" i="1" a="1"/>
  <c r="N3174" i="1"/>
  <c r="N3175" i="1" a="1"/>
  <c r="N3175" i="1"/>
  <c r="N3176" i="1" a="1"/>
  <c r="N3176" i="1" s="1"/>
  <c r="N3177" i="1" a="1"/>
  <c r="N3177" i="1" s="1"/>
  <c r="N3178" i="1" a="1"/>
  <c r="N3178" i="1" s="1"/>
  <c r="N3179" i="1" a="1"/>
  <c r="N3179" i="1" s="1"/>
  <c r="N3180" i="1" a="1"/>
  <c r="N3180" i="1" s="1"/>
  <c r="N3181" i="1" a="1"/>
  <c r="N3181" i="1" s="1"/>
  <c r="N3182" i="1" a="1"/>
  <c r="N3182" i="1" s="1"/>
  <c r="N3183" i="1" a="1"/>
  <c r="N3183" i="1" s="1"/>
  <c r="N3184" i="1" a="1"/>
  <c r="N3184" i="1" s="1"/>
  <c r="N3185" i="1" a="1"/>
  <c r="N3185" i="1" s="1"/>
  <c r="N3186" i="1" a="1"/>
  <c r="N3186" i="1" s="1"/>
  <c r="N3187" i="1" a="1"/>
  <c r="N3187" i="1" s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 s="1"/>
  <c r="N3194" i="1" a="1"/>
  <c r="N3194" i="1" s="1"/>
  <c r="N3195" i="1" a="1"/>
  <c r="N3195" i="1" s="1"/>
  <c r="N3196" i="1" a="1"/>
  <c r="N3196" i="1" s="1"/>
  <c r="N3197" i="1" a="1"/>
  <c r="N3197" i="1" s="1"/>
  <c r="N3198" i="1" a="1"/>
  <c r="N3198" i="1" s="1"/>
  <c r="N3199" i="1" a="1"/>
  <c r="N3199" i="1" s="1"/>
  <c r="N3200" i="1" a="1"/>
  <c r="N3200" i="1" s="1"/>
  <c r="N3201" i="1" a="1"/>
  <c r="N3201" i="1"/>
  <c r="N3202" i="1" a="1"/>
  <c r="N3202" i="1" s="1"/>
  <c r="N3203" i="1" a="1"/>
  <c r="N3203" i="1" s="1"/>
  <c r="N3204" i="1" a="1"/>
  <c r="N3204" i="1" s="1"/>
  <c r="N3205" i="1" a="1"/>
  <c r="N3205" i="1" s="1"/>
  <c r="N3206" i="1" a="1"/>
  <c r="N3206" i="1" s="1"/>
  <c r="N3207" i="1" a="1"/>
  <c r="N3207" i="1" s="1"/>
  <c r="N3208" i="1" a="1"/>
  <c r="N3208" i="1" s="1"/>
  <c r="N3209" i="1" a="1"/>
  <c r="N3209" i="1" s="1"/>
  <c r="N3210" i="1" a="1"/>
  <c r="N3210" i="1" s="1"/>
  <c r="N3211" i="1" a="1"/>
  <c r="N3211" i="1" s="1"/>
  <c r="N3212" i="1" a="1"/>
  <c r="N3212" i="1" s="1"/>
  <c r="N3213" i="1" a="1"/>
  <c r="N3213" i="1" s="1"/>
  <c r="N3214" i="1" a="1"/>
  <c r="N3214" i="1" s="1"/>
  <c r="N3215" i="1" a="1"/>
  <c r="N3215" i="1" s="1"/>
  <c r="N3216" i="1" a="1"/>
  <c r="N3216" i="1" s="1"/>
  <c r="N3217" i="1" a="1"/>
  <c r="N3217" i="1" s="1"/>
  <c r="N3218" i="1" a="1"/>
  <c r="N3218" i="1" s="1"/>
  <c r="N3219" i="1" a="1"/>
  <c r="N3219" i="1" s="1"/>
  <c r="N3220" i="1" a="1"/>
  <c r="N3220" i="1" s="1"/>
  <c r="N3221" i="1" a="1"/>
  <c r="N3221" i="1" s="1"/>
  <c r="N3222" i="1" a="1"/>
  <c r="N3222" i="1" s="1"/>
  <c r="N3223" i="1" a="1"/>
  <c r="N3223" i="1" s="1"/>
  <c r="N3224" i="1" a="1"/>
  <c r="N3224" i="1" s="1"/>
  <c r="N3225" i="1" a="1"/>
  <c r="N3225" i="1" s="1"/>
  <c r="N3226" i="1" a="1"/>
  <c r="N3226" i="1" s="1"/>
  <c r="N3227" i="1" a="1"/>
  <c r="N3227" i="1" s="1"/>
  <c r="N3228" i="1" a="1"/>
  <c r="N3228" i="1" s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 s="1"/>
  <c r="N3235" i="1" a="1"/>
  <c r="N3235" i="1" s="1"/>
  <c r="N3236" i="1" a="1"/>
  <c r="N3236" i="1"/>
  <c r="N3237" i="1" a="1"/>
  <c r="N3237" i="1" s="1"/>
  <c r="N3238" i="1" a="1"/>
  <c r="N3238" i="1" s="1"/>
  <c r="N3239" i="1" a="1"/>
  <c r="N3239" i="1"/>
  <c r="N3240" i="1" a="1"/>
  <c r="N3240" i="1"/>
  <c r="N3241" i="1" a="1"/>
  <c r="N3241" i="1" s="1"/>
  <c r="N3242" i="1" a="1"/>
  <c r="N3242" i="1" s="1"/>
  <c r="N3243" i="1" a="1"/>
  <c r="N3243" i="1" s="1"/>
  <c r="N3244" i="1" a="1"/>
  <c r="N3244" i="1" s="1"/>
  <c r="N3245" i="1" a="1"/>
  <c r="N3245" i="1" s="1"/>
  <c r="N3246" i="1" a="1"/>
  <c r="N3246" i="1" s="1"/>
  <c r="N3247" i="1" a="1"/>
  <c r="N3247" i="1" s="1"/>
  <c r="N3248" i="1" a="1"/>
  <c r="N3248" i="1" s="1"/>
  <c r="N3249" i="1" a="1"/>
  <c r="N3249" i="1" s="1"/>
  <c r="N3250" i="1" a="1"/>
  <c r="N3250" i="1" s="1"/>
  <c r="N3251" i="1" a="1"/>
  <c r="N3251" i="1" s="1"/>
  <c r="N3252" i="1" a="1"/>
  <c r="N3252" i="1" s="1"/>
  <c r="N3253" i="1" a="1"/>
  <c r="N3253" i="1" s="1"/>
  <c r="N3254" i="1" a="1"/>
  <c r="N3254" i="1" s="1"/>
  <c r="N3255" i="1" a="1"/>
  <c r="N3255" i="1" s="1"/>
  <c r="N3256" i="1" a="1"/>
  <c r="N3256" i="1" s="1"/>
  <c r="N3257" i="1" a="1"/>
  <c r="N3257" i="1" s="1"/>
  <c r="N3258" i="1" a="1"/>
  <c r="N3258" i="1" s="1"/>
  <c r="N3259" i="1" a="1"/>
  <c r="N3259" i="1" s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 s="1"/>
  <c r="N3266" i="1" a="1"/>
  <c r="N3266" i="1" s="1"/>
  <c r="N3267" i="1" a="1"/>
  <c r="N3267" i="1" s="1"/>
  <c r="N3268" i="1" a="1"/>
  <c r="N3268" i="1" s="1"/>
  <c r="N3269" i="1" a="1"/>
  <c r="N3269" i="1" s="1"/>
  <c r="N3270" i="1" a="1"/>
  <c r="N3270" i="1" s="1"/>
  <c r="N3271" i="1" a="1"/>
  <c r="N3271" i="1" s="1"/>
  <c r="N3272" i="1" a="1"/>
  <c r="N3272" i="1" s="1"/>
  <c r="N3273" i="1" a="1"/>
  <c r="N3273" i="1" s="1"/>
  <c r="N3274" i="1" a="1"/>
  <c r="N3274" i="1"/>
  <c r="N3275" i="1" a="1"/>
  <c r="N3275" i="1"/>
  <c r="N3276" i="1" a="1"/>
  <c r="N3276" i="1" s="1"/>
  <c r="N3277" i="1" a="1"/>
  <c r="N3277" i="1" s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 s="1"/>
  <c r="N3287" i="1" a="1"/>
  <c r="N3287" i="1" s="1"/>
  <c r="N3288" i="1" a="1"/>
  <c r="N3288" i="1" s="1"/>
  <c r="N3289" i="1" a="1"/>
  <c r="N3289" i="1" s="1"/>
  <c r="N3290" i="1" a="1"/>
  <c r="N3290" i="1" s="1"/>
  <c r="N3291" i="1" a="1"/>
  <c r="N3291" i="1" s="1"/>
  <c r="N3292" i="1" a="1"/>
  <c r="N3292" i="1" s="1"/>
  <c r="N3293" i="1" a="1"/>
  <c r="N3293" i="1" s="1"/>
  <c r="N3294" i="1" a="1"/>
  <c r="N3294" i="1" s="1"/>
  <c r="N3295" i="1" a="1"/>
  <c r="N3295" i="1" s="1"/>
  <c r="N3296" i="1" a="1"/>
  <c r="N3296" i="1" s="1"/>
  <c r="N3297" i="1" a="1"/>
  <c r="N3297" i="1" s="1"/>
  <c r="N3298" i="1" a="1"/>
  <c r="N3298" i="1" s="1"/>
  <c r="N3299" i="1" a="1"/>
  <c r="N3299" i="1" s="1"/>
  <c r="N3300" i="1" a="1"/>
  <c r="N3300" i="1" s="1"/>
  <c r="N3301" i="1" a="1"/>
  <c r="N3301" i="1" s="1"/>
  <c r="N3302" i="1" a="1"/>
  <c r="N3302" i="1" s="1"/>
  <c r="N3303" i="1" a="1"/>
  <c r="N3303" i="1" s="1"/>
  <c r="N3304" i="1" a="1"/>
  <c r="N3304" i="1" s="1"/>
  <c r="N3305" i="1" a="1"/>
  <c r="N3305" i="1" s="1"/>
  <c r="N3306" i="1" a="1"/>
  <c r="N3306" i="1"/>
  <c r="N3307" i="1" a="1"/>
  <c r="N3307" i="1" s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 s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/>
  <c r="N3324" i="1" a="1"/>
  <c r="N3324" i="1" s="1"/>
  <c r="N3325" i="1" a="1"/>
  <c r="N3325" i="1" s="1"/>
  <c r="N3326" i="1" a="1"/>
  <c r="N3326" i="1" s="1"/>
  <c r="N3327" i="1" a="1"/>
  <c r="N3327" i="1" s="1"/>
  <c r="N3328" i="1" a="1"/>
  <c r="N3328" i="1" s="1"/>
  <c r="N3329" i="1" a="1"/>
  <c r="N3329" i="1" s="1"/>
  <c r="N3330" i="1" a="1"/>
  <c r="N3330" i="1" s="1"/>
  <c r="N3331" i="1" a="1"/>
  <c r="N3331" i="1" s="1"/>
  <c r="N3332" i="1" a="1"/>
  <c r="N3332" i="1" s="1"/>
  <c r="N3333" i="1" a="1"/>
  <c r="N3333" i="1" s="1"/>
  <c r="N3334" i="1" a="1"/>
  <c r="N3334" i="1" s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 s="1"/>
  <c r="N3340" i="1" a="1"/>
  <c r="N3340" i="1" s="1"/>
  <c r="N3341" i="1" a="1"/>
  <c r="N3341" i="1" s="1"/>
  <c r="N3342" i="1" a="1"/>
  <c r="N3342" i="1" s="1"/>
  <c r="N3343" i="1" a="1"/>
  <c r="N3343" i="1" s="1"/>
  <c r="N3344" i="1" a="1"/>
  <c r="N3344" i="1" s="1"/>
  <c r="N3345" i="1" a="1"/>
  <c r="N3345" i="1" s="1"/>
  <c r="N3346" i="1" a="1"/>
  <c r="N3346" i="1" s="1"/>
  <c r="N3347" i="1" a="1"/>
  <c r="N3347" i="1" s="1"/>
  <c r="N3348" i="1" a="1"/>
  <c r="N3348" i="1" s="1"/>
  <c r="N3349" i="1" a="1"/>
  <c r="N3349" i="1" s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 s="1"/>
  <c r="N3356" i="1" a="1"/>
  <c r="N3356" i="1" s="1"/>
  <c r="N3357" i="1" a="1"/>
  <c r="N3357" i="1" s="1"/>
  <c r="N3358" i="1" a="1"/>
  <c r="N3358" i="1" s="1"/>
  <c r="N3359" i="1" a="1"/>
  <c r="N3359" i="1" s="1"/>
  <c r="N3360" i="1" a="1"/>
  <c r="N3360" i="1" s="1"/>
  <c r="N3361" i="1" a="1"/>
  <c r="N3361" i="1" s="1"/>
  <c r="N3362" i="1" a="1"/>
  <c r="N3362" i="1" s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 s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/>
  <c r="N3373" i="1" a="1"/>
  <c r="N3373" i="1" s="1"/>
  <c r="N3374" i="1" a="1"/>
  <c r="N3374" i="1" s="1"/>
  <c r="N3375" i="1" a="1"/>
  <c r="N3375" i="1" s="1"/>
  <c r="N3376" i="1" a="1"/>
  <c r="N3376" i="1" s="1"/>
  <c r="N3377" i="1" a="1"/>
  <c r="N3377" i="1" s="1"/>
  <c r="N3378" i="1" a="1"/>
  <c r="N3378" i="1" s="1"/>
  <c r="N3379" i="1" a="1"/>
  <c r="N3379" i="1"/>
  <c r="N3380" i="1" a="1"/>
  <c r="N3380" i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 s="1"/>
  <c r="N3386" i="1" a="1"/>
  <c r="N3386" i="1" s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 s="1"/>
  <c r="N3397" i="1" a="1"/>
  <c r="N3397" i="1" s="1"/>
  <c r="N3398" i="1" a="1"/>
  <c r="N3398" i="1" s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 s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 s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 s="1"/>
  <c r="N3420" i="1" a="1"/>
  <c r="N3420" i="1" s="1"/>
  <c r="N3421" i="1" a="1"/>
  <c r="N3421" i="1"/>
  <c r="N3422" i="1" a="1"/>
  <c r="N3422" i="1" s="1"/>
  <c r="N3423" i="1" a="1"/>
  <c r="N3423" i="1" s="1"/>
  <c r="N3424" i="1" a="1"/>
  <c r="N3424" i="1" s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/>
  <c r="N3430" i="1" a="1"/>
  <c r="N3430" i="1" s="1"/>
  <c r="N3431" i="1" a="1"/>
  <c r="N3431" i="1" s="1"/>
  <c r="N3432" i="1" a="1"/>
  <c r="N3432" i="1" s="1"/>
  <c r="N3433" i="1" a="1"/>
  <c r="N3433" i="1" s="1"/>
  <c r="N3434" i="1" a="1"/>
  <c r="N3434" i="1" s="1"/>
  <c r="N3435" i="1" a="1"/>
  <c r="N3435" i="1"/>
  <c r="N3436" i="1" a="1"/>
  <c r="N3436" i="1" s="1"/>
  <c r="N3437" i="1" a="1"/>
  <c r="N3437" i="1" s="1"/>
  <c r="N3438" i="1" a="1"/>
  <c r="N3438" i="1" s="1"/>
  <c r="N3439" i="1" a="1"/>
  <c r="N3439" i="1" s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 s="1"/>
  <c r="N3457" i="1" a="1"/>
  <c r="N3457" i="1" s="1"/>
  <c r="N3458" i="1" a="1"/>
  <c r="N3458" i="1" s="1"/>
  <c r="N3459" i="1" a="1"/>
  <c r="N3459" i="1" s="1"/>
  <c r="N3460" i="1" a="1"/>
  <c r="N3460" i="1" s="1"/>
  <c r="N3461" i="1" a="1"/>
  <c r="N3461" i="1" s="1"/>
  <c r="N3462" i="1" a="1"/>
  <c r="N3462" i="1" s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 s="1"/>
  <c r="N3468" i="1" a="1"/>
  <c r="N3468" i="1" s="1"/>
  <c r="N3469" i="1" a="1"/>
  <c r="N3469" i="1" s="1"/>
  <c r="N3470" i="1" a="1"/>
  <c r="N3470" i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 s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 s="1"/>
  <c r="N3484" i="1" a="1"/>
  <c r="N3484" i="1" s="1"/>
  <c r="N3485" i="1" a="1"/>
  <c r="N3485" i="1" s="1"/>
  <c r="N3486" i="1" a="1"/>
  <c r="N3486" i="1" s="1"/>
  <c r="N3487" i="1" a="1"/>
  <c r="N3487" i="1" s="1"/>
  <c r="N3488" i="1" a="1"/>
  <c r="N3488" i="1" s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 s="1"/>
  <c r="N3494" i="1" a="1"/>
  <c r="N3494" i="1" s="1"/>
  <c r="N3495" i="1" a="1"/>
  <c r="N3495" i="1" s="1"/>
  <c r="N3496" i="1" a="1"/>
  <c r="N3496" i="1" s="1"/>
  <c r="N3497" i="1" a="1"/>
  <c r="N3497" i="1" s="1"/>
  <c r="N3498" i="1" a="1"/>
  <c r="N3498" i="1" s="1"/>
  <c r="N3499" i="1" a="1"/>
  <c r="N3499" i="1" s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 s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 s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 s="1"/>
  <c r="N3518" i="1" a="1"/>
  <c r="N3518" i="1" s="1"/>
  <c r="N3519" i="1" a="1"/>
  <c r="N3519" i="1" s="1"/>
  <c r="N3520" i="1" a="1"/>
  <c r="N3520" i="1" s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 s="1"/>
  <c r="N3526" i="1" a="1"/>
  <c r="N3526" i="1" s="1"/>
  <c r="N3527" i="1" a="1"/>
  <c r="N3527" i="1" s="1"/>
  <c r="N3528" i="1" a="1"/>
  <c r="N3528" i="1" s="1"/>
  <c r="N3529" i="1" a="1"/>
  <c r="N3529" i="1" s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 s="1"/>
  <c r="N3535" i="1" a="1"/>
  <c r="N3535" i="1" s="1"/>
  <c r="N3536" i="1" a="1"/>
  <c r="N3536" i="1" s="1"/>
  <c r="N3537" i="1" a="1"/>
  <c r="N3537" i="1" s="1"/>
  <c r="N3538" i="1" a="1"/>
  <c r="N3538" i="1" s="1"/>
  <c r="N3539" i="1" a="1"/>
  <c r="N3539" i="1" s="1"/>
  <c r="N3540" i="1" a="1"/>
  <c r="N3540" i="1" s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 s="1"/>
  <c r="N3548" i="1" a="1"/>
  <c r="N3548" i="1" s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B17" i="3" a="1"/>
  <c r="B17" i="3" s="1"/>
  <c r="B8" i="3"/>
  <c r="B7" i="3"/>
  <c r="B5" i="3"/>
  <c r="B4" i="3"/>
  <c r="B3" i="3"/>
  <c r="B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<sst xmlns="http://schemas.openxmlformats.org/spreadsheetml/2006/main" count="17872" uniqueCount="73">
  <si>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</si>
  <si>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</si>
  <si>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</si>
  <si>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</si>
  <si>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</si>
  <si>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</si>
  <si>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</si>
  <si>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</si>
  <si>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</si>
  <si>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</si>
  <si>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</si>
  <si>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</si>
  <si>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</si>
  <si>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</si>
  <si>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</si>
  <si>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</si>
  <si>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</si>
  <si>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</si>
  <si>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</si>
  <si>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</si>
  <si>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</si>
  <si>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</si>
  <si>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</si>
  <si>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</si>
  <si>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</si>
  <si>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</si>
  <si>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</si>
  <si>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</si>
  <si>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</si>
  <si>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</si>
  <si>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</si>
  <si>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</si>
  <si>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</si>
  <si>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</si>
  <si>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</si>
  <si>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</si>
  <si>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</si>
  <si>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</si>
  <si>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</si>
  <si>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</si>
  <si>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</si>
  <si>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</si>
  <si>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Functions</t>
  </si>
  <si>
    <t>Sum</t>
  </si>
  <si>
    <t>AVG</t>
  </si>
  <si>
    <t>MIN</t>
  </si>
  <si>
    <t>MAX</t>
  </si>
  <si>
    <t>Count</t>
  </si>
  <si>
    <t>Counta</t>
  </si>
  <si>
    <t>Column1</t>
  </si>
  <si>
    <t>Formulas</t>
  </si>
  <si>
    <t>IF</t>
  </si>
  <si>
    <t>IF +AND</t>
  </si>
  <si>
    <t>IF +OR</t>
  </si>
  <si>
    <t>IFS</t>
  </si>
  <si>
    <t>COUNTIF</t>
  </si>
  <si>
    <t>SUMIF</t>
  </si>
  <si>
    <t>UNIQUE</t>
  </si>
  <si>
    <t>COUNTIFS</t>
  </si>
  <si>
    <t>Column2</t>
  </si>
  <si>
    <t>IF+OR</t>
  </si>
  <si>
    <t>SUMIFS</t>
  </si>
  <si>
    <t>AVERAGEIF</t>
  </si>
  <si>
    <t>AVERAGEIFS</t>
  </si>
  <si>
    <t>VLOOKUP</t>
  </si>
  <si>
    <t>XLOOKUP</t>
  </si>
  <si>
    <t>Row Labels</t>
  </si>
  <si>
    <t>Grand Total</t>
  </si>
  <si>
    <t>Sum of money</t>
  </si>
  <si>
    <t>Count of coffee_name</t>
  </si>
  <si>
    <t>Count of cash_type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</si>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</sst>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29" formatCode="mm:ss.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Sheet8!$A$2:$A$10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Sheet8!$B$2:$B$10</c:f>
              <c:numCache>
                <c:formatCode>General</c:formatCode>
                <c:ptCount val="8"/>
                <c:pt idx="0">
                  <c:v>14650.259999999824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8521.1600000000381</c:v>
                </c:pt>
                <c:pt idx="4">
                  <c:v>7384.8600000000097</c:v>
                </c:pt>
                <c:pt idx="5">
                  <c:v>2690.2799999999938</c:v>
                </c:pt>
                <c:pt idx="6">
                  <c:v>9933.4600000000464</c:v>
                </c:pt>
                <c:pt idx="7">
                  <c:v>26875.299999999501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3-40A0-A40F-BC0FB48EC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8692335"/>
        <c:axId val="812950223"/>
      </c:barChart>
      <c:catAx>
        <c:axId val="122869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50223"/>
        <c:crosses val="autoZero"/>
        <c:auto val="1"/>
        <c:lblAlgn val="ctr"/>
        <c:lblOffset val="100"/>
        <c:noMultiLvlLbl val="0"/>
      </c:catAx>
      <c:valAx>
        <c:axId val="81295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Sheet8!$A$14:$A$31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Sheet8!$B$14:$B$31</c:f>
              <c:numCache>
                <c:formatCode>General</c:formatCode>
                <c:ptCount val="17"/>
                <c:pt idx="0">
                  <c:v>149.4</c:v>
                </c:pt>
                <c:pt idx="1">
                  <c:v>2846.0200000000032</c:v>
                </c:pt>
                <c:pt idx="2">
                  <c:v>7017.8800000000074</c:v>
                </c:pt>
                <c:pt idx="3">
                  <c:v>7264.2800000000052</c:v>
                </c:pt>
                <c:pt idx="4">
                  <c:v>10198.519999999991</c:v>
                </c:pt>
                <c:pt idx="5">
                  <c:v>8453.1000000000076</c:v>
                </c:pt>
                <c:pt idx="6">
                  <c:v>7419.6200000000117</c:v>
                </c:pt>
                <c:pt idx="7">
                  <c:v>7028.760000000013</c:v>
                </c:pt>
                <c:pt idx="8">
                  <c:v>7173.8000000000175</c:v>
                </c:pt>
                <c:pt idx="9">
                  <c:v>7476.0200000000195</c:v>
                </c:pt>
                <c:pt idx="10">
                  <c:v>9031.8400000000238</c:v>
                </c:pt>
                <c:pt idx="11">
                  <c:v>7659.760000000013</c:v>
                </c:pt>
                <c:pt idx="12">
                  <c:v>7162.6000000000176</c:v>
                </c:pt>
                <c:pt idx="13">
                  <c:v>7751.9600000000155</c:v>
                </c:pt>
                <c:pt idx="14">
                  <c:v>5578.9200000000155</c:v>
                </c:pt>
                <c:pt idx="15">
                  <c:v>6397.9400000000169</c:v>
                </c:pt>
                <c:pt idx="16">
                  <c:v>3635.160000000008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2-4847-BAA6-3DD86CCB9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50703"/>
        <c:axId val="1230972143"/>
      </c:lineChart>
      <c:catAx>
        <c:axId val="4385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72143"/>
        <c:crosses val="autoZero"/>
        <c:auto val="1"/>
        <c:lblAlgn val="ctr"/>
        <c:lblOffset val="100"/>
        <c:noMultiLvlLbl val="0"/>
      </c:catAx>
      <c:valAx>
        <c:axId val="12309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Sheet8!$A$34:$A$37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Sheet8!$B$34:$B$37</c:f>
              <c:numCache>
                <c:formatCode>General</c:formatCode>
                <c:ptCount val="3"/>
                <c:pt idx="0">
                  <c:v>38130.039999999637</c:v>
                </c:pt>
                <c:pt idx="1">
                  <c:v>35929.199999999742</c:v>
                </c:pt>
                <c:pt idx="2">
                  <c:v>38186.339999999633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6-4E5F-B606-6BEB3F31A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8335"/>
        <c:axId val="812957423"/>
      </c:barChart>
      <c:catAx>
        <c:axId val="438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57423"/>
        <c:crosses val="autoZero"/>
        <c:auto val="1"/>
        <c:lblAlgn val="ctr"/>
        <c:lblOffset val="100"/>
        <c:noMultiLvlLbl val="0"/>
      </c:catAx>
      <c:valAx>
        <c:axId val="81295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Sheet8!$B$42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Sheet8!$A$43:$A$50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Sheet8!$B$43:$B$50</c:f>
              <c:numCache>
                <c:formatCode>General</c:formatCode>
                <c:ptCount val="7"/>
                <c:pt idx="0">
                  <c:v>13336.060000000019</c:v>
                </c:pt>
                <c:pt idx="1">
                  <c:v>17363.099999999977</c:v>
                </c:pt>
                <c:pt idx="2">
                  <c:v>18168.379999999957</c:v>
                </c:pt>
                <c:pt idx="3">
                  <c:v>15750.459999999994</c:v>
                </c:pt>
                <c:pt idx="4">
                  <c:v>16091.400000000001</c:v>
                </c:pt>
                <c:pt idx="5">
                  <c:v>16802.659999999971</c:v>
                </c:pt>
                <c:pt idx="6">
                  <c:v>14733.519999999995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0-4E66-AA41-79365D28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11679"/>
        <c:axId val="812933903"/>
      </c:radarChart>
      <c:catAx>
        <c:axId val="15391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33903"/>
        <c:crosses val="autoZero"/>
        <c:auto val="1"/>
        <c:lblAlgn val="ctr"/>
        <c:lblOffset val="100"/>
        <c:noMultiLvlLbl val="0"/>
      </c:catAx>
      <c:valAx>
        <c:axId val="8129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Sheet8!$A$69:$A$70</c:f>
              <c:strCache>
                <c:ptCount val="1"/>
                <c:pt idx="0">
                  <c:v>card</c:v>
                </c:pt>
              </c:strCache>
            </c:strRef>
          </c:cat>
          <c:val>
            <c:numRef>
              <c:f>Sheet8!$B$69:$B$70</c:f>
              <c:numCache>
                <c:formatCode>General</c:formatCode>
                <c:ptCount val="1"/>
                <c:pt idx="0">
                  <c:v>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2-40F6-8432-FF84A1689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30287"/>
        <c:axId val="1230951023"/>
      </c:barChart>
      <c:catAx>
        <c:axId val="4383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51023"/>
        <c:crosses val="autoZero"/>
        <c:auto val="1"/>
        <c:lblAlgn val="ctr"/>
        <c:lblOffset val="100"/>
        <c:noMultiLvlLbl val="0"/>
      </c:catAx>
      <c:valAx>
        <c:axId val="123095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vvvv.xlsx]Sheet8!PivotTable15</c:name>
    <c:fmtId val="0"/>
  </c:pivotSource>
  <c:chart>
    <c:title>
      <c:layout>
        <c:manualLayout>
          <c:xMode val="edge"/>
          <c:yMode val="edge"/>
          <c:x val="0.44244902079547749"/>
          <c:y val="0.14035391802439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Sheet8!$B$76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49-46E7-9F48-CC5B3569A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49-46E7-9F48-CC5B3569A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49-46E7-9F48-CC5B3569A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49-46E7-9F48-CC5B3569A8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49-46E7-9F48-CC5B3569A8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49-46E7-9F48-CC5B3569A8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49-46E7-9F48-CC5B3569A8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49-46E7-9F48-CC5B3569A8EE}"/>
              </c:ext>
            </c:extLst>
          </c:dPt>
          <c:cat>
            <c:strRef>
              <c:f>Sheet8!$A$77:$A$85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Sheet8!$B$77:$B$85</c:f>
              <c:numCache>
                <c:formatCode>General</c:formatCode>
                <c:ptCount val="8"/>
                <c:pt idx="0">
                  <c:v>564</c:v>
                </c:pt>
                <c:pt idx="1">
                  <c:v>809</c:v>
                </c:pt>
                <c:pt idx="2">
                  <c:v>486</c:v>
                </c:pt>
                <c:pt idx="3">
                  <c:v>239</c:v>
                </c:pt>
                <c:pt idx="4">
                  <c:v>287</c:v>
                </c:pt>
                <c:pt idx="5">
                  <c:v>129</c:v>
                </c:pt>
                <c:pt idx="6">
                  <c:v>276</c:v>
                </c:pt>
                <c:pt idx="7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7-4CC7-A9CC-7E9BC2648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Sheet8!$A$92:$A$100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Sheet8!$B$92:$B$100</c:f>
              <c:numCache>
                <c:formatCode>General</c:formatCode>
                <c:ptCount val="8"/>
                <c:pt idx="0">
                  <c:v>564</c:v>
                </c:pt>
                <c:pt idx="1">
                  <c:v>809</c:v>
                </c:pt>
                <c:pt idx="2">
                  <c:v>486</c:v>
                </c:pt>
                <c:pt idx="3">
                  <c:v>239</c:v>
                </c:pt>
                <c:pt idx="4">
                  <c:v>287</c:v>
                </c:pt>
                <c:pt idx="5">
                  <c:v>129</c:v>
                </c:pt>
                <c:pt idx="6">
                  <c:v>276</c:v>
                </c:pt>
                <c:pt idx="7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D-4AC1-9A41-5E9E7232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59727"/>
        <c:axId val="1230982703"/>
      </c:barChart>
      <c:catAx>
        <c:axId val="13615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82703"/>
        <c:crosses val="autoZero"/>
        <c:auto val="1"/>
        <c:lblAlgn val="ctr"/>
        <c:lblOffset val="100"/>
        <c:noMultiLvlLbl val="0"/>
      </c:catAx>
      <c:valAx>
        <c:axId val="123098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Sheet8!$B$105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Sheet8!$A$106:$A$108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Sheet8!$B$106:$B$108</c:f>
              <c:numCache>
                <c:formatCode>General</c:formatCode>
                <c:ptCount val="2"/>
                <c:pt idx="0">
                  <c:v>82644.79999999865</c:v>
                </c:pt>
                <c:pt idx="1">
                  <c:v>29600.779999999606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B-4B92-80CD-3898CC660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51119"/>
        <c:axId val="812960783"/>
      </c:lineChart>
      <c:catAx>
        <c:axId val="1539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60783"/>
        <c:crosses val="autoZero"/>
        <c:auto val="1"/>
        <c:lblAlgn val="ctr"/>
        <c:lblOffset val="100"/>
        <c:noMultiLvlLbl val="0"/>
      </c:catAx>
      <c:valAx>
        <c:axId val="8129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[akilesh vvvv.xlsx]Sheet8!PivotTable1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Sheet8!$B$114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E-4329-A43C-7605EE511F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3E-4329-A43C-7605EE511F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3E-4329-A43C-7605EE511F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3E-4329-A43C-7605EE511F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3E-4329-A43C-7605EE511F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3E-4329-A43C-7605EE511F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3E-4329-A43C-7605EE511F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3E-4329-A43C-7605EE511F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3E-4329-A43C-7605EE511F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3E-4329-A43C-7605EE511F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73E-4329-A43C-7605EE511F5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73E-4329-A43C-7605EE511F5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73E-4329-A43C-7605EE511F5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73E-4329-A43C-7605EE511F5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73E-4329-A43C-7605EE511F5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73E-4329-A43C-7605EE511F5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73E-4329-A43C-7605EE511F5D}"/>
              </c:ext>
            </c:extLst>
          </c:dPt>
          <c:cat>
            <c:multiLvlStrRef>
              <c:f>Sheet8!$A$115:$A$149</c:f>
              <c:multiLvlStrCache>
                <c:ptCount val="17"/>
                <c:lvl>
                  <c:pt idx="0">
                    <c:v>Morning</c:v>
                  </c:pt>
                  <c:pt idx="1">
                    <c:v>Morning</c:v>
                  </c:pt>
                  <c:pt idx="2">
                    <c:v>Morning</c:v>
                  </c:pt>
                  <c:pt idx="3">
                    <c:v>Morning</c:v>
                  </c:pt>
                  <c:pt idx="4">
                    <c:v>Morning</c:v>
                  </c:pt>
                  <c:pt idx="5">
                    <c:v>Morning</c:v>
                  </c:pt>
                  <c:pt idx="6">
                    <c:v>Afternoon</c:v>
                  </c:pt>
                  <c:pt idx="7">
                    <c:v>Afternoon</c:v>
                  </c:pt>
                  <c:pt idx="8">
                    <c:v>Afternoon</c:v>
                  </c:pt>
                  <c:pt idx="9">
                    <c:v>Afternoon</c:v>
                  </c:pt>
                  <c:pt idx="10">
                    <c:v>Afternoon</c:v>
                  </c:pt>
                  <c:pt idx="11">
                    <c:v>Night</c:v>
                  </c:pt>
                  <c:pt idx="12">
                    <c:v>Night</c:v>
                  </c:pt>
                  <c:pt idx="13">
                    <c:v>Night</c:v>
                  </c:pt>
                  <c:pt idx="14">
                    <c:v>Night</c:v>
                  </c:pt>
                  <c:pt idx="15">
                    <c:v>Night</c:v>
                  </c:pt>
                  <c:pt idx="16">
                    <c:v>Night</c:v>
                  </c:pt>
                </c:lvl>
                <c:lvl>
                  <c:pt idx="0">
                    <c:v>6</c:v>
                  </c:pt>
                  <c:pt idx="1">
                    <c:v>7</c:v>
                  </c:pt>
                  <c:pt idx="2">
                    <c:v>8</c:v>
                  </c:pt>
                  <c:pt idx="3">
                    <c:v>9</c:v>
                  </c:pt>
                  <c:pt idx="4">
                    <c:v>10</c:v>
                  </c:pt>
                  <c:pt idx="5">
                    <c:v>11</c:v>
                  </c:pt>
                  <c:pt idx="6">
                    <c:v>12</c:v>
                  </c:pt>
                  <c:pt idx="7">
                    <c:v>13</c:v>
                  </c:pt>
                  <c:pt idx="8">
                    <c:v>14</c:v>
                  </c:pt>
                  <c:pt idx="9">
                    <c:v>15</c:v>
                  </c:pt>
                  <c:pt idx="10">
                    <c:v>16</c:v>
                  </c:pt>
                  <c:pt idx="11">
                    <c:v>17</c:v>
                  </c:pt>
                  <c:pt idx="12">
                    <c:v>18</c:v>
                  </c:pt>
                  <c:pt idx="13">
                    <c:v>19</c:v>
                  </c:pt>
                  <c:pt idx="14">
                    <c:v>20</c:v>
                  </c:pt>
                  <c:pt idx="15">
                    <c:v>21</c:v>
                  </c:pt>
                  <c:pt idx="16">
                    <c:v>22</c:v>
                  </c:pt>
                </c:lvl>
              </c:multiLvlStrCache>
            </c:multiLvlStrRef>
          </c:cat>
          <c:val>
            <c:numRef>
              <c:f>Sheet8!$B$115:$B$149</c:f>
              <c:numCache>
                <c:formatCode>General</c:formatCode>
                <c:ptCount val="17"/>
                <c:pt idx="0">
                  <c:v>149.4</c:v>
                </c:pt>
                <c:pt idx="1">
                  <c:v>2846.0200000000032</c:v>
                </c:pt>
                <c:pt idx="2">
                  <c:v>7017.8800000000074</c:v>
                </c:pt>
                <c:pt idx="3">
                  <c:v>7264.2800000000052</c:v>
                </c:pt>
                <c:pt idx="4">
                  <c:v>10198.519999999991</c:v>
                </c:pt>
                <c:pt idx="5">
                  <c:v>8453.1000000000076</c:v>
                </c:pt>
                <c:pt idx="6">
                  <c:v>7419.6200000000117</c:v>
                </c:pt>
                <c:pt idx="7">
                  <c:v>7028.760000000013</c:v>
                </c:pt>
                <c:pt idx="8">
                  <c:v>7173.8000000000175</c:v>
                </c:pt>
                <c:pt idx="9">
                  <c:v>7476.0200000000195</c:v>
                </c:pt>
                <c:pt idx="10">
                  <c:v>9031.8400000000238</c:v>
                </c:pt>
                <c:pt idx="11">
                  <c:v>7659.760000000013</c:v>
                </c:pt>
                <c:pt idx="12">
                  <c:v>7162.6000000000176</c:v>
                </c:pt>
                <c:pt idx="13">
                  <c:v>7751.9600000000155</c:v>
                </c:pt>
                <c:pt idx="14">
                  <c:v>5578.9200000000155</c:v>
                </c:pt>
                <c:pt idx="15">
                  <c:v>6397.9400000000169</c:v>
                </c:pt>
                <c:pt idx="16">
                  <c:v>3635.160000000008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930-9E42-CD0BCDC3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13AF43D2-141E-4857-8C8B-6917A0543173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433552</xdr:colOff>
      <xdr:row>1</xdr:row>
      <xdr:rowOff>0</xdr:rowOff>
    </xdr:from>
    <xdr:to>
      <xdr:col>32</xdr:col>
      <xdr:colOff>315310</xdr:colOff>
      <xdr:row>53</xdr:row>
      <xdr:rowOff>170793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ABC3493-FED8-95DE-243A-9978E7045744}"/>
            </a:ext>
          </a:extLst>
        </xdr:cNvPr>
        <xdr:cNvSpPr txBox="1"/>
      </xdr:nvSpPr>
      <xdr:spPr>
        <a:xfrm>
          <a:off x="3389586" y="183931"/>
          <a:ext cx="18051517" cy="97352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4"/>
          <a:endParaRPr lang="en-IN" sz="1100"/>
        </a:p>
      </xdr:txBody>
    </xdr:sp>
    <xdr:clientData/>
  </xdr:twoCellAnchor>
  <xdr:twoCellAnchor>
    <xdr:from>
      <xdr:col>4</xdr:col>
      <xdr:colOff>320040</xdr:colOff>
      <xdr:row>6</xdr:row>
      <xdr:rowOff>175260</xdr:rowOff>
    </xdr:from>
    <xdr:to>
      <xdr:col>12</xdr:col>
      <xdr:colOff>198120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A1957-8B8E-61ED-4EC8-B384AF365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358140</xdr:colOff>
      <xdr:row>6</xdr:row>
      <xdr:rowOff>175260</xdr:rowOff>
    </xdr:from>
    <xdr:to>
      <xdr:col>20</xdr:col>
      <xdr:colOff>182880</xdr:colOff>
      <xdr:row>21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ABF9C-D8A3-D7D2-2DF4-DC6ADB250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381000</xdr:colOff>
      <xdr:row>7</xdr:row>
      <xdr:rowOff>0</xdr:rowOff>
    </xdr:from>
    <xdr:to>
      <xdr:col>31</xdr:col>
      <xdr:colOff>114300</xdr:colOff>
      <xdr:row>21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9DFBAB-1C61-C3AF-61A5-4C945018E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289560</xdr:colOff>
      <xdr:row>22</xdr:row>
      <xdr:rowOff>106680</xdr:rowOff>
    </xdr:from>
    <xdr:to>
      <xdr:col>12</xdr:col>
      <xdr:colOff>198120</xdr:colOff>
      <xdr:row>36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DBEB44-3139-33AF-A51A-B73FC4853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350520</xdr:colOff>
      <xdr:row>22</xdr:row>
      <xdr:rowOff>38100</xdr:rowOff>
    </xdr:from>
    <xdr:to>
      <xdr:col>20</xdr:col>
      <xdr:colOff>175260</xdr:colOff>
      <xdr:row>36</xdr:row>
      <xdr:rowOff>22860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E32BD5-1560-4ACC-F43D-1C31FE5A6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7840" y="4061460"/>
              <a:ext cx="4701540" cy="2545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396240</xdr:colOff>
      <xdr:row>22</xdr:row>
      <xdr:rowOff>53340</xdr:rowOff>
    </xdr:from>
    <xdr:to>
      <xdr:col>31</xdr:col>
      <xdr:colOff>83820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055683-329F-65DA-1317-9367DFA1A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274320</xdr:colOff>
      <xdr:row>36</xdr:row>
      <xdr:rowOff>144780</xdr:rowOff>
    </xdr:from>
    <xdr:to>
      <xdr:col>10</xdr:col>
      <xdr:colOff>152400</xdr:colOff>
      <xdr:row>50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21A211-92F8-EA67-D63C-D55AE2D51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392430</xdr:colOff>
      <xdr:row>36</xdr:row>
      <xdr:rowOff>150706</xdr:rowOff>
    </xdr:from>
    <xdr:to>
      <xdr:col>17</xdr:col>
      <xdr:colOff>67310</xdr:colOff>
      <xdr:row>50</xdr:row>
      <xdr:rowOff>59267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175A8E-4B1E-1364-80FC-797C5DF41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179917</xdr:colOff>
      <xdr:row>36</xdr:row>
      <xdr:rowOff>152400</xdr:rowOff>
    </xdr:from>
    <xdr:to>
      <xdr:col>24</xdr:col>
      <xdr:colOff>381000</xdr:colOff>
      <xdr:row>50</xdr:row>
      <xdr:rowOff>52917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3B0278-FD59-B586-22EC-4318ED35A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289560</xdr:colOff>
      <xdr:row>1</xdr:row>
      <xdr:rowOff>129540</xdr:rowOff>
    </xdr:from>
    <xdr:to>
      <xdr:col>23</xdr:col>
      <xdr:colOff>160020</xdr:colOff>
      <xdr:row>5</xdr:row>
      <xdr:rowOff>160020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58E691-2D65-0116-5A00-5A2D0860C760}"/>
            </a:ext>
          </a:extLst>
        </xdr:cNvPr>
        <xdr:cNvSpPr txBox="1"/>
      </xdr:nvSpPr>
      <xdr:spPr>
        <a:xfrm>
          <a:off x="9328457" y="313471"/>
          <a:ext cx="6518253" cy="766204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 b="1"/>
            <a:t>SALES DASHBOARD</a:t>
          </a:r>
        </a:p>
        <a:p>
          <a:endParaRPr lang="en-IN" sz="1100"/>
        </a:p>
      </xdr:txBody>
    </xdr:sp>
    <xdr:clientData/>
  </xdr:twoCellAnchor>
  <xdr:twoCellAnchor>
    <xdr:from>
      <xdr:col>24</xdr:col>
      <xdr:colOff>550333</xdr:colOff>
      <xdr:row>36</xdr:row>
      <xdr:rowOff>147109</xdr:rowOff>
    </xdr:from>
    <xdr:to>
      <xdr:col>31</xdr:col>
      <xdr:colOff>476250</xdr:colOff>
      <xdr:row>50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5165E64-6245-A138-9FA8-E07F94830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lesh V" refreshedDate="46244.593996064817" createdVersion="8" refreshedVersion="8" minRefreshableVersion="3" recordCount="3547" xr:uid="{8C498C18-ADF6-4ACD-BF03-DCD2C7A29F86}">
  <cacheSource type="worksheet">
    <worksheetSource name="TABLE1"/>
  </cacheSource>
  <cacheFields count="14">
    <cacheField name="hour_of_day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</sharedItems>
    </cacheField>
    <cacheField name="cash_type" numFmtId="0">
      <sharedItems count="1">
        <s v="card"/>
      </sharedItems>
    </cacheField>
    <cacheField name="money" numFmtId="0">
      <sharedItems containsSemiMixedTypes="0" containsString="0" containsNumber="1" minValue="18.12" maxValue="38.700000000000003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13"/>
    </cacheField>
    <cacheField name="Time" numFmtId="0">
      <sharedItems containsSemiMixedTypes="0" containsNonDate="0" containsDate="1" containsString="0" minDate="1899-12-30T00:00:00" maxDate="1899-12-30T21:26:26"/>
    </cacheField>
    <cacheField name="Months (Date)" numFmtId="0" databaseField="0">
      <fieldGroup base="9">
        <rangePr groupBy="months" startDate="2024-03-01T00:00:00" endDate="2025-03-24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3-2025"/>
        </groupItems>
      </fieldGroup>
    </cacheField>
    <cacheField name="Quarters (Date)" numFmtId="0" databaseField="0">
      <fieldGroup base="9">
        <rangePr groupBy="quarters" startDate="2024-03-01T00:00:00" endDate="2025-03-24T00:00:00"/>
        <groupItems count="6">
          <s v="&lt;01-03-2024"/>
          <s v="Qtr1"/>
          <s v="Qtr2"/>
          <s v="Qtr3"/>
          <s v="Qtr4"/>
          <s v="&gt;24-03-2025"/>
        </groupItems>
      </fieldGroup>
    </cacheField>
    <cacheField name="Years (Date)" numFmtId="0" databaseField="0">
      <fieldGroup base="9">
        <rangePr groupBy="years" startDate="2024-03-01T00:00:00" endDate="2025-03-24T00:00:00"/>
        <groupItems count="4">
          <s v="&lt;01-03-2024"/>
          <s v="2024"/>
          <s v="2025"/>
          <s v="&gt;24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x v="0"/>
    <x v="0"/>
    <n v="38.700000000000003"/>
    <x v="0"/>
    <x v="0"/>
    <x v="0"/>
    <x v="0"/>
    <n v="5"/>
    <n v="3"/>
    <x v="0"/>
    <d v="1899-12-30T00:15:51"/>
  </r>
  <r>
    <x v="1"/>
    <x v="0"/>
    <n v="38.700000000000003"/>
    <x v="1"/>
    <x v="1"/>
    <x v="0"/>
    <x v="0"/>
    <n v="5"/>
    <n v="3"/>
    <x v="0"/>
    <d v="1899-12-30T00:19:23"/>
  </r>
  <r>
    <x v="1"/>
    <x v="0"/>
    <n v="38.700000000000003"/>
    <x v="1"/>
    <x v="1"/>
    <x v="0"/>
    <x v="0"/>
    <n v="5"/>
    <n v="3"/>
    <x v="0"/>
    <d v="1899-12-30T00:20:18"/>
  </r>
  <r>
    <x v="2"/>
    <x v="0"/>
    <n v="28.9"/>
    <x v="2"/>
    <x v="1"/>
    <x v="0"/>
    <x v="0"/>
    <n v="5"/>
    <n v="3"/>
    <x v="0"/>
    <d v="1899-12-30T00:46:33"/>
  </r>
  <r>
    <x v="2"/>
    <x v="0"/>
    <n v="38.700000000000003"/>
    <x v="0"/>
    <x v="1"/>
    <x v="0"/>
    <x v="0"/>
    <n v="5"/>
    <n v="3"/>
    <x v="0"/>
    <d v="1899-12-30T00:48:15"/>
  </r>
  <r>
    <x v="3"/>
    <x v="0"/>
    <n v="33.799999999999997"/>
    <x v="3"/>
    <x v="1"/>
    <x v="0"/>
    <x v="0"/>
    <n v="5"/>
    <n v="3"/>
    <x v="0"/>
    <d v="1899-12-30T00:39:48"/>
  </r>
  <r>
    <x v="4"/>
    <x v="0"/>
    <n v="38.700000000000003"/>
    <x v="1"/>
    <x v="1"/>
    <x v="0"/>
    <x v="0"/>
    <n v="5"/>
    <n v="3"/>
    <x v="0"/>
    <d v="1899-12-30T00:19:03"/>
  </r>
  <r>
    <x v="5"/>
    <x v="0"/>
    <n v="33.799999999999997"/>
    <x v="3"/>
    <x v="2"/>
    <x v="0"/>
    <x v="0"/>
    <n v="5"/>
    <n v="3"/>
    <x v="0"/>
    <d v="1899-12-30T00:39:04"/>
  </r>
  <r>
    <x v="6"/>
    <x v="0"/>
    <n v="38.700000000000003"/>
    <x v="4"/>
    <x v="2"/>
    <x v="0"/>
    <x v="0"/>
    <n v="5"/>
    <n v="3"/>
    <x v="0"/>
    <d v="1899-12-30T00:22:02"/>
  </r>
  <r>
    <x v="6"/>
    <x v="0"/>
    <n v="33.799999999999997"/>
    <x v="3"/>
    <x v="2"/>
    <x v="0"/>
    <x v="0"/>
    <n v="5"/>
    <n v="3"/>
    <x v="0"/>
    <d v="1899-12-30T00:23:16"/>
  </r>
  <r>
    <x v="6"/>
    <x v="0"/>
    <n v="33.799999999999997"/>
    <x v="3"/>
    <x v="2"/>
    <x v="0"/>
    <x v="0"/>
    <n v="5"/>
    <n v="3"/>
    <x v="0"/>
    <d v="1899-12-30T00:29:17"/>
  </r>
  <r>
    <x v="0"/>
    <x v="0"/>
    <n v="28.9"/>
    <x v="2"/>
    <x v="0"/>
    <x v="1"/>
    <x v="0"/>
    <n v="6"/>
    <n v="3"/>
    <x v="1"/>
    <d v="1899-12-30T00:22:07"/>
  </r>
  <r>
    <x v="0"/>
    <x v="0"/>
    <n v="33.799999999999997"/>
    <x v="3"/>
    <x v="0"/>
    <x v="1"/>
    <x v="0"/>
    <n v="6"/>
    <n v="3"/>
    <x v="1"/>
    <d v="1899-12-30T00:41:41"/>
  </r>
  <r>
    <x v="7"/>
    <x v="0"/>
    <n v="33.799999999999997"/>
    <x v="3"/>
    <x v="0"/>
    <x v="1"/>
    <x v="0"/>
    <n v="6"/>
    <n v="3"/>
    <x v="1"/>
    <d v="1899-12-30T00:59:46"/>
  </r>
  <r>
    <x v="8"/>
    <x v="0"/>
    <n v="28.9"/>
    <x v="2"/>
    <x v="1"/>
    <x v="1"/>
    <x v="0"/>
    <n v="6"/>
    <n v="3"/>
    <x v="1"/>
    <d v="1899-12-30T00:38:36"/>
  </r>
  <r>
    <x v="4"/>
    <x v="0"/>
    <n v="33.799999999999997"/>
    <x v="3"/>
    <x v="1"/>
    <x v="1"/>
    <x v="0"/>
    <n v="6"/>
    <n v="3"/>
    <x v="1"/>
    <d v="1899-12-30T00:37:25"/>
  </r>
  <r>
    <x v="9"/>
    <x v="0"/>
    <n v="28.9"/>
    <x v="2"/>
    <x v="2"/>
    <x v="1"/>
    <x v="0"/>
    <n v="6"/>
    <n v="3"/>
    <x v="1"/>
    <d v="1899-12-30T00:34:55"/>
  </r>
  <r>
    <x v="0"/>
    <x v="0"/>
    <n v="38.700000000000003"/>
    <x v="0"/>
    <x v="0"/>
    <x v="2"/>
    <x v="0"/>
    <n v="7"/>
    <n v="3"/>
    <x v="2"/>
    <d v="1899-12-30T00:27:19"/>
  </r>
  <r>
    <x v="7"/>
    <x v="0"/>
    <n v="28.9"/>
    <x v="5"/>
    <x v="0"/>
    <x v="2"/>
    <x v="0"/>
    <n v="7"/>
    <n v="3"/>
    <x v="2"/>
    <d v="1899-12-30T00:33:56"/>
  </r>
  <r>
    <x v="1"/>
    <x v="0"/>
    <n v="28.9"/>
    <x v="2"/>
    <x v="1"/>
    <x v="2"/>
    <x v="0"/>
    <n v="7"/>
    <n v="3"/>
    <x v="2"/>
    <d v="1899-12-30T00:26:56"/>
  </r>
  <r>
    <x v="2"/>
    <x v="0"/>
    <n v="38.700000000000003"/>
    <x v="1"/>
    <x v="1"/>
    <x v="2"/>
    <x v="0"/>
    <n v="7"/>
    <n v="3"/>
    <x v="2"/>
    <d v="1899-12-30T00:09:36"/>
  </r>
  <r>
    <x v="9"/>
    <x v="0"/>
    <n v="38.700000000000003"/>
    <x v="4"/>
    <x v="2"/>
    <x v="2"/>
    <x v="0"/>
    <n v="7"/>
    <n v="3"/>
    <x v="2"/>
    <d v="1899-12-30T00:06:40"/>
  </r>
  <r>
    <x v="9"/>
    <x v="0"/>
    <n v="28.9"/>
    <x v="5"/>
    <x v="2"/>
    <x v="2"/>
    <x v="0"/>
    <n v="7"/>
    <n v="3"/>
    <x v="2"/>
    <d v="1899-12-30T00:08:46"/>
  </r>
  <r>
    <x v="5"/>
    <x v="0"/>
    <n v="33.799999999999997"/>
    <x v="3"/>
    <x v="2"/>
    <x v="2"/>
    <x v="0"/>
    <n v="7"/>
    <n v="3"/>
    <x v="2"/>
    <d v="1899-12-30T00:03:23"/>
  </r>
  <r>
    <x v="5"/>
    <x v="0"/>
    <n v="33.799999999999997"/>
    <x v="3"/>
    <x v="2"/>
    <x v="2"/>
    <x v="0"/>
    <n v="7"/>
    <n v="3"/>
    <x v="2"/>
    <d v="1899-12-30T00:04:28"/>
  </r>
  <r>
    <x v="5"/>
    <x v="0"/>
    <n v="38.700000000000003"/>
    <x v="1"/>
    <x v="2"/>
    <x v="2"/>
    <x v="0"/>
    <n v="7"/>
    <n v="3"/>
    <x v="2"/>
    <d v="1899-12-30T00:08:05"/>
  </r>
  <r>
    <x v="0"/>
    <x v="0"/>
    <n v="38.700000000000003"/>
    <x v="0"/>
    <x v="0"/>
    <x v="3"/>
    <x v="0"/>
    <n v="1"/>
    <n v="3"/>
    <x v="3"/>
    <d v="1899-12-30T00:03:52"/>
  </r>
  <r>
    <x v="0"/>
    <x v="0"/>
    <n v="38.700000000000003"/>
    <x v="0"/>
    <x v="0"/>
    <x v="3"/>
    <x v="0"/>
    <n v="1"/>
    <n v="3"/>
    <x v="3"/>
    <d v="1899-12-30T00:54:51"/>
  </r>
  <r>
    <x v="7"/>
    <x v="0"/>
    <n v="33.799999999999997"/>
    <x v="3"/>
    <x v="0"/>
    <x v="3"/>
    <x v="0"/>
    <n v="1"/>
    <n v="3"/>
    <x v="3"/>
    <d v="1899-12-30T00:05:16"/>
  </r>
  <r>
    <x v="8"/>
    <x v="0"/>
    <n v="24"/>
    <x v="6"/>
    <x v="1"/>
    <x v="3"/>
    <x v="0"/>
    <n v="1"/>
    <n v="3"/>
    <x v="3"/>
    <d v="1899-12-30T00:04:38"/>
  </r>
  <r>
    <x v="10"/>
    <x v="0"/>
    <n v="38.700000000000003"/>
    <x v="0"/>
    <x v="0"/>
    <x v="4"/>
    <x v="0"/>
    <n v="2"/>
    <n v="3"/>
    <x v="4"/>
    <d v="1899-12-30T00:59:53"/>
  </r>
  <r>
    <x v="8"/>
    <x v="0"/>
    <n v="38.700000000000003"/>
    <x v="0"/>
    <x v="1"/>
    <x v="4"/>
    <x v="0"/>
    <n v="2"/>
    <n v="3"/>
    <x v="4"/>
    <d v="1899-12-30T00:34:56"/>
  </r>
  <r>
    <x v="9"/>
    <x v="0"/>
    <n v="38.700000000000003"/>
    <x v="0"/>
    <x v="2"/>
    <x v="4"/>
    <x v="0"/>
    <n v="2"/>
    <n v="3"/>
    <x v="4"/>
    <d v="1899-12-30T00:34:06"/>
  </r>
  <r>
    <x v="9"/>
    <x v="0"/>
    <n v="38.700000000000003"/>
    <x v="1"/>
    <x v="2"/>
    <x v="4"/>
    <x v="0"/>
    <n v="2"/>
    <n v="3"/>
    <x v="4"/>
    <d v="1899-12-30T00:35:25"/>
  </r>
  <r>
    <x v="9"/>
    <x v="0"/>
    <n v="38.700000000000003"/>
    <x v="4"/>
    <x v="2"/>
    <x v="4"/>
    <x v="0"/>
    <n v="2"/>
    <n v="3"/>
    <x v="4"/>
    <d v="1899-12-30T00:36:29"/>
  </r>
  <r>
    <x v="9"/>
    <x v="0"/>
    <n v="38.700000000000003"/>
    <x v="1"/>
    <x v="2"/>
    <x v="4"/>
    <x v="0"/>
    <n v="2"/>
    <n v="3"/>
    <x v="4"/>
    <d v="1899-12-30T00:37:14"/>
  </r>
  <r>
    <x v="9"/>
    <x v="0"/>
    <n v="38.700000000000003"/>
    <x v="1"/>
    <x v="2"/>
    <x v="4"/>
    <x v="0"/>
    <n v="2"/>
    <n v="3"/>
    <x v="4"/>
    <d v="1899-12-30T00:38:09"/>
  </r>
  <r>
    <x v="9"/>
    <x v="0"/>
    <n v="28.9"/>
    <x v="5"/>
    <x v="2"/>
    <x v="4"/>
    <x v="0"/>
    <n v="2"/>
    <n v="3"/>
    <x v="4"/>
    <d v="1899-12-30T00:56:16"/>
  </r>
  <r>
    <x v="5"/>
    <x v="0"/>
    <n v="38.700000000000003"/>
    <x v="1"/>
    <x v="2"/>
    <x v="4"/>
    <x v="0"/>
    <n v="2"/>
    <n v="3"/>
    <x v="4"/>
    <d v="1899-12-30T00:01:31"/>
  </r>
  <r>
    <x v="2"/>
    <x v="0"/>
    <n v="28.9"/>
    <x v="2"/>
    <x v="1"/>
    <x v="5"/>
    <x v="0"/>
    <n v="3"/>
    <n v="3"/>
    <x v="5"/>
    <d v="1899-12-30T00:24:08"/>
  </r>
  <r>
    <x v="2"/>
    <x v="0"/>
    <n v="28.9"/>
    <x v="5"/>
    <x v="1"/>
    <x v="5"/>
    <x v="0"/>
    <n v="3"/>
    <n v="3"/>
    <x v="5"/>
    <d v="1899-12-30T00:25:14"/>
  </r>
  <r>
    <x v="8"/>
    <x v="0"/>
    <n v="38.700000000000003"/>
    <x v="7"/>
    <x v="1"/>
    <x v="5"/>
    <x v="0"/>
    <n v="3"/>
    <n v="3"/>
    <x v="5"/>
    <d v="1899-12-30T00:52:02"/>
  </r>
  <r>
    <x v="8"/>
    <x v="0"/>
    <n v="38.700000000000003"/>
    <x v="7"/>
    <x v="1"/>
    <x v="5"/>
    <x v="0"/>
    <n v="3"/>
    <n v="3"/>
    <x v="5"/>
    <d v="1899-12-30T00:53:18"/>
  </r>
  <r>
    <x v="0"/>
    <x v="0"/>
    <n v="38.700000000000003"/>
    <x v="1"/>
    <x v="0"/>
    <x v="6"/>
    <x v="0"/>
    <n v="4"/>
    <n v="3"/>
    <x v="6"/>
    <d v="1899-12-30T00:18:41"/>
  </r>
  <r>
    <x v="7"/>
    <x v="0"/>
    <n v="38.700000000000003"/>
    <x v="0"/>
    <x v="0"/>
    <x v="6"/>
    <x v="0"/>
    <n v="4"/>
    <n v="3"/>
    <x v="6"/>
    <d v="1899-12-30T00:03:59"/>
  </r>
  <r>
    <x v="3"/>
    <x v="0"/>
    <n v="28.9"/>
    <x v="2"/>
    <x v="1"/>
    <x v="6"/>
    <x v="0"/>
    <n v="4"/>
    <n v="3"/>
    <x v="6"/>
    <d v="1899-12-30T00:40:23"/>
  </r>
  <r>
    <x v="3"/>
    <x v="0"/>
    <n v="33.799999999999997"/>
    <x v="3"/>
    <x v="1"/>
    <x v="6"/>
    <x v="0"/>
    <n v="4"/>
    <n v="3"/>
    <x v="6"/>
    <d v="1899-12-30T00:41:29"/>
  </r>
  <r>
    <x v="0"/>
    <x v="0"/>
    <n v="28.9"/>
    <x v="5"/>
    <x v="0"/>
    <x v="0"/>
    <x v="0"/>
    <n v="5"/>
    <n v="3"/>
    <x v="7"/>
    <d v="1899-12-30T00:34:41"/>
  </r>
  <r>
    <x v="1"/>
    <x v="0"/>
    <n v="38.700000000000003"/>
    <x v="7"/>
    <x v="1"/>
    <x v="0"/>
    <x v="0"/>
    <n v="5"/>
    <n v="3"/>
    <x v="7"/>
    <d v="1899-12-30T00:22:29"/>
  </r>
  <r>
    <x v="2"/>
    <x v="0"/>
    <n v="28.9"/>
    <x v="2"/>
    <x v="1"/>
    <x v="0"/>
    <x v="0"/>
    <n v="5"/>
    <n v="3"/>
    <x v="7"/>
    <d v="1899-12-30T00:53:02"/>
  </r>
  <r>
    <x v="8"/>
    <x v="0"/>
    <n v="28.9"/>
    <x v="2"/>
    <x v="1"/>
    <x v="0"/>
    <x v="0"/>
    <n v="5"/>
    <n v="3"/>
    <x v="7"/>
    <d v="1899-12-30T00:44:13"/>
  </r>
  <r>
    <x v="8"/>
    <x v="0"/>
    <n v="28.9"/>
    <x v="2"/>
    <x v="1"/>
    <x v="0"/>
    <x v="0"/>
    <n v="5"/>
    <n v="3"/>
    <x v="7"/>
    <d v="1899-12-30T00:45:11"/>
  </r>
  <r>
    <x v="8"/>
    <x v="0"/>
    <n v="33.799999999999997"/>
    <x v="3"/>
    <x v="1"/>
    <x v="0"/>
    <x v="0"/>
    <n v="5"/>
    <n v="3"/>
    <x v="7"/>
    <d v="1899-12-30T00:46:11"/>
  </r>
  <r>
    <x v="5"/>
    <x v="0"/>
    <n v="38.700000000000003"/>
    <x v="0"/>
    <x v="2"/>
    <x v="0"/>
    <x v="0"/>
    <n v="5"/>
    <n v="3"/>
    <x v="7"/>
    <d v="1899-12-30T00:57:52"/>
  </r>
  <r>
    <x v="5"/>
    <x v="0"/>
    <n v="38.700000000000003"/>
    <x v="0"/>
    <x v="2"/>
    <x v="0"/>
    <x v="0"/>
    <n v="5"/>
    <n v="3"/>
    <x v="7"/>
    <d v="1899-12-30T00:59:25"/>
  </r>
  <r>
    <x v="1"/>
    <x v="0"/>
    <n v="24"/>
    <x v="6"/>
    <x v="1"/>
    <x v="1"/>
    <x v="0"/>
    <n v="6"/>
    <n v="3"/>
    <x v="8"/>
    <d v="1899-12-30T00:05:16"/>
  </r>
  <r>
    <x v="1"/>
    <x v="0"/>
    <n v="28.9"/>
    <x v="2"/>
    <x v="1"/>
    <x v="1"/>
    <x v="0"/>
    <n v="6"/>
    <n v="3"/>
    <x v="8"/>
    <d v="1899-12-30T00:07:38"/>
  </r>
  <r>
    <x v="1"/>
    <x v="0"/>
    <n v="38.700000000000003"/>
    <x v="7"/>
    <x v="1"/>
    <x v="1"/>
    <x v="0"/>
    <n v="6"/>
    <n v="3"/>
    <x v="8"/>
    <d v="1899-12-30T00:09:48"/>
  </r>
  <r>
    <x v="1"/>
    <x v="0"/>
    <n v="28.9"/>
    <x v="2"/>
    <x v="1"/>
    <x v="1"/>
    <x v="0"/>
    <n v="6"/>
    <n v="3"/>
    <x v="8"/>
    <d v="1899-12-30T00:13:04"/>
  </r>
  <r>
    <x v="1"/>
    <x v="0"/>
    <n v="28.9"/>
    <x v="2"/>
    <x v="1"/>
    <x v="1"/>
    <x v="0"/>
    <n v="6"/>
    <n v="3"/>
    <x v="8"/>
    <d v="1899-12-30T00:14:27"/>
  </r>
  <r>
    <x v="2"/>
    <x v="0"/>
    <n v="38.700000000000003"/>
    <x v="0"/>
    <x v="1"/>
    <x v="1"/>
    <x v="0"/>
    <n v="6"/>
    <n v="3"/>
    <x v="8"/>
    <d v="1899-12-30T00:09:22"/>
  </r>
  <r>
    <x v="2"/>
    <x v="0"/>
    <n v="33.799999999999997"/>
    <x v="3"/>
    <x v="1"/>
    <x v="1"/>
    <x v="0"/>
    <n v="6"/>
    <n v="3"/>
    <x v="8"/>
    <d v="1899-12-30T00:41:06"/>
  </r>
  <r>
    <x v="2"/>
    <x v="0"/>
    <n v="28.9"/>
    <x v="5"/>
    <x v="1"/>
    <x v="1"/>
    <x v="0"/>
    <n v="6"/>
    <n v="3"/>
    <x v="8"/>
    <d v="1899-12-30T00:53:10"/>
  </r>
  <r>
    <x v="2"/>
    <x v="0"/>
    <n v="38.700000000000003"/>
    <x v="7"/>
    <x v="1"/>
    <x v="1"/>
    <x v="0"/>
    <n v="6"/>
    <n v="3"/>
    <x v="8"/>
    <d v="1899-12-30T00:54:37"/>
  </r>
  <r>
    <x v="8"/>
    <x v="0"/>
    <n v="33.799999999999997"/>
    <x v="3"/>
    <x v="1"/>
    <x v="1"/>
    <x v="0"/>
    <n v="6"/>
    <n v="3"/>
    <x v="8"/>
    <d v="1899-12-30T00:08:02"/>
  </r>
  <r>
    <x v="8"/>
    <x v="0"/>
    <n v="38.700000000000003"/>
    <x v="1"/>
    <x v="1"/>
    <x v="1"/>
    <x v="0"/>
    <n v="6"/>
    <n v="3"/>
    <x v="8"/>
    <d v="1899-12-30T00:26:53"/>
  </r>
  <r>
    <x v="6"/>
    <x v="0"/>
    <n v="38.700000000000003"/>
    <x v="7"/>
    <x v="2"/>
    <x v="1"/>
    <x v="0"/>
    <n v="6"/>
    <n v="3"/>
    <x v="8"/>
    <d v="1899-12-30T00:17:58"/>
  </r>
  <r>
    <x v="6"/>
    <x v="0"/>
    <n v="38.700000000000003"/>
    <x v="1"/>
    <x v="2"/>
    <x v="1"/>
    <x v="0"/>
    <n v="6"/>
    <n v="3"/>
    <x v="8"/>
    <d v="1899-12-30T00:19:10"/>
  </r>
  <r>
    <x v="7"/>
    <x v="0"/>
    <n v="24"/>
    <x v="6"/>
    <x v="0"/>
    <x v="2"/>
    <x v="0"/>
    <n v="7"/>
    <n v="3"/>
    <x v="9"/>
    <d v="1899-12-30T00:19:21"/>
  </r>
  <r>
    <x v="6"/>
    <x v="0"/>
    <n v="38.700000000000003"/>
    <x v="0"/>
    <x v="2"/>
    <x v="2"/>
    <x v="0"/>
    <n v="7"/>
    <n v="3"/>
    <x v="9"/>
    <d v="1899-12-30T00:34:01"/>
  </r>
  <r>
    <x v="6"/>
    <x v="0"/>
    <n v="28.9"/>
    <x v="5"/>
    <x v="2"/>
    <x v="2"/>
    <x v="0"/>
    <n v="7"/>
    <n v="3"/>
    <x v="9"/>
    <d v="1899-12-30T00:35:55"/>
  </r>
  <r>
    <x v="7"/>
    <x v="0"/>
    <n v="38.700000000000003"/>
    <x v="7"/>
    <x v="0"/>
    <x v="3"/>
    <x v="0"/>
    <n v="1"/>
    <n v="3"/>
    <x v="10"/>
    <d v="1899-12-30T00:32:59"/>
  </r>
  <r>
    <x v="4"/>
    <x v="0"/>
    <n v="28.9"/>
    <x v="2"/>
    <x v="1"/>
    <x v="3"/>
    <x v="0"/>
    <n v="1"/>
    <n v="3"/>
    <x v="10"/>
    <d v="1899-12-30T00:24:26"/>
  </r>
  <r>
    <x v="4"/>
    <x v="0"/>
    <n v="38.700000000000003"/>
    <x v="0"/>
    <x v="1"/>
    <x v="3"/>
    <x v="0"/>
    <n v="1"/>
    <n v="3"/>
    <x v="10"/>
    <d v="1899-12-30T00:25:46"/>
  </r>
  <r>
    <x v="4"/>
    <x v="0"/>
    <n v="28.9"/>
    <x v="5"/>
    <x v="1"/>
    <x v="3"/>
    <x v="0"/>
    <n v="1"/>
    <n v="3"/>
    <x v="10"/>
    <d v="1899-12-30T00:50:50"/>
  </r>
  <r>
    <x v="0"/>
    <x v="0"/>
    <n v="28.9"/>
    <x v="2"/>
    <x v="0"/>
    <x v="4"/>
    <x v="0"/>
    <n v="2"/>
    <n v="3"/>
    <x v="11"/>
    <d v="1899-12-30T00:15:35"/>
  </r>
  <r>
    <x v="0"/>
    <x v="0"/>
    <n v="28.9"/>
    <x v="5"/>
    <x v="0"/>
    <x v="4"/>
    <x v="0"/>
    <n v="2"/>
    <n v="3"/>
    <x v="11"/>
    <d v="1899-12-30T00:16:25"/>
  </r>
  <r>
    <x v="7"/>
    <x v="0"/>
    <n v="38.700000000000003"/>
    <x v="1"/>
    <x v="0"/>
    <x v="4"/>
    <x v="0"/>
    <n v="2"/>
    <n v="3"/>
    <x v="11"/>
    <d v="1899-12-30T00:20:46"/>
  </r>
  <r>
    <x v="1"/>
    <x v="0"/>
    <n v="33.799999999999997"/>
    <x v="3"/>
    <x v="1"/>
    <x v="4"/>
    <x v="0"/>
    <n v="2"/>
    <n v="3"/>
    <x v="11"/>
    <d v="1899-12-30T00:46:23"/>
  </r>
  <r>
    <x v="1"/>
    <x v="0"/>
    <n v="28.9"/>
    <x v="2"/>
    <x v="1"/>
    <x v="4"/>
    <x v="0"/>
    <n v="2"/>
    <n v="3"/>
    <x v="11"/>
    <d v="1899-12-30T00:47:26"/>
  </r>
  <r>
    <x v="4"/>
    <x v="0"/>
    <n v="28.9"/>
    <x v="2"/>
    <x v="1"/>
    <x v="4"/>
    <x v="0"/>
    <n v="2"/>
    <n v="3"/>
    <x v="11"/>
    <d v="1899-12-30T00:15:43"/>
  </r>
  <r>
    <x v="7"/>
    <x v="0"/>
    <n v="38.700000000000003"/>
    <x v="1"/>
    <x v="0"/>
    <x v="5"/>
    <x v="0"/>
    <n v="3"/>
    <n v="3"/>
    <x v="12"/>
    <d v="1899-12-30T00:06:43"/>
  </r>
  <r>
    <x v="7"/>
    <x v="0"/>
    <n v="28.9"/>
    <x v="2"/>
    <x v="0"/>
    <x v="5"/>
    <x v="0"/>
    <n v="3"/>
    <n v="3"/>
    <x v="12"/>
    <d v="1899-12-30T00:48:17"/>
  </r>
  <r>
    <x v="1"/>
    <x v="0"/>
    <n v="28.9"/>
    <x v="2"/>
    <x v="1"/>
    <x v="5"/>
    <x v="0"/>
    <n v="3"/>
    <n v="3"/>
    <x v="12"/>
    <d v="1899-12-30T00:18:06"/>
  </r>
  <r>
    <x v="1"/>
    <x v="0"/>
    <n v="28.9"/>
    <x v="2"/>
    <x v="1"/>
    <x v="5"/>
    <x v="0"/>
    <n v="3"/>
    <n v="3"/>
    <x v="12"/>
    <d v="1899-12-30T00:19:05"/>
  </r>
  <r>
    <x v="8"/>
    <x v="0"/>
    <n v="33.799999999999997"/>
    <x v="3"/>
    <x v="1"/>
    <x v="5"/>
    <x v="0"/>
    <n v="3"/>
    <n v="3"/>
    <x v="12"/>
    <d v="1899-12-30T00:26:41"/>
  </r>
  <r>
    <x v="3"/>
    <x v="0"/>
    <n v="24"/>
    <x v="6"/>
    <x v="1"/>
    <x v="5"/>
    <x v="0"/>
    <n v="3"/>
    <n v="3"/>
    <x v="12"/>
    <d v="1899-12-30T00:40:22"/>
  </r>
  <r>
    <x v="3"/>
    <x v="0"/>
    <n v="24"/>
    <x v="6"/>
    <x v="1"/>
    <x v="5"/>
    <x v="0"/>
    <n v="3"/>
    <n v="3"/>
    <x v="12"/>
    <d v="1899-12-30T00:41:20"/>
  </r>
  <r>
    <x v="4"/>
    <x v="0"/>
    <n v="24"/>
    <x v="6"/>
    <x v="1"/>
    <x v="5"/>
    <x v="0"/>
    <n v="3"/>
    <n v="3"/>
    <x v="12"/>
    <d v="1899-12-30T00:47:09"/>
  </r>
  <r>
    <x v="0"/>
    <x v="0"/>
    <n v="38.700000000000003"/>
    <x v="0"/>
    <x v="0"/>
    <x v="6"/>
    <x v="0"/>
    <n v="4"/>
    <n v="3"/>
    <x v="13"/>
    <d v="1899-12-30T00:28:33"/>
  </r>
  <r>
    <x v="0"/>
    <x v="0"/>
    <n v="38.700000000000003"/>
    <x v="1"/>
    <x v="0"/>
    <x v="6"/>
    <x v="0"/>
    <n v="4"/>
    <n v="3"/>
    <x v="13"/>
    <d v="1899-12-30T00:29:34"/>
  </r>
  <r>
    <x v="2"/>
    <x v="0"/>
    <n v="28.9"/>
    <x v="5"/>
    <x v="1"/>
    <x v="6"/>
    <x v="0"/>
    <n v="4"/>
    <n v="3"/>
    <x v="13"/>
    <d v="1899-12-30T00:27:30"/>
  </r>
  <r>
    <x v="2"/>
    <x v="0"/>
    <n v="28.9"/>
    <x v="2"/>
    <x v="1"/>
    <x v="6"/>
    <x v="0"/>
    <n v="4"/>
    <n v="3"/>
    <x v="13"/>
    <d v="1899-12-30T00:28:25"/>
  </r>
  <r>
    <x v="2"/>
    <x v="0"/>
    <n v="33.799999999999997"/>
    <x v="3"/>
    <x v="1"/>
    <x v="6"/>
    <x v="0"/>
    <n v="4"/>
    <n v="3"/>
    <x v="13"/>
    <d v="1899-12-30T00:52:00"/>
  </r>
  <r>
    <x v="2"/>
    <x v="0"/>
    <n v="24"/>
    <x v="6"/>
    <x v="1"/>
    <x v="6"/>
    <x v="0"/>
    <n v="4"/>
    <n v="3"/>
    <x v="13"/>
    <d v="1899-12-30T00:52:56"/>
  </r>
  <r>
    <x v="3"/>
    <x v="0"/>
    <n v="38.700000000000003"/>
    <x v="0"/>
    <x v="1"/>
    <x v="6"/>
    <x v="0"/>
    <n v="4"/>
    <n v="3"/>
    <x v="13"/>
    <d v="1899-12-30T00:20:38"/>
  </r>
  <r>
    <x v="4"/>
    <x v="0"/>
    <n v="33.799999999999997"/>
    <x v="3"/>
    <x v="1"/>
    <x v="6"/>
    <x v="0"/>
    <n v="4"/>
    <n v="3"/>
    <x v="13"/>
    <d v="1899-12-30T00:04:10"/>
  </r>
  <r>
    <x v="4"/>
    <x v="0"/>
    <n v="24"/>
    <x v="6"/>
    <x v="1"/>
    <x v="6"/>
    <x v="0"/>
    <n v="4"/>
    <n v="3"/>
    <x v="13"/>
    <d v="1899-12-30T00:54:38"/>
  </r>
  <r>
    <x v="5"/>
    <x v="0"/>
    <n v="38.700000000000003"/>
    <x v="1"/>
    <x v="2"/>
    <x v="6"/>
    <x v="0"/>
    <n v="4"/>
    <n v="3"/>
    <x v="13"/>
    <d v="1899-12-30T00:58:56"/>
  </r>
  <r>
    <x v="6"/>
    <x v="0"/>
    <n v="28.9"/>
    <x v="5"/>
    <x v="2"/>
    <x v="6"/>
    <x v="0"/>
    <n v="4"/>
    <n v="3"/>
    <x v="13"/>
    <d v="1899-12-30T00:00:09"/>
  </r>
  <r>
    <x v="0"/>
    <x v="0"/>
    <n v="38.700000000000003"/>
    <x v="1"/>
    <x v="0"/>
    <x v="0"/>
    <x v="0"/>
    <n v="5"/>
    <n v="3"/>
    <x v="14"/>
    <d v="1899-12-30T00:53:02"/>
  </r>
  <r>
    <x v="5"/>
    <x v="0"/>
    <n v="28.9"/>
    <x v="2"/>
    <x v="2"/>
    <x v="0"/>
    <x v="0"/>
    <n v="5"/>
    <n v="3"/>
    <x v="14"/>
    <d v="1899-12-30T00:19:28"/>
  </r>
  <r>
    <x v="1"/>
    <x v="0"/>
    <n v="33.799999999999997"/>
    <x v="3"/>
    <x v="1"/>
    <x v="1"/>
    <x v="0"/>
    <n v="6"/>
    <n v="3"/>
    <x v="15"/>
    <d v="1899-12-30T00:06:55"/>
  </r>
  <r>
    <x v="1"/>
    <x v="0"/>
    <n v="28.9"/>
    <x v="2"/>
    <x v="1"/>
    <x v="1"/>
    <x v="0"/>
    <n v="6"/>
    <n v="3"/>
    <x v="15"/>
    <d v="1899-12-30T00:07:54"/>
  </r>
  <r>
    <x v="3"/>
    <x v="0"/>
    <n v="28.9"/>
    <x v="5"/>
    <x v="1"/>
    <x v="1"/>
    <x v="0"/>
    <n v="6"/>
    <n v="3"/>
    <x v="15"/>
    <d v="1899-12-30T00:58:19"/>
  </r>
  <r>
    <x v="4"/>
    <x v="0"/>
    <n v="28.9"/>
    <x v="5"/>
    <x v="1"/>
    <x v="1"/>
    <x v="0"/>
    <n v="6"/>
    <n v="3"/>
    <x v="15"/>
    <d v="1899-12-30T00:03:22"/>
  </r>
  <r>
    <x v="4"/>
    <x v="0"/>
    <n v="28.9"/>
    <x v="5"/>
    <x v="1"/>
    <x v="1"/>
    <x v="0"/>
    <n v="6"/>
    <n v="3"/>
    <x v="15"/>
    <d v="1899-12-30T00:04:11"/>
  </r>
  <r>
    <x v="9"/>
    <x v="0"/>
    <n v="33.799999999999997"/>
    <x v="3"/>
    <x v="2"/>
    <x v="1"/>
    <x v="0"/>
    <n v="6"/>
    <n v="3"/>
    <x v="15"/>
    <d v="1899-12-30T00:58:07"/>
  </r>
  <r>
    <x v="1"/>
    <x v="0"/>
    <n v="28.9"/>
    <x v="5"/>
    <x v="1"/>
    <x v="2"/>
    <x v="0"/>
    <n v="7"/>
    <n v="3"/>
    <x v="16"/>
    <d v="1899-12-30T00:55:26"/>
  </r>
  <r>
    <x v="7"/>
    <x v="0"/>
    <n v="28.9"/>
    <x v="5"/>
    <x v="0"/>
    <x v="3"/>
    <x v="0"/>
    <n v="1"/>
    <n v="3"/>
    <x v="17"/>
    <d v="1899-12-30T00:18:00"/>
  </r>
  <r>
    <x v="3"/>
    <x v="0"/>
    <n v="28.9"/>
    <x v="2"/>
    <x v="1"/>
    <x v="3"/>
    <x v="0"/>
    <n v="1"/>
    <n v="3"/>
    <x v="17"/>
    <d v="1899-12-30T00:31:40"/>
  </r>
  <r>
    <x v="3"/>
    <x v="0"/>
    <n v="28.9"/>
    <x v="2"/>
    <x v="1"/>
    <x v="3"/>
    <x v="0"/>
    <n v="1"/>
    <n v="3"/>
    <x v="17"/>
    <d v="1899-12-30T00:32:38"/>
  </r>
  <r>
    <x v="3"/>
    <x v="0"/>
    <n v="28.9"/>
    <x v="2"/>
    <x v="1"/>
    <x v="3"/>
    <x v="0"/>
    <n v="1"/>
    <n v="3"/>
    <x v="17"/>
    <d v="1899-12-30T00:33:37"/>
  </r>
  <r>
    <x v="8"/>
    <x v="0"/>
    <n v="38.700000000000003"/>
    <x v="0"/>
    <x v="1"/>
    <x v="4"/>
    <x v="0"/>
    <n v="2"/>
    <n v="3"/>
    <x v="18"/>
    <d v="1899-12-30T00:02:22"/>
  </r>
  <r>
    <x v="8"/>
    <x v="0"/>
    <n v="38.700000000000003"/>
    <x v="0"/>
    <x v="1"/>
    <x v="4"/>
    <x v="0"/>
    <n v="2"/>
    <n v="3"/>
    <x v="18"/>
    <d v="1899-12-30T00:03:20"/>
  </r>
  <r>
    <x v="3"/>
    <x v="0"/>
    <n v="38.700000000000003"/>
    <x v="1"/>
    <x v="1"/>
    <x v="4"/>
    <x v="0"/>
    <n v="2"/>
    <n v="3"/>
    <x v="18"/>
    <d v="1899-12-30T00:04:36"/>
  </r>
  <r>
    <x v="4"/>
    <x v="0"/>
    <n v="33.799999999999997"/>
    <x v="3"/>
    <x v="1"/>
    <x v="4"/>
    <x v="0"/>
    <n v="2"/>
    <n v="3"/>
    <x v="18"/>
    <d v="1899-12-30T00:53:49"/>
  </r>
  <r>
    <x v="7"/>
    <x v="0"/>
    <n v="28.9"/>
    <x v="5"/>
    <x v="0"/>
    <x v="5"/>
    <x v="0"/>
    <n v="3"/>
    <n v="3"/>
    <x v="19"/>
    <d v="1899-12-30T00:41:16"/>
  </r>
  <r>
    <x v="1"/>
    <x v="0"/>
    <n v="28.9"/>
    <x v="5"/>
    <x v="1"/>
    <x v="5"/>
    <x v="0"/>
    <n v="3"/>
    <n v="3"/>
    <x v="19"/>
    <d v="1899-12-30T00:30:49"/>
  </r>
  <r>
    <x v="2"/>
    <x v="0"/>
    <n v="38.700000000000003"/>
    <x v="7"/>
    <x v="1"/>
    <x v="5"/>
    <x v="0"/>
    <n v="3"/>
    <n v="3"/>
    <x v="19"/>
    <d v="1899-12-30T00:16:47"/>
  </r>
  <r>
    <x v="4"/>
    <x v="0"/>
    <n v="38.700000000000003"/>
    <x v="4"/>
    <x v="1"/>
    <x v="5"/>
    <x v="0"/>
    <n v="3"/>
    <n v="3"/>
    <x v="19"/>
    <d v="1899-12-30T00:42:38"/>
  </r>
  <r>
    <x v="9"/>
    <x v="0"/>
    <n v="38.700000000000003"/>
    <x v="0"/>
    <x v="2"/>
    <x v="5"/>
    <x v="0"/>
    <n v="3"/>
    <n v="3"/>
    <x v="19"/>
    <d v="1899-12-30T00:50:29"/>
  </r>
  <r>
    <x v="1"/>
    <x v="0"/>
    <n v="28.9"/>
    <x v="5"/>
    <x v="1"/>
    <x v="6"/>
    <x v="0"/>
    <n v="4"/>
    <n v="3"/>
    <x v="20"/>
    <d v="1899-12-30T00:25:09"/>
  </r>
  <r>
    <x v="1"/>
    <x v="0"/>
    <n v="38.700000000000003"/>
    <x v="7"/>
    <x v="1"/>
    <x v="6"/>
    <x v="0"/>
    <n v="4"/>
    <n v="3"/>
    <x v="20"/>
    <d v="1899-12-30T00:26:17"/>
  </r>
  <r>
    <x v="9"/>
    <x v="0"/>
    <n v="28.9"/>
    <x v="5"/>
    <x v="2"/>
    <x v="6"/>
    <x v="0"/>
    <n v="4"/>
    <n v="3"/>
    <x v="20"/>
    <d v="1899-12-30T00:22:01"/>
  </r>
  <r>
    <x v="6"/>
    <x v="0"/>
    <n v="38.700000000000003"/>
    <x v="0"/>
    <x v="2"/>
    <x v="6"/>
    <x v="0"/>
    <n v="4"/>
    <n v="3"/>
    <x v="20"/>
    <d v="1899-12-30T00:20:37"/>
  </r>
  <r>
    <x v="0"/>
    <x v="0"/>
    <n v="33.799999999999997"/>
    <x v="3"/>
    <x v="0"/>
    <x v="0"/>
    <x v="0"/>
    <n v="5"/>
    <n v="3"/>
    <x v="21"/>
    <d v="1899-12-30T00:35:54"/>
  </r>
  <r>
    <x v="2"/>
    <x v="0"/>
    <n v="33.799999999999997"/>
    <x v="3"/>
    <x v="1"/>
    <x v="0"/>
    <x v="0"/>
    <n v="5"/>
    <n v="3"/>
    <x v="21"/>
    <d v="1899-12-30T00:29:20"/>
  </r>
  <r>
    <x v="9"/>
    <x v="0"/>
    <n v="28.9"/>
    <x v="2"/>
    <x v="2"/>
    <x v="0"/>
    <x v="0"/>
    <n v="5"/>
    <n v="3"/>
    <x v="21"/>
    <d v="1899-12-30T00:17:04"/>
  </r>
  <r>
    <x v="9"/>
    <x v="0"/>
    <n v="24"/>
    <x v="6"/>
    <x v="2"/>
    <x v="0"/>
    <x v="0"/>
    <n v="5"/>
    <n v="3"/>
    <x v="21"/>
    <d v="1899-12-30T00:17:59"/>
  </r>
  <r>
    <x v="9"/>
    <x v="0"/>
    <n v="28.9"/>
    <x v="2"/>
    <x v="2"/>
    <x v="0"/>
    <x v="0"/>
    <n v="5"/>
    <n v="3"/>
    <x v="21"/>
    <d v="1899-12-30T00:20:50"/>
  </r>
  <r>
    <x v="0"/>
    <x v="0"/>
    <n v="38.700000000000003"/>
    <x v="0"/>
    <x v="0"/>
    <x v="1"/>
    <x v="0"/>
    <n v="6"/>
    <n v="3"/>
    <x v="22"/>
    <d v="1899-12-30T00:44:00"/>
  </r>
  <r>
    <x v="0"/>
    <x v="0"/>
    <n v="33.799999999999997"/>
    <x v="3"/>
    <x v="0"/>
    <x v="1"/>
    <x v="0"/>
    <n v="6"/>
    <n v="3"/>
    <x v="22"/>
    <d v="1899-12-30T00:45:07"/>
  </r>
  <r>
    <x v="2"/>
    <x v="0"/>
    <n v="38.700000000000003"/>
    <x v="7"/>
    <x v="1"/>
    <x v="1"/>
    <x v="0"/>
    <n v="6"/>
    <n v="3"/>
    <x v="22"/>
    <d v="1899-12-30T00:10:08"/>
  </r>
  <r>
    <x v="2"/>
    <x v="0"/>
    <n v="38.700000000000003"/>
    <x v="4"/>
    <x v="1"/>
    <x v="1"/>
    <x v="0"/>
    <n v="6"/>
    <n v="3"/>
    <x v="22"/>
    <d v="1899-12-30T00:11:12"/>
  </r>
  <r>
    <x v="8"/>
    <x v="0"/>
    <n v="33.799999999999997"/>
    <x v="3"/>
    <x v="1"/>
    <x v="1"/>
    <x v="0"/>
    <n v="6"/>
    <n v="3"/>
    <x v="22"/>
    <d v="1899-12-30T00:44:41"/>
  </r>
  <r>
    <x v="3"/>
    <x v="0"/>
    <n v="38.700000000000003"/>
    <x v="0"/>
    <x v="1"/>
    <x v="1"/>
    <x v="0"/>
    <n v="6"/>
    <n v="3"/>
    <x v="22"/>
    <d v="1899-12-30T00:47:19"/>
  </r>
  <r>
    <x v="3"/>
    <x v="0"/>
    <n v="33.799999999999997"/>
    <x v="3"/>
    <x v="1"/>
    <x v="1"/>
    <x v="0"/>
    <n v="6"/>
    <n v="3"/>
    <x v="22"/>
    <d v="1899-12-30T00:49:34"/>
  </r>
  <r>
    <x v="4"/>
    <x v="0"/>
    <n v="28.9"/>
    <x v="5"/>
    <x v="1"/>
    <x v="1"/>
    <x v="0"/>
    <n v="6"/>
    <n v="3"/>
    <x v="22"/>
    <d v="1899-12-30T00:00:58"/>
  </r>
  <r>
    <x v="5"/>
    <x v="0"/>
    <n v="38.700000000000003"/>
    <x v="0"/>
    <x v="2"/>
    <x v="2"/>
    <x v="0"/>
    <n v="7"/>
    <n v="3"/>
    <x v="23"/>
    <d v="1899-12-30T00:45:08"/>
  </r>
  <r>
    <x v="0"/>
    <x v="0"/>
    <n v="38.700000000000003"/>
    <x v="0"/>
    <x v="0"/>
    <x v="3"/>
    <x v="0"/>
    <n v="1"/>
    <n v="3"/>
    <x v="24"/>
    <d v="1899-12-30T00:31:47"/>
  </r>
  <r>
    <x v="8"/>
    <x v="0"/>
    <n v="38.700000000000003"/>
    <x v="0"/>
    <x v="1"/>
    <x v="3"/>
    <x v="0"/>
    <n v="1"/>
    <n v="3"/>
    <x v="24"/>
    <d v="1899-12-30T00:27:09"/>
  </r>
  <r>
    <x v="8"/>
    <x v="0"/>
    <n v="38.700000000000003"/>
    <x v="0"/>
    <x v="1"/>
    <x v="3"/>
    <x v="0"/>
    <n v="1"/>
    <n v="3"/>
    <x v="24"/>
    <d v="1899-12-30T00:29:25"/>
  </r>
  <r>
    <x v="5"/>
    <x v="0"/>
    <n v="33.799999999999997"/>
    <x v="3"/>
    <x v="2"/>
    <x v="3"/>
    <x v="0"/>
    <n v="1"/>
    <n v="3"/>
    <x v="24"/>
    <d v="1899-12-30T00:37:31"/>
  </r>
  <r>
    <x v="6"/>
    <x v="0"/>
    <n v="38.700000000000003"/>
    <x v="7"/>
    <x v="2"/>
    <x v="3"/>
    <x v="0"/>
    <n v="1"/>
    <n v="3"/>
    <x v="24"/>
    <d v="1899-12-30T00:34:25"/>
  </r>
  <r>
    <x v="0"/>
    <x v="0"/>
    <n v="38.700000000000003"/>
    <x v="4"/>
    <x v="0"/>
    <x v="4"/>
    <x v="0"/>
    <n v="2"/>
    <n v="3"/>
    <x v="25"/>
    <d v="1899-12-30T00:35:50"/>
  </r>
  <r>
    <x v="0"/>
    <x v="0"/>
    <n v="38.700000000000003"/>
    <x v="0"/>
    <x v="0"/>
    <x v="4"/>
    <x v="0"/>
    <n v="2"/>
    <n v="3"/>
    <x v="25"/>
    <d v="1899-12-30T00:36:36"/>
  </r>
  <r>
    <x v="0"/>
    <x v="0"/>
    <n v="38.700000000000003"/>
    <x v="0"/>
    <x v="0"/>
    <x v="4"/>
    <x v="0"/>
    <n v="2"/>
    <n v="3"/>
    <x v="25"/>
    <d v="1899-12-30T00:42:30"/>
  </r>
  <r>
    <x v="7"/>
    <x v="0"/>
    <n v="28.9"/>
    <x v="5"/>
    <x v="0"/>
    <x v="4"/>
    <x v="0"/>
    <n v="2"/>
    <n v="3"/>
    <x v="25"/>
    <d v="1899-12-30T00:11:47"/>
  </r>
  <r>
    <x v="2"/>
    <x v="0"/>
    <n v="28.9"/>
    <x v="2"/>
    <x v="1"/>
    <x v="4"/>
    <x v="0"/>
    <n v="2"/>
    <n v="3"/>
    <x v="25"/>
    <d v="1899-12-30T00:35:53"/>
  </r>
  <r>
    <x v="2"/>
    <x v="0"/>
    <n v="28.9"/>
    <x v="5"/>
    <x v="1"/>
    <x v="4"/>
    <x v="0"/>
    <n v="2"/>
    <n v="3"/>
    <x v="25"/>
    <d v="1899-12-30T00:36:50"/>
  </r>
  <r>
    <x v="2"/>
    <x v="0"/>
    <n v="28.9"/>
    <x v="5"/>
    <x v="1"/>
    <x v="4"/>
    <x v="0"/>
    <n v="2"/>
    <n v="3"/>
    <x v="25"/>
    <d v="1899-12-30T00:38:00"/>
  </r>
  <r>
    <x v="2"/>
    <x v="0"/>
    <n v="28.9"/>
    <x v="2"/>
    <x v="1"/>
    <x v="4"/>
    <x v="0"/>
    <n v="2"/>
    <n v="3"/>
    <x v="25"/>
    <d v="1899-12-30T00:57:54"/>
  </r>
  <r>
    <x v="3"/>
    <x v="0"/>
    <n v="38.700000000000003"/>
    <x v="0"/>
    <x v="1"/>
    <x v="4"/>
    <x v="0"/>
    <n v="2"/>
    <n v="3"/>
    <x v="25"/>
    <d v="1899-12-30T00:48:02"/>
  </r>
  <r>
    <x v="5"/>
    <x v="0"/>
    <n v="38.700000000000003"/>
    <x v="0"/>
    <x v="2"/>
    <x v="4"/>
    <x v="0"/>
    <n v="2"/>
    <n v="3"/>
    <x v="25"/>
    <d v="1899-12-30T00:33:39"/>
  </r>
  <r>
    <x v="5"/>
    <x v="0"/>
    <n v="38.700000000000003"/>
    <x v="1"/>
    <x v="2"/>
    <x v="4"/>
    <x v="0"/>
    <n v="2"/>
    <n v="3"/>
    <x v="25"/>
    <d v="1899-12-30T00:34:55"/>
  </r>
  <r>
    <x v="7"/>
    <x v="0"/>
    <n v="28.9"/>
    <x v="5"/>
    <x v="0"/>
    <x v="5"/>
    <x v="0"/>
    <n v="3"/>
    <n v="3"/>
    <x v="26"/>
    <d v="1899-12-30T00:04:51"/>
  </r>
  <r>
    <x v="7"/>
    <x v="0"/>
    <n v="33.799999999999997"/>
    <x v="3"/>
    <x v="0"/>
    <x v="5"/>
    <x v="0"/>
    <n v="3"/>
    <n v="3"/>
    <x v="26"/>
    <d v="1899-12-30T00:05:58"/>
  </r>
  <r>
    <x v="1"/>
    <x v="0"/>
    <n v="33.799999999999997"/>
    <x v="3"/>
    <x v="1"/>
    <x v="5"/>
    <x v="0"/>
    <n v="3"/>
    <n v="3"/>
    <x v="26"/>
    <d v="1899-12-30T00:57:01"/>
  </r>
  <r>
    <x v="2"/>
    <x v="0"/>
    <n v="38.700000000000003"/>
    <x v="1"/>
    <x v="1"/>
    <x v="5"/>
    <x v="0"/>
    <n v="3"/>
    <n v="3"/>
    <x v="26"/>
    <d v="1899-12-30T00:35:20"/>
  </r>
  <r>
    <x v="8"/>
    <x v="0"/>
    <n v="38.700000000000003"/>
    <x v="7"/>
    <x v="1"/>
    <x v="5"/>
    <x v="0"/>
    <n v="3"/>
    <n v="3"/>
    <x v="26"/>
    <d v="1899-12-30T00:22:32"/>
  </r>
  <r>
    <x v="8"/>
    <x v="0"/>
    <n v="28.9"/>
    <x v="2"/>
    <x v="1"/>
    <x v="5"/>
    <x v="0"/>
    <n v="3"/>
    <n v="3"/>
    <x v="26"/>
    <d v="1899-12-30T00:23:35"/>
  </r>
  <r>
    <x v="5"/>
    <x v="0"/>
    <n v="28.9"/>
    <x v="5"/>
    <x v="2"/>
    <x v="5"/>
    <x v="0"/>
    <n v="3"/>
    <n v="3"/>
    <x v="26"/>
    <d v="1899-12-30T00:30:12"/>
  </r>
  <r>
    <x v="8"/>
    <x v="0"/>
    <n v="28.9"/>
    <x v="5"/>
    <x v="1"/>
    <x v="6"/>
    <x v="0"/>
    <n v="4"/>
    <n v="3"/>
    <x v="27"/>
    <d v="1899-12-30T00:24:47"/>
  </r>
  <r>
    <x v="9"/>
    <x v="0"/>
    <n v="28.9"/>
    <x v="5"/>
    <x v="2"/>
    <x v="6"/>
    <x v="0"/>
    <n v="4"/>
    <n v="3"/>
    <x v="27"/>
    <d v="1899-12-30T00:24:46"/>
  </r>
  <r>
    <x v="9"/>
    <x v="0"/>
    <n v="28.9"/>
    <x v="2"/>
    <x v="2"/>
    <x v="6"/>
    <x v="0"/>
    <n v="4"/>
    <n v="3"/>
    <x v="27"/>
    <d v="1899-12-30T00:27:05"/>
  </r>
  <r>
    <x v="9"/>
    <x v="0"/>
    <n v="38.700000000000003"/>
    <x v="0"/>
    <x v="2"/>
    <x v="6"/>
    <x v="0"/>
    <n v="4"/>
    <n v="3"/>
    <x v="27"/>
    <d v="1899-12-30T00:32:45"/>
  </r>
  <r>
    <x v="0"/>
    <x v="0"/>
    <n v="38.700000000000003"/>
    <x v="0"/>
    <x v="0"/>
    <x v="0"/>
    <x v="0"/>
    <n v="5"/>
    <n v="3"/>
    <x v="28"/>
    <d v="1899-12-30T00:56:20"/>
  </r>
  <r>
    <x v="1"/>
    <x v="0"/>
    <n v="38.700000000000003"/>
    <x v="7"/>
    <x v="1"/>
    <x v="0"/>
    <x v="0"/>
    <n v="5"/>
    <n v="3"/>
    <x v="28"/>
    <d v="1899-12-30T00:34:17"/>
  </r>
  <r>
    <x v="1"/>
    <x v="0"/>
    <n v="38.700000000000003"/>
    <x v="7"/>
    <x v="1"/>
    <x v="0"/>
    <x v="0"/>
    <n v="5"/>
    <n v="3"/>
    <x v="28"/>
    <d v="1899-12-30T00:41:32"/>
  </r>
  <r>
    <x v="7"/>
    <x v="0"/>
    <n v="38.700000000000003"/>
    <x v="0"/>
    <x v="0"/>
    <x v="1"/>
    <x v="0"/>
    <n v="6"/>
    <n v="3"/>
    <x v="29"/>
    <d v="1899-12-30T00:59:20"/>
  </r>
  <r>
    <x v="4"/>
    <x v="0"/>
    <n v="38.700000000000003"/>
    <x v="0"/>
    <x v="1"/>
    <x v="1"/>
    <x v="0"/>
    <n v="6"/>
    <n v="3"/>
    <x v="29"/>
    <d v="1899-12-30T00:12:32"/>
  </r>
  <r>
    <x v="4"/>
    <x v="0"/>
    <n v="38.700000000000003"/>
    <x v="0"/>
    <x v="1"/>
    <x v="1"/>
    <x v="0"/>
    <n v="6"/>
    <n v="3"/>
    <x v="29"/>
    <d v="1899-12-30T00:36:41"/>
  </r>
  <r>
    <x v="4"/>
    <x v="0"/>
    <n v="33.799999999999997"/>
    <x v="3"/>
    <x v="1"/>
    <x v="1"/>
    <x v="0"/>
    <n v="6"/>
    <n v="3"/>
    <x v="29"/>
    <d v="1899-12-30T00:37:58"/>
  </r>
  <r>
    <x v="0"/>
    <x v="0"/>
    <n v="38.700000000000003"/>
    <x v="7"/>
    <x v="0"/>
    <x v="2"/>
    <x v="0"/>
    <n v="7"/>
    <n v="3"/>
    <x v="30"/>
    <d v="1899-12-30T00:40:05"/>
  </r>
  <r>
    <x v="0"/>
    <x v="0"/>
    <n v="28.9"/>
    <x v="2"/>
    <x v="0"/>
    <x v="3"/>
    <x v="1"/>
    <n v="1"/>
    <n v="4"/>
    <x v="31"/>
    <d v="1899-12-30T00:28:48"/>
  </r>
  <r>
    <x v="0"/>
    <x v="0"/>
    <n v="33.799999999999997"/>
    <x v="3"/>
    <x v="0"/>
    <x v="3"/>
    <x v="1"/>
    <n v="1"/>
    <n v="4"/>
    <x v="31"/>
    <d v="1899-12-30T00:29:42"/>
  </r>
  <r>
    <x v="0"/>
    <x v="0"/>
    <n v="33.799999999999997"/>
    <x v="3"/>
    <x v="0"/>
    <x v="3"/>
    <x v="1"/>
    <n v="1"/>
    <n v="4"/>
    <x v="31"/>
    <d v="1899-12-30T00:30:44"/>
  </r>
  <r>
    <x v="7"/>
    <x v="0"/>
    <n v="33.799999999999997"/>
    <x v="3"/>
    <x v="0"/>
    <x v="3"/>
    <x v="1"/>
    <n v="1"/>
    <n v="4"/>
    <x v="31"/>
    <d v="1899-12-30T00:15:44"/>
  </r>
  <r>
    <x v="5"/>
    <x v="0"/>
    <n v="33.799999999999997"/>
    <x v="3"/>
    <x v="2"/>
    <x v="3"/>
    <x v="1"/>
    <n v="1"/>
    <n v="4"/>
    <x v="31"/>
    <d v="1899-12-30T00:18:42"/>
  </r>
  <r>
    <x v="5"/>
    <x v="0"/>
    <n v="38.700000000000003"/>
    <x v="1"/>
    <x v="2"/>
    <x v="3"/>
    <x v="1"/>
    <n v="1"/>
    <n v="4"/>
    <x v="31"/>
    <d v="1899-12-30T00:45:27"/>
  </r>
  <r>
    <x v="0"/>
    <x v="0"/>
    <n v="38.700000000000003"/>
    <x v="0"/>
    <x v="0"/>
    <x v="4"/>
    <x v="1"/>
    <n v="2"/>
    <n v="4"/>
    <x v="32"/>
    <d v="1899-12-30T00:01:14"/>
  </r>
  <r>
    <x v="4"/>
    <x v="0"/>
    <n v="28.9"/>
    <x v="2"/>
    <x v="1"/>
    <x v="4"/>
    <x v="1"/>
    <n v="2"/>
    <n v="4"/>
    <x v="32"/>
    <d v="1899-12-30T00:18:34"/>
  </r>
  <r>
    <x v="4"/>
    <x v="0"/>
    <n v="28.9"/>
    <x v="5"/>
    <x v="1"/>
    <x v="4"/>
    <x v="1"/>
    <n v="2"/>
    <n v="4"/>
    <x v="32"/>
    <d v="1899-12-30T00:19:29"/>
  </r>
  <r>
    <x v="0"/>
    <x v="0"/>
    <n v="28.9"/>
    <x v="5"/>
    <x v="0"/>
    <x v="5"/>
    <x v="1"/>
    <n v="3"/>
    <n v="4"/>
    <x v="33"/>
    <d v="1899-12-30T00:19:14"/>
  </r>
  <r>
    <x v="0"/>
    <x v="0"/>
    <n v="28.9"/>
    <x v="2"/>
    <x v="0"/>
    <x v="5"/>
    <x v="1"/>
    <n v="3"/>
    <n v="4"/>
    <x v="33"/>
    <d v="1899-12-30T00:20:08"/>
  </r>
  <r>
    <x v="2"/>
    <x v="0"/>
    <n v="38.700000000000003"/>
    <x v="7"/>
    <x v="1"/>
    <x v="5"/>
    <x v="1"/>
    <n v="3"/>
    <n v="4"/>
    <x v="33"/>
    <d v="1899-12-30T00:12:05"/>
  </r>
  <r>
    <x v="0"/>
    <x v="0"/>
    <n v="38.700000000000003"/>
    <x v="0"/>
    <x v="0"/>
    <x v="6"/>
    <x v="1"/>
    <n v="4"/>
    <n v="4"/>
    <x v="34"/>
    <d v="1899-12-30T00:44:56"/>
  </r>
  <r>
    <x v="7"/>
    <x v="0"/>
    <n v="38.700000000000003"/>
    <x v="0"/>
    <x v="0"/>
    <x v="6"/>
    <x v="1"/>
    <n v="4"/>
    <n v="4"/>
    <x v="34"/>
    <d v="1899-12-30T00:26:38"/>
  </r>
  <r>
    <x v="7"/>
    <x v="0"/>
    <n v="38.700000000000003"/>
    <x v="7"/>
    <x v="0"/>
    <x v="6"/>
    <x v="1"/>
    <n v="4"/>
    <n v="4"/>
    <x v="34"/>
    <d v="1899-12-30T00:27:48"/>
  </r>
  <r>
    <x v="1"/>
    <x v="0"/>
    <n v="28.9"/>
    <x v="5"/>
    <x v="1"/>
    <x v="6"/>
    <x v="1"/>
    <n v="4"/>
    <n v="4"/>
    <x v="34"/>
    <d v="1899-12-30T00:23:02"/>
  </r>
  <r>
    <x v="0"/>
    <x v="0"/>
    <n v="28.9"/>
    <x v="2"/>
    <x v="0"/>
    <x v="0"/>
    <x v="1"/>
    <n v="5"/>
    <n v="4"/>
    <x v="35"/>
    <d v="1899-12-30T00:40:43"/>
  </r>
  <r>
    <x v="0"/>
    <x v="0"/>
    <n v="28.9"/>
    <x v="2"/>
    <x v="0"/>
    <x v="0"/>
    <x v="1"/>
    <n v="5"/>
    <n v="4"/>
    <x v="35"/>
    <d v="1899-12-30T00:42:06"/>
  </r>
  <r>
    <x v="7"/>
    <x v="0"/>
    <n v="28.9"/>
    <x v="5"/>
    <x v="0"/>
    <x v="0"/>
    <x v="1"/>
    <n v="5"/>
    <n v="4"/>
    <x v="35"/>
    <d v="1899-12-30T00:06:15"/>
  </r>
  <r>
    <x v="1"/>
    <x v="0"/>
    <n v="33.799999999999997"/>
    <x v="3"/>
    <x v="1"/>
    <x v="0"/>
    <x v="1"/>
    <n v="5"/>
    <n v="4"/>
    <x v="35"/>
    <d v="1899-12-30T00:14:28"/>
  </r>
  <r>
    <x v="8"/>
    <x v="0"/>
    <n v="38.700000000000003"/>
    <x v="0"/>
    <x v="1"/>
    <x v="0"/>
    <x v="1"/>
    <n v="5"/>
    <n v="4"/>
    <x v="35"/>
    <d v="1899-12-30T00:23:40"/>
  </r>
  <r>
    <x v="8"/>
    <x v="0"/>
    <n v="28.9"/>
    <x v="5"/>
    <x v="1"/>
    <x v="0"/>
    <x v="1"/>
    <n v="5"/>
    <n v="4"/>
    <x v="35"/>
    <d v="1899-12-30T00:24:50"/>
  </r>
  <r>
    <x v="4"/>
    <x v="0"/>
    <n v="24"/>
    <x v="6"/>
    <x v="1"/>
    <x v="0"/>
    <x v="1"/>
    <n v="5"/>
    <n v="4"/>
    <x v="35"/>
    <d v="1899-12-30T00:18:24"/>
  </r>
  <r>
    <x v="1"/>
    <x v="0"/>
    <n v="33.799999999999997"/>
    <x v="3"/>
    <x v="1"/>
    <x v="1"/>
    <x v="1"/>
    <n v="6"/>
    <n v="4"/>
    <x v="36"/>
    <d v="1899-12-30T00:32:31"/>
  </r>
  <r>
    <x v="8"/>
    <x v="0"/>
    <n v="38.700000000000003"/>
    <x v="7"/>
    <x v="1"/>
    <x v="1"/>
    <x v="1"/>
    <n v="6"/>
    <n v="4"/>
    <x v="36"/>
    <d v="1899-12-30T00:13:19"/>
  </r>
  <r>
    <x v="8"/>
    <x v="0"/>
    <n v="28.9"/>
    <x v="2"/>
    <x v="1"/>
    <x v="1"/>
    <x v="1"/>
    <n v="6"/>
    <n v="4"/>
    <x v="36"/>
    <d v="1899-12-30T00:14:27"/>
  </r>
  <r>
    <x v="8"/>
    <x v="0"/>
    <n v="38.700000000000003"/>
    <x v="0"/>
    <x v="1"/>
    <x v="1"/>
    <x v="1"/>
    <n v="6"/>
    <n v="4"/>
    <x v="36"/>
    <d v="1899-12-30T00:49:50"/>
  </r>
  <r>
    <x v="0"/>
    <x v="0"/>
    <n v="38.700000000000003"/>
    <x v="0"/>
    <x v="0"/>
    <x v="2"/>
    <x v="1"/>
    <n v="7"/>
    <n v="4"/>
    <x v="37"/>
    <d v="1899-12-30T00:12:53"/>
  </r>
  <r>
    <x v="1"/>
    <x v="0"/>
    <n v="38.700000000000003"/>
    <x v="7"/>
    <x v="1"/>
    <x v="2"/>
    <x v="1"/>
    <n v="7"/>
    <n v="4"/>
    <x v="37"/>
    <d v="1899-12-30T00:44:32"/>
  </r>
  <r>
    <x v="1"/>
    <x v="0"/>
    <n v="38.700000000000003"/>
    <x v="7"/>
    <x v="1"/>
    <x v="2"/>
    <x v="1"/>
    <n v="7"/>
    <n v="4"/>
    <x v="37"/>
    <d v="1899-12-30T00:46:05"/>
  </r>
  <r>
    <x v="8"/>
    <x v="0"/>
    <n v="28.9"/>
    <x v="5"/>
    <x v="1"/>
    <x v="2"/>
    <x v="1"/>
    <n v="7"/>
    <n v="4"/>
    <x v="37"/>
    <d v="1899-12-30T00:16:25"/>
  </r>
  <r>
    <x v="8"/>
    <x v="0"/>
    <n v="24"/>
    <x v="6"/>
    <x v="1"/>
    <x v="2"/>
    <x v="1"/>
    <n v="7"/>
    <n v="4"/>
    <x v="37"/>
    <d v="1899-12-30T00:17:31"/>
  </r>
  <r>
    <x v="5"/>
    <x v="0"/>
    <n v="38.700000000000003"/>
    <x v="1"/>
    <x v="2"/>
    <x v="2"/>
    <x v="1"/>
    <n v="7"/>
    <n v="4"/>
    <x v="37"/>
    <d v="1899-12-30T00:01:17"/>
  </r>
  <r>
    <x v="5"/>
    <x v="0"/>
    <n v="33.799999999999997"/>
    <x v="3"/>
    <x v="2"/>
    <x v="2"/>
    <x v="1"/>
    <n v="7"/>
    <n v="4"/>
    <x v="37"/>
    <d v="1899-12-30T00:02:04"/>
  </r>
  <r>
    <x v="0"/>
    <x v="0"/>
    <n v="33.799999999999997"/>
    <x v="3"/>
    <x v="0"/>
    <x v="3"/>
    <x v="1"/>
    <n v="1"/>
    <n v="4"/>
    <x v="38"/>
    <d v="1899-12-30T00:58:21"/>
  </r>
  <r>
    <x v="0"/>
    <x v="0"/>
    <n v="38.700000000000003"/>
    <x v="7"/>
    <x v="0"/>
    <x v="3"/>
    <x v="1"/>
    <n v="1"/>
    <n v="4"/>
    <x v="38"/>
    <d v="1899-12-30T00:59:28"/>
  </r>
  <r>
    <x v="7"/>
    <x v="0"/>
    <n v="28.9"/>
    <x v="2"/>
    <x v="0"/>
    <x v="3"/>
    <x v="1"/>
    <n v="1"/>
    <n v="4"/>
    <x v="38"/>
    <d v="1899-12-30T00:01:21"/>
  </r>
  <r>
    <x v="7"/>
    <x v="0"/>
    <n v="38.700000000000003"/>
    <x v="7"/>
    <x v="0"/>
    <x v="3"/>
    <x v="1"/>
    <n v="1"/>
    <n v="4"/>
    <x v="38"/>
    <d v="1899-12-30T00:04:47"/>
  </r>
  <r>
    <x v="4"/>
    <x v="0"/>
    <n v="38.700000000000003"/>
    <x v="0"/>
    <x v="1"/>
    <x v="3"/>
    <x v="1"/>
    <n v="1"/>
    <n v="4"/>
    <x v="38"/>
    <d v="1899-12-30T00:41:38"/>
  </r>
  <r>
    <x v="5"/>
    <x v="0"/>
    <n v="28.9"/>
    <x v="2"/>
    <x v="2"/>
    <x v="3"/>
    <x v="1"/>
    <n v="1"/>
    <n v="4"/>
    <x v="38"/>
    <d v="1899-12-30T00:18:10"/>
  </r>
  <r>
    <x v="6"/>
    <x v="0"/>
    <n v="33.799999999999997"/>
    <x v="3"/>
    <x v="2"/>
    <x v="3"/>
    <x v="1"/>
    <n v="1"/>
    <n v="4"/>
    <x v="38"/>
    <d v="1899-12-30T00:22:28"/>
  </r>
  <r>
    <x v="6"/>
    <x v="0"/>
    <n v="38.700000000000003"/>
    <x v="7"/>
    <x v="2"/>
    <x v="3"/>
    <x v="1"/>
    <n v="1"/>
    <n v="4"/>
    <x v="38"/>
    <d v="1899-12-30T00:23:59"/>
  </r>
  <r>
    <x v="7"/>
    <x v="0"/>
    <n v="38.700000000000003"/>
    <x v="0"/>
    <x v="0"/>
    <x v="4"/>
    <x v="1"/>
    <n v="2"/>
    <n v="4"/>
    <x v="39"/>
    <d v="1899-12-30T00:42:29"/>
  </r>
  <r>
    <x v="3"/>
    <x v="0"/>
    <n v="38.700000000000003"/>
    <x v="1"/>
    <x v="1"/>
    <x v="4"/>
    <x v="1"/>
    <n v="2"/>
    <n v="4"/>
    <x v="39"/>
    <d v="1899-12-30T00:11:49"/>
  </r>
  <r>
    <x v="9"/>
    <x v="0"/>
    <n v="38.700000000000003"/>
    <x v="1"/>
    <x v="2"/>
    <x v="4"/>
    <x v="1"/>
    <n v="2"/>
    <n v="4"/>
    <x v="39"/>
    <d v="1899-12-30T00:25:24"/>
  </r>
  <r>
    <x v="9"/>
    <x v="0"/>
    <n v="24"/>
    <x v="6"/>
    <x v="2"/>
    <x v="5"/>
    <x v="1"/>
    <n v="3"/>
    <n v="4"/>
    <x v="40"/>
    <d v="1899-12-30T00:55:31"/>
  </r>
  <r>
    <x v="5"/>
    <x v="0"/>
    <n v="38.700000000000003"/>
    <x v="7"/>
    <x v="2"/>
    <x v="5"/>
    <x v="1"/>
    <n v="3"/>
    <n v="4"/>
    <x v="40"/>
    <d v="1899-12-30T00:24:59"/>
  </r>
  <r>
    <x v="11"/>
    <x v="0"/>
    <n v="38.700000000000003"/>
    <x v="0"/>
    <x v="2"/>
    <x v="5"/>
    <x v="1"/>
    <n v="3"/>
    <n v="4"/>
    <x v="40"/>
    <d v="1899-12-30T00:04:05"/>
  </r>
  <r>
    <x v="0"/>
    <x v="0"/>
    <n v="28.9"/>
    <x v="2"/>
    <x v="0"/>
    <x v="6"/>
    <x v="1"/>
    <n v="4"/>
    <n v="4"/>
    <x v="41"/>
    <d v="1899-12-30T00:41:23"/>
  </r>
  <r>
    <x v="0"/>
    <x v="0"/>
    <n v="28.9"/>
    <x v="2"/>
    <x v="0"/>
    <x v="6"/>
    <x v="1"/>
    <n v="4"/>
    <n v="4"/>
    <x v="41"/>
    <d v="1899-12-30T00:42:59"/>
  </r>
  <r>
    <x v="4"/>
    <x v="0"/>
    <n v="38.700000000000003"/>
    <x v="0"/>
    <x v="1"/>
    <x v="6"/>
    <x v="1"/>
    <n v="4"/>
    <n v="4"/>
    <x v="41"/>
    <d v="1899-12-30T00:35:23"/>
  </r>
  <r>
    <x v="6"/>
    <x v="0"/>
    <n v="38.700000000000003"/>
    <x v="7"/>
    <x v="2"/>
    <x v="6"/>
    <x v="1"/>
    <n v="4"/>
    <n v="4"/>
    <x v="41"/>
    <d v="1899-12-30T00:16:57"/>
  </r>
  <r>
    <x v="6"/>
    <x v="0"/>
    <n v="33.799999999999997"/>
    <x v="3"/>
    <x v="2"/>
    <x v="6"/>
    <x v="1"/>
    <n v="4"/>
    <n v="4"/>
    <x v="41"/>
    <d v="1899-12-30T00:18:37"/>
  </r>
  <r>
    <x v="6"/>
    <x v="0"/>
    <n v="38.700000000000003"/>
    <x v="1"/>
    <x v="2"/>
    <x v="0"/>
    <x v="1"/>
    <n v="5"/>
    <n v="4"/>
    <x v="42"/>
    <d v="1899-12-30T00:03:43"/>
  </r>
  <r>
    <x v="6"/>
    <x v="0"/>
    <n v="28.9"/>
    <x v="5"/>
    <x v="2"/>
    <x v="0"/>
    <x v="1"/>
    <n v="5"/>
    <n v="4"/>
    <x v="42"/>
    <d v="1899-12-30T00:38:23"/>
  </r>
  <r>
    <x v="1"/>
    <x v="0"/>
    <n v="38.700000000000003"/>
    <x v="0"/>
    <x v="1"/>
    <x v="1"/>
    <x v="1"/>
    <n v="6"/>
    <n v="4"/>
    <x v="43"/>
    <d v="1899-12-30T00:29:20"/>
  </r>
  <r>
    <x v="1"/>
    <x v="0"/>
    <n v="28.9"/>
    <x v="2"/>
    <x v="1"/>
    <x v="1"/>
    <x v="1"/>
    <n v="6"/>
    <n v="4"/>
    <x v="43"/>
    <d v="1899-12-30T00:43:02"/>
  </r>
  <r>
    <x v="4"/>
    <x v="0"/>
    <n v="38.700000000000003"/>
    <x v="7"/>
    <x v="1"/>
    <x v="1"/>
    <x v="1"/>
    <n v="6"/>
    <n v="4"/>
    <x v="43"/>
    <d v="1899-12-30T00:18:04"/>
  </r>
  <r>
    <x v="4"/>
    <x v="0"/>
    <n v="38.700000000000003"/>
    <x v="0"/>
    <x v="1"/>
    <x v="1"/>
    <x v="1"/>
    <n v="6"/>
    <n v="4"/>
    <x v="43"/>
    <d v="1899-12-30T00:19:40"/>
  </r>
  <r>
    <x v="9"/>
    <x v="0"/>
    <n v="38.700000000000003"/>
    <x v="7"/>
    <x v="2"/>
    <x v="1"/>
    <x v="1"/>
    <n v="6"/>
    <n v="4"/>
    <x v="43"/>
    <d v="1899-12-30T00:51:26"/>
  </r>
  <r>
    <x v="9"/>
    <x v="0"/>
    <n v="38.700000000000003"/>
    <x v="7"/>
    <x v="2"/>
    <x v="1"/>
    <x v="1"/>
    <n v="6"/>
    <n v="4"/>
    <x v="43"/>
    <d v="1899-12-30T00:53:19"/>
  </r>
  <r>
    <x v="1"/>
    <x v="0"/>
    <n v="38.700000000000003"/>
    <x v="7"/>
    <x v="1"/>
    <x v="2"/>
    <x v="1"/>
    <n v="7"/>
    <n v="4"/>
    <x v="44"/>
    <d v="1899-12-30T00:24:39"/>
  </r>
  <r>
    <x v="2"/>
    <x v="0"/>
    <n v="28.9"/>
    <x v="5"/>
    <x v="1"/>
    <x v="2"/>
    <x v="1"/>
    <n v="7"/>
    <n v="4"/>
    <x v="44"/>
    <d v="1899-12-30T00:21:50"/>
  </r>
  <r>
    <x v="8"/>
    <x v="0"/>
    <n v="28.9"/>
    <x v="2"/>
    <x v="1"/>
    <x v="2"/>
    <x v="1"/>
    <n v="7"/>
    <n v="4"/>
    <x v="44"/>
    <d v="1899-12-30T00:23:32"/>
  </r>
  <r>
    <x v="8"/>
    <x v="0"/>
    <n v="28.9"/>
    <x v="2"/>
    <x v="1"/>
    <x v="2"/>
    <x v="1"/>
    <n v="7"/>
    <n v="4"/>
    <x v="44"/>
    <d v="1899-12-30T00:24:27"/>
  </r>
  <r>
    <x v="8"/>
    <x v="0"/>
    <n v="28.9"/>
    <x v="2"/>
    <x v="1"/>
    <x v="2"/>
    <x v="1"/>
    <n v="7"/>
    <n v="4"/>
    <x v="44"/>
    <d v="1899-12-30T00:25:18"/>
  </r>
  <r>
    <x v="3"/>
    <x v="0"/>
    <n v="38.700000000000003"/>
    <x v="7"/>
    <x v="1"/>
    <x v="2"/>
    <x v="1"/>
    <n v="7"/>
    <n v="4"/>
    <x v="44"/>
    <d v="1899-12-30T00:46:28"/>
  </r>
  <r>
    <x v="4"/>
    <x v="0"/>
    <n v="28.9"/>
    <x v="5"/>
    <x v="1"/>
    <x v="2"/>
    <x v="1"/>
    <n v="7"/>
    <n v="4"/>
    <x v="44"/>
    <d v="1899-12-30T00:59:55"/>
  </r>
  <r>
    <x v="9"/>
    <x v="0"/>
    <n v="38.700000000000003"/>
    <x v="0"/>
    <x v="2"/>
    <x v="2"/>
    <x v="1"/>
    <n v="7"/>
    <n v="4"/>
    <x v="44"/>
    <d v="1899-12-30T00:00:45"/>
  </r>
  <r>
    <x v="5"/>
    <x v="0"/>
    <n v="38.700000000000003"/>
    <x v="7"/>
    <x v="2"/>
    <x v="2"/>
    <x v="1"/>
    <n v="7"/>
    <n v="4"/>
    <x v="44"/>
    <d v="1899-12-30T00:38:20"/>
  </r>
  <r>
    <x v="7"/>
    <x v="0"/>
    <n v="28.9"/>
    <x v="2"/>
    <x v="0"/>
    <x v="3"/>
    <x v="1"/>
    <n v="1"/>
    <n v="4"/>
    <x v="45"/>
    <d v="1899-12-30T00:45:25"/>
  </r>
  <r>
    <x v="9"/>
    <x v="0"/>
    <n v="28.9"/>
    <x v="2"/>
    <x v="2"/>
    <x v="3"/>
    <x v="1"/>
    <n v="1"/>
    <n v="4"/>
    <x v="45"/>
    <d v="1899-12-30T00:01:46"/>
  </r>
  <r>
    <x v="9"/>
    <x v="0"/>
    <n v="33.799999999999997"/>
    <x v="3"/>
    <x v="2"/>
    <x v="3"/>
    <x v="1"/>
    <n v="1"/>
    <n v="4"/>
    <x v="45"/>
    <d v="1899-12-30T00:02:50"/>
  </r>
  <r>
    <x v="6"/>
    <x v="0"/>
    <n v="33.799999999999997"/>
    <x v="3"/>
    <x v="2"/>
    <x v="3"/>
    <x v="1"/>
    <n v="1"/>
    <n v="4"/>
    <x v="45"/>
    <d v="1899-12-30T00:33:03"/>
  </r>
  <r>
    <x v="0"/>
    <x v="0"/>
    <n v="33.799999999999997"/>
    <x v="3"/>
    <x v="0"/>
    <x v="4"/>
    <x v="1"/>
    <n v="2"/>
    <n v="4"/>
    <x v="46"/>
    <d v="1899-12-30T00:46:26"/>
  </r>
  <r>
    <x v="1"/>
    <x v="0"/>
    <n v="38.700000000000003"/>
    <x v="4"/>
    <x v="1"/>
    <x v="4"/>
    <x v="1"/>
    <n v="2"/>
    <n v="4"/>
    <x v="46"/>
    <d v="1899-12-30T00:40:48"/>
  </r>
  <r>
    <x v="1"/>
    <x v="0"/>
    <n v="28.9"/>
    <x v="5"/>
    <x v="1"/>
    <x v="4"/>
    <x v="1"/>
    <n v="2"/>
    <n v="4"/>
    <x v="46"/>
    <d v="1899-12-30T00:52:08"/>
  </r>
  <r>
    <x v="3"/>
    <x v="0"/>
    <n v="28.9"/>
    <x v="2"/>
    <x v="1"/>
    <x v="4"/>
    <x v="1"/>
    <n v="2"/>
    <n v="4"/>
    <x v="46"/>
    <d v="1899-12-30T00:03:17"/>
  </r>
  <r>
    <x v="9"/>
    <x v="0"/>
    <n v="33.799999999999997"/>
    <x v="3"/>
    <x v="2"/>
    <x v="4"/>
    <x v="1"/>
    <n v="2"/>
    <n v="4"/>
    <x v="46"/>
    <d v="1899-12-30T00:42:04"/>
  </r>
  <r>
    <x v="9"/>
    <x v="0"/>
    <n v="38.700000000000003"/>
    <x v="7"/>
    <x v="2"/>
    <x v="4"/>
    <x v="1"/>
    <n v="2"/>
    <n v="4"/>
    <x v="46"/>
    <d v="1899-12-30T00:43:23"/>
  </r>
  <r>
    <x v="5"/>
    <x v="0"/>
    <n v="38.700000000000003"/>
    <x v="4"/>
    <x v="2"/>
    <x v="4"/>
    <x v="1"/>
    <n v="2"/>
    <n v="4"/>
    <x v="46"/>
    <d v="1899-12-30T00:09:05"/>
  </r>
  <r>
    <x v="2"/>
    <x v="0"/>
    <n v="28.9"/>
    <x v="2"/>
    <x v="1"/>
    <x v="5"/>
    <x v="1"/>
    <n v="3"/>
    <n v="4"/>
    <x v="47"/>
    <d v="1899-12-30T00:33:00"/>
  </r>
  <r>
    <x v="2"/>
    <x v="0"/>
    <n v="24"/>
    <x v="6"/>
    <x v="1"/>
    <x v="5"/>
    <x v="1"/>
    <n v="3"/>
    <n v="4"/>
    <x v="47"/>
    <d v="1899-12-30T00:44:00"/>
  </r>
  <r>
    <x v="9"/>
    <x v="0"/>
    <n v="38.700000000000003"/>
    <x v="7"/>
    <x v="2"/>
    <x v="5"/>
    <x v="1"/>
    <n v="3"/>
    <n v="4"/>
    <x v="47"/>
    <d v="1899-12-30T00:01:35"/>
  </r>
  <r>
    <x v="9"/>
    <x v="0"/>
    <n v="38.700000000000003"/>
    <x v="7"/>
    <x v="2"/>
    <x v="5"/>
    <x v="1"/>
    <n v="3"/>
    <n v="4"/>
    <x v="47"/>
    <d v="1899-12-30T00:02:41"/>
  </r>
  <r>
    <x v="5"/>
    <x v="0"/>
    <n v="28.9"/>
    <x v="5"/>
    <x v="2"/>
    <x v="5"/>
    <x v="1"/>
    <n v="3"/>
    <n v="4"/>
    <x v="47"/>
    <d v="1899-12-30T00:14:03"/>
  </r>
  <r>
    <x v="7"/>
    <x v="0"/>
    <n v="28.9"/>
    <x v="2"/>
    <x v="0"/>
    <x v="6"/>
    <x v="1"/>
    <n v="4"/>
    <n v="4"/>
    <x v="48"/>
    <d v="1899-12-30T00:19:02"/>
  </r>
  <r>
    <x v="7"/>
    <x v="0"/>
    <n v="28.9"/>
    <x v="2"/>
    <x v="0"/>
    <x v="6"/>
    <x v="1"/>
    <n v="4"/>
    <n v="4"/>
    <x v="48"/>
    <d v="1899-12-30T00:20:06"/>
  </r>
  <r>
    <x v="2"/>
    <x v="0"/>
    <n v="33.799999999999997"/>
    <x v="3"/>
    <x v="1"/>
    <x v="6"/>
    <x v="1"/>
    <n v="4"/>
    <n v="4"/>
    <x v="48"/>
    <d v="1899-12-30T00:49:13"/>
  </r>
  <r>
    <x v="2"/>
    <x v="0"/>
    <n v="28.9"/>
    <x v="5"/>
    <x v="1"/>
    <x v="6"/>
    <x v="1"/>
    <n v="4"/>
    <n v="4"/>
    <x v="48"/>
    <d v="1899-12-30T00:50:17"/>
  </r>
  <r>
    <x v="8"/>
    <x v="0"/>
    <n v="38.700000000000003"/>
    <x v="7"/>
    <x v="1"/>
    <x v="6"/>
    <x v="1"/>
    <n v="4"/>
    <n v="4"/>
    <x v="48"/>
    <d v="1899-12-30T00:34:20"/>
  </r>
  <r>
    <x v="8"/>
    <x v="0"/>
    <n v="38.700000000000003"/>
    <x v="0"/>
    <x v="1"/>
    <x v="6"/>
    <x v="1"/>
    <n v="4"/>
    <n v="4"/>
    <x v="48"/>
    <d v="1899-12-30T00:35:49"/>
  </r>
  <r>
    <x v="9"/>
    <x v="0"/>
    <n v="38.700000000000003"/>
    <x v="0"/>
    <x v="2"/>
    <x v="6"/>
    <x v="1"/>
    <n v="4"/>
    <n v="4"/>
    <x v="48"/>
    <d v="1899-12-30T00:44:16"/>
  </r>
  <r>
    <x v="5"/>
    <x v="0"/>
    <n v="38.700000000000003"/>
    <x v="7"/>
    <x v="2"/>
    <x v="6"/>
    <x v="1"/>
    <n v="4"/>
    <n v="4"/>
    <x v="48"/>
    <d v="1899-12-30T00:21:06"/>
  </r>
  <r>
    <x v="6"/>
    <x v="0"/>
    <n v="38.700000000000003"/>
    <x v="1"/>
    <x v="2"/>
    <x v="6"/>
    <x v="1"/>
    <n v="4"/>
    <n v="4"/>
    <x v="48"/>
    <d v="1899-12-30T00:39:51"/>
  </r>
  <r>
    <x v="6"/>
    <x v="0"/>
    <n v="38.700000000000003"/>
    <x v="1"/>
    <x v="2"/>
    <x v="6"/>
    <x v="1"/>
    <n v="4"/>
    <n v="4"/>
    <x v="48"/>
    <d v="1899-12-30T00:40:49"/>
  </r>
  <r>
    <x v="0"/>
    <x v="0"/>
    <n v="38.700000000000003"/>
    <x v="0"/>
    <x v="0"/>
    <x v="0"/>
    <x v="1"/>
    <n v="5"/>
    <n v="4"/>
    <x v="49"/>
    <d v="1899-12-30T00:10:36"/>
  </r>
  <r>
    <x v="2"/>
    <x v="0"/>
    <n v="33.799999999999997"/>
    <x v="3"/>
    <x v="1"/>
    <x v="0"/>
    <x v="1"/>
    <n v="5"/>
    <n v="4"/>
    <x v="49"/>
    <d v="1899-12-30T00:11:48"/>
  </r>
  <r>
    <x v="2"/>
    <x v="0"/>
    <n v="38.700000000000003"/>
    <x v="7"/>
    <x v="1"/>
    <x v="0"/>
    <x v="1"/>
    <n v="5"/>
    <n v="4"/>
    <x v="49"/>
    <d v="1899-12-30T00:13:21"/>
  </r>
  <r>
    <x v="2"/>
    <x v="0"/>
    <n v="38.700000000000003"/>
    <x v="1"/>
    <x v="1"/>
    <x v="0"/>
    <x v="1"/>
    <n v="5"/>
    <n v="4"/>
    <x v="49"/>
    <d v="1899-12-30T00:58:54"/>
  </r>
  <r>
    <x v="2"/>
    <x v="0"/>
    <n v="38.700000000000003"/>
    <x v="7"/>
    <x v="1"/>
    <x v="0"/>
    <x v="1"/>
    <n v="5"/>
    <n v="4"/>
    <x v="49"/>
    <d v="1899-12-30T00:59:50"/>
  </r>
  <r>
    <x v="5"/>
    <x v="0"/>
    <n v="38.700000000000003"/>
    <x v="4"/>
    <x v="2"/>
    <x v="0"/>
    <x v="1"/>
    <n v="5"/>
    <n v="4"/>
    <x v="49"/>
    <d v="1899-12-30T00:23:19"/>
  </r>
  <r>
    <x v="5"/>
    <x v="0"/>
    <n v="33.799999999999997"/>
    <x v="3"/>
    <x v="2"/>
    <x v="0"/>
    <x v="1"/>
    <n v="5"/>
    <n v="4"/>
    <x v="49"/>
    <d v="1899-12-30T00:25:33"/>
  </r>
  <r>
    <x v="1"/>
    <x v="0"/>
    <n v="33.799999999999997"/>
    <x v="3"/>
    <x v="1"/>
    <x v="1"/>
    <x v="1"/>
    <n v="6"/>
    <n v="4"/>
    <x v="50"/>
    <d v="1899-12-30T00:08:36"/>
  </r>
  <r>
    <x v="1"/>
    <x v="0"/>
    <n v="33.799999999999997"/>
    <x v="3"/>
    <x v="1"/>
    <x v="1"/>
    <x v="1"/>
    <n v="6"/>
    <n v="4"/>
    <x v="50"/>
    <d v="1899-12-30T00:09:43"/>
  </r>
  <r>
    <x v="2"/>
    <x v="0"/>
    <n v="28.9"/>
    <x v="2"/>
    <x v="1"/>
    <x v="1"/>
    <x v="1"/>
    <n v="6"/>
    <n v="4"/>
    <x v="50"/>
    <d v="1899-12-30T00:08:37"/>
  </r>
  <r>
    <x v="2"/>
    <x v="0"/>
    <n v="33.799999999999997"/>
    <x v="3"/>
    <x v="1"/>
    <x v="1"/>
    <x v="1"/>
    <n v="6"/>
    <n v="4"/>
    <x v="50"/>
    <d v="1899-12-30T00:09:48"/>
  </r>
  <r>
    <x v="2"/>
    <x v="0"/>
    <n v="38.700000000000003"/>
    <x v="1"/>
    <x v="1"/>
    <x v="1"/>
    <x v="1"/>
    <n v="6"/>
    <n v="4"/>
    <x v="50"/>
    <d v="1899-12-30T00:10:55"/>
  </r>
  <r>
    <x v="8"/>
    <x v="0"/>
    <n v="38.700000000000003"/>
    <x v="7"/>
    <x v="1"/>
    <x v="1"/>
    <x v="1"/>
    <n v="6"/>
    <n v="4"/>
    <x v="50"/>
    <d v="1899-12-30T00:44:18"/>
  </r>
  <r>
    <x v="3"/>
    <x v="0"/>
    <n v="33.799999999999997"/>
    <x v="3"/>
    <x v="1"/>
    <x v="1"/>
    <x v="1"/>
    <n v="6"/>
    <n v="4"/>
    <x v="50"/>
    <d v="1899-12-30T00:11:00"/>
  </r>
  <r>
    <x v="3"/>
    <x v="0"/>
    <n v="32.82"/>
    <x v="3"/>
    <x v="1"/>
    <x v="1"/>
    <x v="1"/>
    <n v="6"/>
    <n v="4"/>
    <x v="50"/>
    <d v="1899-12-30T00:22:41"/>
  </r>
  <r>
    <x v="3"/>
    <x v="0"/>
    <n v="32.82"/>
    <x v="3"/>
    <x v="1"/>
    <x v="1"/>
    <x v="1"/>
    <n v="6"/>
    <n v="4"/>
    <x v="50"/>
    <d v="1899-12-30T00:49:25"/>
  </r>
  <r>
    <x v="5"/>
    <x v="0"/>
    <n v="37.72"/>
    <x v="7"/>
    <x v="2"/>
    <x v="1"/>
    <x v="1"/>
    <n v="6"/>
    <n v="4"/>
    <x v="50"/>
    <d v="1899-12-30T00:27:42"/>
  </r>
  <r>
    <x v="5"/>
    <x v="0"/>
    <n v="37.72"/>
    <x v="7"/>
    <x v="2"/>
    <x v="1"/>
    <x v="1"/>
    <n v="6"/>
    <n v="4"/>
    <x v="50"/>
    <d v="1899-12-30T00:28:47"/>
  </r>
  <r>
    <x v="6"/>
    <x v="0"/>
    <n v="37.72"/>
    <x v="0"/>
    <x v="2"/>
    <x v="1"/>
    <x v="1"/>
    <n v="6"/>
    <n v="4"/>
    <x v="50"/>
    <d v="1899-12-30T00:30:55"/>
  </r>
  <r>
    <x v="7"/>
    <x v="0"/>
    <n v="37.72"/>
    <x v="0"/>
    <x v="0"/>
    <x v="2"/>
    <x v="1"/>
    <n v="7"/>
    <n v="4"/>
    <x v="51"/>
    <d v="1899-12-30T00:16:46"/>
  </r>
  <r>
    <x v="8"/>
    <x v="0"/>
    <n v="27.92"/>
    <x v="2"/>
    <x v="1"/>
    <x v="2"/>
    <x v="1"/>
    <n v="7"/>
    <n v="4"/>
    <x v="51"/>
    <d v="1899-12-30T00:15:38"/>
  </r>
  <r>
    <x v="7"/>
    <x v="0"/>
    <n v="27.92"/>
    <x v="2"/>
    <x v="0"/>
    <x v="3"/>
    <x v="1"/>
    <n v="1"/>
    <n v="4"/>
    <x v="52"/>
    <d v="1899-12-30T00:09:16"/>
  </r>
  <r>
    <x v="7"/>
    <x v="0"/>
    <n v="32.82"/>
    <x v="3"/>
    <x v="0"/>
    <x v="3"/>
    <x v="1"/>
    <n v="1"/>
    <n v="4"/>
    <x v="52"/>
    <d v="1899-12-30T00:29:27"/>
  </r>
  <r>
    <x v="6"/>
    <x v="0"/>
    <n v="37.72"/>
    <x v="0"/>
    <x v="2"/>
    <x v="3"/>
    <x v="1"/>
    <n v="1"/>
    <n v="4"/>
    <x v="52"/>
    <d v="1899-12-30T00:39:05"/>
  </r>
  <r>
    <x v="8"/>
    <x v="0"/>
    <n v="37.72"/>
    <x v="7"/>
    <x v="1"/>
    <x v="4"/>
    <x v="1"/>
    <n v="2"/>
    <n v="4"/>
    <x v="53"/>
    <d v="1899-12-30T00:22:36"/>
  </r>
  <r>
    <x v="8"/>
    <x v="0"/>
    <n v="32.82"/>
    <x v="3"/>
    <x v="1"/>
    <x v="4"/>
    <x v="1"/>
    <n v="2"/>
    <n v="4"/>
    <x v="53"/>
    <d v="1899-12-30T00:23:53"/>
  </r>
  <r>
    <x v="8"/>
    <x v="0"/>
    <n v="37.72"/>
    <x v="7"/>
    <x v="1"/>
    <x v="4"/>
    <x v="1"/>
    <n v="2"/>
    <n v="4"/>
    <x v="53"/>
    <d v="1899-12-30T00:24:58"/>
  </r>
  <r>
    <x v="6"/>
    <x v="0"/>
    <n v="32.82"/>
    <x v="3"/>
    <x v="2"/>
    <x v="4"/>
    <x v="1"/>
    <n v="2"/>
    <n v="4"/>
    <x v="53"/>
    <d v="1899-12-30T00:42:28"/>
  </r>
  <r>
    <x v="6"/>
    <x v="0"/>
    <n v="32.82"/>
    <x v="3"/>
    <x v="2"/>
    <x v="4"/>
    <x v="1"/>
    <n v="2"/>
    <n v="4"/>
    <x v="53"/>
    <d v="1899-12-30T00:43:26"/>
  </r>
  <r>
    <x v="0"/>
    <x v="0"/>
    <n v="37.72"/>
    <x v="0"/>
    <x v="0"/>
    <x v="5"/>
    <x v="1"/>
    <n v="3"/>
    <n v="4"/>
    <x v="54"/>
    <d v="1899-12-30T00:19:38"/>
  </r>
  <r>
    <x v="0"/>
    <x v="0"/>
    <n v="32.82"/>
    <x v="3"/>
    <x v="0"/>
    <x v="5"/>
    <x v="1"/>
    <n v="3"/>
    <n v="4"/>
    <x v="54"/>
    <d v="1899-12-30T00:21:27"/>
  </r>
  <r>
    <x v="7"/>
    <x v="0"/>
    <n v="32.82"/>
    <x v="3"/>
    <x v="0"/>
    <x v="5"/>
    <x v="1"/>
    <n v="3"/>
    <n v="4"/>
    <x v="54"/>
    <d v="1899-12-30T00:23:46"/>
  </r>
  <r>
    <x v="7"/>
    <x v="0"/>
    <n v="32.82"/>
    <x v="3"/>
    <x v="0"/>
    <x v="5"/>
    <x v="1"/>
    <n v="3"/>
    <n v="4"/>
    <x v="54"/>
    <d v="1899-12-30T00:33:26"/>
  </r>
  <r>
    <x v="1"/>
    <x v="0"/>
    <n v="32.82"/>
    <x v="3"/>
    <x v="1"/>
    <x v="5"/>
    <x v="1"/>
    <n v="3"/>
    <n v="4"/>
    <x v="54"/>
    <d v="1899-12-30T00:39:09"/>
  </r>
  <r>
    <x v="4"/>
    <x v="0"/>
    <n v="32.82"/>
    <x v="3"/>
    <x v="1"/>
    <x v="5"/>
    <x v="1"/>
    <n v="3"/>
    <n v="4"/>
    <x v="54"/>
    <d v="1899-12-30T00:39:07"/>
  </r>
  <r>
    <x v="6"/>
    <x v="0"/>
    <n v="32.82"/>
    <x v="3"/>
    <x v="2"/>
    <x v="5"/>
    <x v="1"/>
    <n v="3"/>
    <n v="4"/>
    <x v="54"/>
    <d v="1899-12-30T00:39:50"/>
  </r>
  <r>
    <x v="6"/>
    <x v="0"/>
    <n v="37.72"/>
    <x v="7"/>
    <x v="2"/>
    <x v="5"/>
    <x v="1"/>
    <n v="3"/>
    <n v="4"/>
    <x v="54"/>
    <d v="1899-12-30T00:40:54"/>
  </r>
  <r>
    <x v="0"/>
    <x v="0"/>
    <n v="27.92"/>
    <x v="2"/>
    <x v="0"/>
    <x v="6"/>
    <x v="1"/>
    <n v="4"/>
    <n v="4"/>
    <x v="55"/>
    <d v="1899-12-30T00:46:08"/>
  </r>
  <r>
    <x v="3"/>
    <x v="0"/>
    <n v="37.72"/>
    <x v="0"/>
    <x v="1"/>
    <x v="6"/>
    <x v="1"/>
    <n v="4"/>
    <n v="4"/>
    <x v="55"/>
    <d v="1899-12-30T00:18:27"/>
  </r>
  <r>
    <x v="9"/>
    <x v="0"/>
    <n v="27.92"/>
    <x v="2"/>
    <x v="2"/>
    <x v="6"/>
    <x v="1"/>
    <n v="4"/>
    <n v="4"/>
    <x v="55"/>
    <d v="1899-12-30T00:09:44"/>
  </r>
  <r>
    <x v="9"/>
    <x v="0"/>
    <n v="27.92"/>
    <x v="2"/>
    <x v="2"/>
    <x v="6"/>
    <x v="1"/>
    <n v="4"/>
    <n v="4"/>
    <x v="55"/>
    <d v="1899-12-30T00:10:49"/>
  </r>
  <r>
    <x v="0"/>
    <x v="0"/>
    <n v="37.72"/>
    <x v="0"/>
    <x v="0"/>
    <x v="0"/>
    <x v="1"/>
    <n v="5"/>
    <n v="4"/>
    <x v="56"/>
    <d v="1899-12-30T00:12:51"/>
  </r>
  <r>
    <x v="1"/>
    <x v="0"/>
    <n v="37.72"/>
    <x v="0"/>
    <x v="1"/>
    <x v="0"/>
    <x v="1"/>
    <n v="5"/>
    <n v="4"/>
    <x v="56"/>
    <d v="1899-12-30T00:01:31"/>
  </r>
  <r>
    <x v="2"/>
    <x v="0"/>
    <n v="37.72"/>
    <x v="7"/>
    <x v="1"/>
    <x v="0"/>
    <x v="1"/>
    <n v="5"/>
    <n v="4"/>
    <x v="56"/>
    <d v="1899-12-30T00:31:28"/>
  </r>
  <r>
    <x v="3"/>
    <x v="0"/>
    <n v="27.92"/>
    <x v="2"/>
    <x v="1"/>
    <x v="0"/>
    <x v="1"/>
    <n v="5"/>
    <n v="4"/>
    <x v="56"/>
    <d v="1899-12-30T00:32:35"/>
  </r>
  <r>
    <x v="3"/>
    <x v="0"/>
    <n v="27.92"/>
    <x v="2"/>
    <x v="1"/>
    <x v="0"/>
    <x v="1"/>
    <n v="5"/>
    <n v="4"/>
    <x v="56"/>
    <d v="1899-12-30T00:33:33"/>
  </r>
  <r>
    <x v="4"/>
    <x v="0"/>
    <n v="27.92"/>
    <x v="5"/>
    <x v="1"/>
    <x v="0"/>
    <x v="1"/>
    <n v="5"/>
    <n v="4"/>
    <x v="56"/>
    <d v="1899-12-30T00:23:27"/>
  </r>
  <r>
    <x v="4"/>
    <x v="0"/>
    <n v="27.92"/>
    <x v="2"/>
    <x v="1"/>
    <x v="0"/>
    <x v="1"/>
    <n v="5"/>
    <n v="4"/>
    <x v="56"/>
    <d v="1899-12-30T00:24:34"/>
  </r>
  <r>
    <x v="6"/>
    <x v="0"/>
    <n v="37.72"/>
    <x v="1"/>
    <x v="2"/>
    <x v="0"/>
    <x v="1"/>
    <n v="5"/>
    <n v="4"/>
    <x v="56"/>
    <d v="1899-12-30T00:32:07"/>
  </r>
  <r>
    <x v="6"/>
    <x v="0"/>
    <n v="37.72"/>
    <x v="4"/>
    <x v="2"/>
    <x v="0"/>
    <x v="1"/>
    <n v="5"/>
    <n v="4"/>
    <x v="56"/>
    <d v="1899-12-30T00:33:30"/>
  </r>
  <r>
    <x v="3"/>
    <x v="0"/>
    <n v="37.72"/>
    <x v="7"/>
    <x v="1"/>
    <x v="1"/>
    <x v="1"/>
    <n v="6"/>
    <n v="4"/>
    <x v="57"/>
    <d v="1899-12-30T00:27:01"/>
  </r>
  <r>
    <x v="0"/>
    <x v="0"/>
    <n v="37.72"/>
    <x v="0"/>
    <x v="0"/>
    <x v="2"/>
    <x v="1"/>
    <n v="7"/>
    <n v="4"/>
    <x v="58"/>
    <d v="1899-12-30T00:32:53"/>
  </r>
  <r>
    <x v="1"/>
    <x v="0"/>
    <n v="37.72"/>
    <x v="7"/>
    <x v="1"/>
    <x v="2"/>
    <x v="1"/>
    <n v="7"/>
    <n v="4"/>
    <x v="58"/>
    <d v="1899-12-30T00:30:10"/>
  </r>
  <r>
    <x v="5"/>
    <x v="0"/>
    <n v="27.92"/>
    <x v="2"/>
    <x v="2"/>
    <x v="2"/>
    <x v="1"/>
    <n v="7"/>
    <n v="4"/>
    <x v="58"/>
    <d v="1899-12-30T00:27:08"/>
  </r>
  <r>
    <x v="5"/>
    <x v="0"/>
    <n v="27.92"/>
    <x v="2"/>
    <x v="2"/>
    <x v="2"/>
    <x v="1"/>
    <n v="7"/>
    <n v="4"/>
    <x v="58"/>
    <d v="1899-12-30T00:28:11"/>
  </r>
  <r>
    <x v="5"/>
    <x v="0"/>
    <n v="37.72"/>
    <x v="0"/>
    <x v="2"/>
    <x v="2"/>
    <x v="1"/>
    <n v="7"/>
    <n v="4"/>
    <x v="58"/>
    <d v="1899-12-30T00:29:02"/>
  </r>
  <r>
    <x v="7"/>
    <x v="0"/>
    <n v="27.92"/>
    <x v="5"/>
    <x v="0"/>
    <x v="3"/>
    <x v="1"/>
    <n v="1"/>
    <n v="4"/>
    <x v="59"/>
    <d v="1899-12-30T00:26:32"/>
  </r>
  <r>
    <x v="2"/>
    <x v="0"/>
    <n v="27.92"/>
    <x v="2"/>
    <x v="1"/>
    <x v="3"/>
    <x v="1"/>
    <n v="1"/>
    <n v="4"/>
    <x v="59"/>
    <d v="1899-12-30T00:27:57"/>
  </r>
  <r>
    <x v="2"/>
    <x v="0"/>
    <n v="27.92"/>
    <x v="5"/>
    <x v="1"/>
    <x v="3"/>
    <x v="1"/>
    <n v="1"/>
    <n v="4"/>
    <x v="59"/>
    <d v="1899-12-30T00:28:54"/>
  </r>
  <r>
    <x v="2"/>
    <x v="0"/>
    <n v="27.92"/>
    <x v="5"/>
    <x v="1"/>
    <x v="3"/>
    <x v="1"/>
    <n v="1"/>
    <n v="4"/>
    <x v="59"/>
    <d v="1899-12-30T00:53:36"/>
  </r>
  <r>
    <x v="2"/>
    <x v="0"/>
    <n v="32.82"/>
    <x v="3"/>
    <x v="1"/>
    <x v="3"/>
    <x v="1"/>
    <n v="1"/>
    <n v="4"/>
    <x v="59"/>
    <d v="1899-12-30T00:54:24"/>
  </r>
  <r>
    <x v="5"/>
    <x v="0"/>
    <n v="37.72"/>
    <x v="7"/>
    <x v="2"/>
    <x v="3"/>
    <x v="1"/>
    <n v="1"/>
    <n v="4"/>
    <x v="59"/>
    <d v="1899-12-30T00:37:48"/>
  </r>
  <r>
    <x v="6"/>
    <x v="0"/>
    <n v="37.72"/>
    <x v="7"/>
    <x v="2"/>
    <x v="3"/>
    <x v="1"/>
    <n v="1"/>
    <n v="4"/>
    <x v="59"/>
    <d v="1899-12-30T00:12:33"/>
  </r>
  <r>
    <x v="6"/>
    <x v="0"/>
    <n v="37.72"/>
    <x v="7"/>
    <x v="2"/>
    <x v="3"/>
    <x v="1"/>
    <n v="1"/>
    <n v="4"/>
    <x v="59"/>
    <d v="1899-12-30T00:13:38"/>
  </r>
  <r>
    <x v="0"/>
    <x v="0"/>
    <n v="37.72"/>
    <x v="0"/>
    <x v="0"/>
    <x v="4"/>
    <x v="1"/>
    <n v="2"/>
    <n v="4"/>
    <x v="60"/>
    <d v="1899-12-30T00:16:42"/>
  </r>
  <r>
    <x v="0"/>
    <x v="0"/>
    <n v="32.82"/>
    <x v="3"/>
    <x v="0"/>
    <x v="4"/>
    <x v="1"/>
    <n v="2"/>
    <n v="4"/>
    <x v="60"/>
    <d v="1899-12-30T00:34:52"/>
  </r>
  <r>
    <x v="0"/>
    <x v="0"/>
    <n v="32.82"/>
    <x v="3"/>
    <x v="0"/>
    <x v="4"/>
    <x v="1"/>
    <n v="2"/>
    <n v="4"/>
    <x v="60"/>
    <d v="1899-12-30T00:35:48"/>
  </r>
  <r>
    <x v="2"/>
    <x v="0"/>
    <n v="27.92"/>
    <x v="2"/>
    <x v="1"/>
    <x v="4"/>
    <x v="1"/>
    <n v="2"/>
    <n v="4"/>
    <x v="60"/>
    <d v="1899-12-30T00:41:52"/>
  </r>
  <r>
    <x v="2"/>
    <x v="0"/>
    <n v="32.82"/>
    <x v="3"/>
    <x v="1"/>
    <x v="4"/>
    <x v="1"/>
    <n v="2"/>
    <n v="4"/>
    <x v="60"/>
    <d v="1899-12-30T00:43:00"/>
  </r>
  <r>
    <x v="6"/>
    <x v="0"/>
    <n v="37.72"/>
    <x v="7"/>
    <x v="2"/>
    <x v="4"/>
    <x v="1"/>
    <n v="2"/>
    <n v="4"/>
    <x v="60"/>
    <d v="1899-12-30T00:19:18"/>
  </r>
  <r>
    <x v="6"/>
    <x v="0"/>
    <n v="32.82"/>
    <x v="3"/>
    <x v="2"/>
    <x v="4"/>
    <x v="1"/>
    <n v="2"/>
    <n v="4"/>
    <x v="60"/>
    <d v="1899-12-30T00:30:04"/>
  </r>
  <r>
    <x v="6"/>
    <x v="0"/>
    <n v="37.72"/>
    <x v="0"/>
    <x v="2"/>
    <x v="4"/>
    <x v="1"/>
    <n v="2"/>
    <n v="4"/>
    <x v="60"/>
    <d v="1899-12-30T00:31:21"/>
  </r>
  <r>
    <x v="0"/>
    <x v="0"/>
    <n v="27.92"/>
    <x v="2"/>
    <x v="0"/>
    <x v="6"/>
    <x v="2"/>
    <n v="4"/>
    <n v="5"/>
    <x v="61"/>
    <d v="1899-12-30T00:33:56"/>
  </r>
  <r>
    <x v="2"/>
    <x v="0"/>
    <n v="32.82"/>
    <x v="3"/>
    <x v="1"/>
    <x v="6"/>
    <x v="2"/>
    <n v="4"/>
    <n v="5"/>
    <x v="61"/>
    <d v="1899-12-30T00:49:40"/>
  </r>
  <r>
    <x v="5"/>
    <x v="0"/>
    <n v="37.72"/>
    <x v="7"/>
    <x v="2"/>
    <x v="6"/>
    <x v="2"/>
    <n v="4"/>
    <n v="5"/>
    <x v="61"/>
    <d v="1899-12-30T00:36:22"/>
  </r>
  <r>
    <x v="5"/>
    <x v="0"/>
    <n v="32.82"/>
    <x v="3"/>
    <x v="2"/>
    <x v="6"/>
    <x v="2"/>
    <n v="4"/>
    <n v="5"/>
    <x v="61"/>
    <d v="1899-12-30T00:41:11"/>
  </r>
  <r>
    <x v="6"/>
    <x v="0"/>
    <n v="37.72"/>
    <x v="0"/>
    <x v="2"/>
    <x v="6"/>
    <x v="2"/>
    <n v="4"/>
    <n v="5"/>
    <x v="61"/>
    <d v="1899-12-30T00:18:33"/>
  </r>
  <r>
    <x v="6"/>
    <x v="0"/>
    <n v="37.72"/>
    <x v="7"/>
    <x v="2"/>
    <x v="6"/>
    <x v="2"/>
    <n v="4"/>
    <n v="5"/>
    <x v="61"/>
    <d v="1899-12-30T00:19:56"/>
  </r>
  <r>
    <x v="8"/>
    <x v="0"/>
    <n v="37.72"/>
    <x v="0"/>
    <x v="1"/>
    <x v="0"/>
    <x v="2"/>
    <n v="5"/>
    <n v="5"/>
    <x v="62"/>
    <d v="1899-12-30T00:30:01"/>
  </r>
  <r>
    <x v="9"/>
    <x v="0"/>
    <n v="37.72"/>
    <x v="0"/>
    <x v="2"/>
    <x v="0"/>
    <x v="2"/>
    <n v="5"/>
    <n v="5"/>
    <x v="62"/>
    <d v="1899-12-30T00:03:25"/>
  </r>
  <r>
    <x v="0"/>
    <x v="0"/>
    <n v="27.92"/>
    <x v="2"/>
    <x v="0"/>
    <x v="3"/>
    <x v="2"/>
    <n v="1"/>
    <n v="5"/>
    <x v="63"/>
    <d v="1899-12-30T00:05:18"/>
  </r>
  <r>
    <x v="0"/>
    <x v="0"/>
    <n v="37.72"/>
    <x v="7"/>
    <x v="0"/>
    <x v="3"/>
    <x v="2"/>
    <n v="1"/>
    <n v="5"/>
    <x v="63"/>
    <d v="1899-12-30T00:06:52"/>
  </r>
  <r>
    <x v="0"/>
    <x v="0"/>
    <n v="32.82"/>
    <x v="3"/>
    <x v="0"/>
    <x v="3"/>
    <x v="2"/>
    <n v="1"/>
    <n v="5"/>
    <x v="63"/>
    <d v="1899-12-30T00:08:06"/>
  </r>
  <r>
    <x v="0"/>
    <x v="0"/>
    <n v="27.92"/>
    <x v="2"/>
    <x v="0"/>
    <x v="3"/>
    <x v="2"/>
    <n v="1"/>
    <n v="5"/>
    <x v="63"/>
    <d v="1899-12-30T00:09:08"/>
  </r>
  <r>
    <x v="0"/>
    <x v="0"/>
    <n v="27.92"/>
    <x v="5"/>
    <x v="0"/>
    <x v="3"/>
    <x v="2"/>
    <n v="1"/>
    <n v="5"/>
    <x v="63"/>
    <d v="1899-12-30T00:39:13"/>
  </r>
  <r>
    <x v="2"/>
    <x v="0"/>
    <n v="27.92"/>
    <x v="5"/>
    <x v="1"/>
    <x v="3"/>
    <x v="2"/>
    <n v="1"/>
    <n v="5"/>
    <x v="63"/>
    <d v="1899-12-30T00:18:11"/>
  </r>
  <r>
    <x v="2"/>
    <x v="0"/>
    <n v="27.92"/>
    <x v="2"/>
    <x v="1"/>
    <x v="3"/>
    <x v="2"/>
    <n v="1"/>
    <n v="5"/>
    <x v="63"/>
    <d v="1899-12-30T00:19:01"/>
  </r>
  <r>
    <x v="6"/>
    <x v="0"/>
    <n v="37.72"/>
    <x v="7"/>
    <x v="2"/>
    <x v="3"/>
    <x v="2"/>
    <n v="1"/>
    <n v="5"/>
    <x v="63"/>
    <d v="1899-12-30T00:18:13"/>
  </r>
  <r>
    <x v="6"/>
    <x v="0"/>
    <n v="37.72"/>
    <x v="7"/>
    <x v="2"/>
    <x v="3"/>
    <x v="2"/>
    <n v="1"/>
    <n v="5"/>
    <x v="63"/>
    <d v="1899-12-30T00:19:50"/>
  </r>
  <r>
    <x v="0"/>
    <x v="0"/>
    <n v="37.72"/>
    <x v="4"/>
    <x v="0"/>
    <x v="4"/>
    <x v="2"/>
    <n v="2"/>
    <n v="5"/>
    <x v="64"/>
    <d v="1899-12-30T00:44:56"/>
  </r>
  <r>
    <x v="7"/>
    <x v="0"/>
    <n v="27.92"/>
    <x v="5"/>
    <x v="0"/>
    <x v="4"/>
    <x v="2"/>
    <n v="2"/>
    <n v="5"/>
    <x v="64"/>
    <d v="1899-12-30T00:21:59"/>
  </r>
  <r>
    <x v="2"/>
    <x v="0"/>
    <n v="27.92"/>
    <x v="5"/>
    <x v="1"/>
    <x v="4"/>
    <x v="2"/>
    <n v="2"/>
    <n v="5"/>
    <x v="64"/>
    <d v="1899-12-30T00:23:35"/>
  </r>
  <r>
    <x v="4"/>
    <x v="0"/>
    <n v="37.72"/>
    <x v="4"/>
    <x v="1"/>
    <x v="4"/>
    <x v="2"/>
    <n v="2"/>
    <n v="5"/>
    <x v="64"/>
    <d v="1899-12-30T00:42:08"/>
  </r>
  <r>
    <x v="4"/>
    <x v="0"/>
    <n v="27.92"/>
    <x v="2"/>
    <x v="1"/>
    <x v="4"/>
    <x v="2"/>
    <n v="2"/>
    <n v="5"/>
    <x v="64"/>
    <d v="1899-12-30T00:55:39"/>
  </r>
  <r>
    <x v="9"/>
    <x v="0"/>
    <n v="37.72"/>
    <x v="7"/>
    <x v="2"/>
    <x v="4"/>
    <x v="2"/>
    <n v="2"/>
    <n v="5"/>
    <x v="64"/>
    <d v="1899-12-30T00:37:46"/>
  </r>
  <r>
    <x v="9"/>
    <x v="0"/>
    <n v="37.72"/>
    <x v="0"/>
    <x v="2"/>
    <x v="4"/>
    <x v="2"/>
    <n v="2"/>
    <n v="5"/>
    <x v="64"/>
    <d v="1899-12-30T00:38:48"/>
  </r>
  <r>
    <x v="6"/>
    <x v="0"/>
    <n v="37.72"/>
    <x v="7"/>
    <x v="2"/>
    <x v="4"/>
    <x v="2"/>
    <n v="2"/>
    <n v="5"/>
    <x v="64"/>
    <d v="1899-12-30T00:12:13"/>
  </r>
  <r>
    <x v="6"/>
    <x v="0"/>
    <n v="37.72"/>
    <x v="7"/>
    <x v="2"/>
    <x v="4"/>
    <x v="2"/>
    <n v="2"/>
    <n v="5"/>
    <x v="64"/>
    <d v="1899-12-30T00:13:12"/>
  </r>
  <r>
    <x v="0"/>
    <x v="0"/>
    <n v="37.72"/>
    <x v="0"/>
    <x v="0"/>
    <x v="5"/>
    <x v="2"/>
    <n v="3"/>
    <n v="5"/>
    <x v="65"/>
    <d v="1899-12-30T00:07:29"/>
  </r>
  <r>
    <x v="1"/>
    <x v="0"/>
    <n v="37.72"/>
    <x v="7"/>
    <x v="1"/>
    <x v="6"/>
    <x v="2"/>
    <n v="4"/>
    <n v="5"/>
    <x v="66"/>
    <d v="1899-12-30T00:54:22"/>
  </r>
  <r>
    <x v="2"/>
    <x v="0"/>
    <n v="27.92"/>
    <x v="2"/>
    <x v="1"/>
    <x v="6"/>
    <x v="2"/>
    <n v="4"/>
    <n v="5"/>
    <x v="66"/>
    <d v="1899-12-30T00:03:59"/>
  </r>
  <r>
    <x v="2"/>
    <x v="0"/>
    <n v="37.72"/>
    <x v="0"/>
    <x v="1"/>
    <x v="6"/>
    <x v="2"/>
    <n v="4"/>
    <n v="5"/>
    <x v="66"/>
    <d v="1899-12-30T00:04:58"/>
  </r>
  <r>
    <x v="2"/>
    <x v="0"/>
    <n v="37.72"/>
    <x v="0"/>
    <x v="1"/>
    <x v="6"/>
    <x v="2"/>
    <n v="4"/>
    <n v="5"/>
    <x v="66"/>
    <d v="1899-12-30T00:06:11"/>
  </r>
  <r>
    <x v="2"/>
    <x v="0"/>
    <n v="37.72"/>
    <x v="0"/>
    <x v="1"/>
    <x v="6"/>
    <x v="2"/>
    <n v="4"/>
    <n v="5"/>
    <x v="66"/>
    <d v="1899-12-30T00:07:16"/>
  </r>
  <r>
    <x v="4"/>
    <x v="0"/>
    <n v="27.92"/>
    <x v="2"/>
    <x v="1"/>
    <x v="6"/>
    <x v="2"/>
    <n v="4"/>
    <n v="5"/>
    <x v="66"/>
    <d v="1899-12-30T00:55:15"/>
  </r>
  <r>
    <x v="4"/>
    <x v="0"/>
    <n v="27.92"/>
    <x v="2"/>
    <x v="1"/>
    <x v="6"/>
    <x v="2"/>
    <n v="4"/>
    <n v="5"/>
    <x v="66"/>
    <d v="1899-12-30T00:56:15"/>
  </r>
  <r>
    <x v="5"/>
    <x v="0"/>
    <n v="27.92"/>
    <x v="2"/>
    <x v="2"/>
    <x v="6"/>
    <x v="2"/>
    <n v="4"/>
    <n v="5"/>
    <x v="66"/>
    <d v="1899-12-30T00:01:30"/>
  </r>
  <r>
    <x v="5"/>
    <x v="0"/>
    <n v="32.82"/>
    <x v="3"/>
    <x v="2"/>
    <x v="6"/>
    <x v="2"/>
    <n v="4"/>
    <n v="5"/>
    <x v="66"/>
    <d v="1899-12-30T00:13:56"/>
  </r>
  <r>
    <x v="3"/>
    <x v="0"/>
    <n v="37.72"/>
    <x v="0"/>
    <x v="1"/>
    <x v="0"/>
    <x v="2"/>
    <n v="5"/>
    <n v="5"/>
    <x v="67"/>
    <d v="1899-12-30T00:46:22"/>
  </r>
  <r>
    <x v="3"/>
    <x v="0"/>
    <n v="37.72"/>
    <x v="0"/>
    <x v="1"/>
    <x v="0"/>
    <x v="2"/>
    <n v="5"/>
    <n v="5"/>
    <x v="67"/>
    <d v="1899-12-30T00:47:33"/>
  </r>
  <r>
    <x v="7"/>
    <x v="0"/>
    <n v="37.72"/>
    <x v="0"/>
    <x v="0"/>
    <x v="1"/>
    <x v="2"/>
    <n v="6"/>
    <n v="5"/>
    <x v="68"/>
    <d v="1899-12-30T00:39:53"/>
  </r>
  <r>
    <x v="9"/>
    <x v="0"/>
    <n v="32.82"/>
    <x v="3"/>
    <x v="2"/>
    <x v="1"/>
    <x v="2"/>
    <n v="6"/>
    <n v="5"/>
    <x v="68"/>
    <d v="1899-12-30T00:20:30"/>
  </r>
  <r>
    <x v="9"/>
    <x v="0"/>
    <n v="37.72"/>
    <x v="4"/>
    <x v="2"/>
    <x v="1"/>
    <x v="2"/>
    <n v="6"/>
    <n v="5"/>
    <x v="68"/>
    <d v="1899-12-30T00:21:56"/>
  </r>
  <r>
    <x v="9"/>
    <x v="0"/>
    <n v="37.72"/>
    <x v="7"/>
    <x v="2"/>
    <x v="1"/>
    <x v="2"/>
    <n v="6"/>
    <n v="5"/>
    <x v="68"/>
    <d v="1899-12-30T00:23:57"/>
  </r>
  <r>
    <x v="9"/>
    <x v="0"/>
    <n v="32.82"/>
    <x v="3"/>
    <x v="2"/>
    <x v="1"/>
    <x v="2"/>
    <n v="6"/>
    <n v="5"/>
    <x v="68"/>
    <d v="1899-12-30T00:28:54"/>
  </r>
  <r>
    <x v="5"/>
    <x v="0"/>
    <n v="37.72"/>
    <x v="7"/>
    <x v="2"/>
    <x v="1"/>
    <x v="2"/>
    <n v="6"/>
    <n v="5"/>
    <x v="68"/>
    <d v="1899-12-30T00:35:40"/>
  </r>
  <r>
    <x v="6"/>
    <x v="0"/>
    <n v="37.72"/>
    <x v="0"/>
    <x v="2"/>
    <x v="1"/>
    <x v="2"/>
    <n v="6"/>
    <n v="5"/>
    <x v="68"/>
    <d v="1899-12-30T00:38:16"/>
  </r>
  <r>
    <x v="0"/>
    <x v="0"/>
    <n v="37.72"/>
    <x v="0"/>
    <x v="0"/>
    <x v="2"/>
    <x v="2"/>
    <n v="7"/>
    <n v="5"/>
    <x v="69"/>
    <d v="1899-12-30T00:20:43"/>
  </r>
  <r>
    <x v="2"/>
    <x v="0"/>
    <n v="37.72"/>
    <x v="0"/>
    <x v="1"/>
    <x v="2"/>
    <x v="2"/>
    <n v="7"/>
    <n v="5"/>
    <x v="69"/>
    <d v="1899-12-30T00:24:04"/>
  </r>
  <r>
    <x v="2"/>
    <x v="0"/>
    <n v="27.92"/>
    <x v="2"/>
    <x v="1"/>
    <x v="2"/>
    <x v="2"/>
    <n v="7"/>
    <n v="5"/>
    <x v="69"/>
    <d v="1899-12-30T00:27:39"/>
  </r>
  <r>
    <x v="3"/>
    <x v="0"/>
    <n v="37.72"/>
    <x v="0"/>
    <x v="1"/>
    <x v="2"/>
    <x v="2"/>
    <n v="7"/>
    <n v="5"/>
    <x v="69"/>
    <d v="1899-12-30T00:16:20"/>
  </r>
  <r>
    <x v="3"/>
    <x v="0"/>
    <n v="32.82"/>
    <x v="3"/>
    <x v="1"/>
    <x v="2"/>
    <x v="2"/>
    <n v="7"/>
    <n v="5"/>
    <x v="69"/>
    <d v="1899-12-30T00:38:02"/>
  </r>
  <r>
    <x v="3"/>
    <x v="0"/>
    <n v="32.82"/>
    <x v="3"/>
    <x v="1"/>
    <x v="2"/>
    <x v="2"/>
    <n v="7"/>
    <n v="5"/>
    <x v="69"/>
    <d v="1899-12-30T00:52:15"/>
  </r>
  <r>
    <x v="4"/>
    <x v="0"/>
    <n v="32.82"/>
    <x v="3"/>
    <x v="1"/>
    <x v="2"/>
    <x v="2"/>
    <n v="7"/>
    <n v="5"/>
    <x v="69"/>
    <d v="1899-12-30T00:04:21"/>
  </r>
  <r>
    <x v="6"/>
    <x v="0"/>
    <n v="32.82"/>
    <x v="3"/>
    <x v="2"/>
    <x v="2"/>
    <x v="2"/>
    <n v="7"/>
    <n v="5"/>
    <x v="69"/>
    <d v="1899-12-30T00:41:31"/>
  </r>
  <r>
    <x v="7"/>
    <x v="0"/>
    <n v="32.82"/>
    <x v="3"/>
    <x v="0"/>
    <x v="3"/>
    <x v="2"/>
    <n v="1"/>
    <n v="5"/>
    <x v="70"/>
    <d v="1899-12-30T00:03:53"/>
  </r>
  <r>
    <x v="12"/>
    <x v="0"/>
    <n v="27.92"/>
    <x v="2"/>
    <x v="0"/>
    <x v="4"/>
    <x v="2"/>
    <n v="2"/>
    <n v="5"/>
    <x v="71"/>
    <d v="1899-12-30T00:38:15"/>
  </r>
  <r>
    <x v="12"/>
    <x v="0"/>
    <n v="27.92"/>
    <x v="2"/>
    <x v="0"/>
    <x v="4"/>
    <x v="2"/>
    <n v="2"/>
    <n v="5"/>
    <x v="71"/>
    <d v="1899-12-30T00:39:26"/>
  </r>
  <r>
    <x v="12"/>
    <x v="0"/>
    <n v="27.92"/>
    <x v="2"/>
    <x v="0"/>
    <x v="4"/>
    <x v="2"/>
    <n v="2"/>
    <n v="5"/>
    <x v="71"/>
    <d v="1899-12-30T00:40:18"/>
  </r>
  <r>
    <x v="0"/>
    <x v="0"/>
    <n v="37.72"/>
    <x v="7"/>
    <x v="0"/>
    <x v="4"/>
    <x v="2"/>
    <n v="2"/>
    <n v="5"/>
    <x v="71"/>
    <d v="1899-12-30T00:19:23"/>
  </r>
  <r>
    <x v="7"/>
    <x v="0"/>
    <n v="37.72"/>
    <x v="0"/>
    <x v="0"/>
    <x v="4"/>
    <x v="2"/>
    <n v="2"/>
    <n v="5"/>
    <x v="71"/>
    <d v="1899-12-30T00:32:29"/>
  </r>
  <r>
    <x v="7"/>
    <x v="0"/>
    <n v="37.72"/>
    <x v="7"/>
    <x v="0"/>
    <x v="4"/>
    <x v="2"/>
    <n v="2"/>
    <n v="5"/>
    <x v="71"/>
    <d v="1899-12-30T00:34:13"/>
  </r>
  <r>
    <x v="8"/>
    <x v="0"/>
    <n v="37.72"/>
    <x v="7"/>
    <x v="1"/>
    <x v="4"/>
    <x v="2"/>
    <n v="2"/>
    <n v="5"/>
    <x v="71"/>
    <d v="1899-12-30T00:04:55"/>
  </r>
  <r>
    <x v="8"/>
    <x v="0"/>
    <n v="32.82"/>
    <x v="3"/>
    <x v="1"/>
    <x v="4"/>
    <x v="2"/>
    <n v="2"/>
    <n v="5"/>
    <x v="71"/>
    <d v="1899-12-30T00:06:00"/>
  </r>
  <r>
    <x v="3"/>
    <x v="0"/>
    <n v="27.92"/>
    <x v="2"/>
    <x v="1"/>
    <x v="4"/>
    <x v="2"/>
    <n v="2"/>
    <n v="5"/>
    <x v="71"/>
    <d v="1899-12-30T00:01:55"/>
  </r>
  <r>
    <x v="4"/>
    <x v="0"/>
    <n v="32.82"/>
    <x v="3"/>
    <x v="1"/>
    <x v="4"/>
    <x v="2"/>
    <n v="2"/>
    <n v="5"/>
    <x v="71"/>
    <d v="1899-12-30T00:57:57"/>
  </r>
  <r>
    <x v="4"/>
    <x v="0"/>
    <n v="37.72"/>
    <x v="7"/>
    <x v="1"/>
    <x v="4"/>
    <x v="2"/>
    <n v="2"/>
    <n v="5"/>
    <x v="71"/>
    <d v="1899-12-30T00:59:10"/>
  </r>
  <r>
    <x v="13"/>
    <x v="0"/>
    <n v="37.72"/>
    <x v="1"/>
    <x v="2"/>
    <x v="4"/>
    <x v="2"/>
    <n v="2"/>
    <n v="5"/>
    <x v="71"/>
    <d v="1899-12-30T00:51:25"/>
  </r>
  <r>
    <x v="12"/>
    <x v="0"/>
    <n v="37.72"/>
    <x v="0"/>
    <x v="0"/>
    <x v="5"/>
    <x v="2"/>
    <n v="3"/>
    <n v="5"/>
    <x v="72"/>
    <d v="1899-12-30T00:40:06"/>
  </r>
  <r>
    <x v="7"/>
    <x v="0"/>
    <n v="23.02"/>
    <x v="6"/>
    <x v="0"/>
    <x v="5"/>
    <x v="2"/>
    <n v="3"/>
    <n v="5"/>
    <x v="72"/>
    <d v="1899-12-30T00:14:19"/>
  </r>
  <r>
    <x v="7"/>
    <x v="0"/>
    <n v="27.92"/>
    <x v="2"/>
    <x v="0"/>
    <x v="5"/>
    <x v="2"/>
    <n v="3"/>
    <n v="5"/>
    <x v="72"/>
    <d v="1899-12-30T00:19:10"/>
  </r>
  <r>
    <x v="2"/>
    <x v="0"/>
    <n v="27.92"/>
    <x v="2"/>
    <x v="1"/>
    <x v="5"/>
    <x v="2"/>
    <n v="3"/>
    <n v="5"/>
    <x v="72"/>
    <d v="1899-12-30T00:34:35"/>
  </r>
  <r>
    <x v="2"/>
    <x v="0"/>
    <n v="27.92"/>
    <x v="2"/>
    <x v="1"/>
    <x v="5"/>
    <x v="2"/>
    <n v="3"/>
    <n v="5"/>
    <x v="72"/>
    <d v="1899-12-30T00:35:29"/>
  </r>
  <r>
    <x v="2"/>
    <x v="0"/>
    <n v="27.92"/>
    <x v="2"/>
    <x v="1"/>
    <x v="5"/>
    <x v="2"/>
    <n v="3"/>
    <n v="5"/>
    <x v="72"/>
    <d v="1899-12-30T00:36:27"/>
  </r>
  <r>
    <x v="2"/>
    <x v="0"/>
    <n v="32.82"/>
    <x v="3"/>
    <x v="1"/>
    <x v="5"/>
    <x v="2"/>
    <n v="3"/>
    <n v="5"/>
    <x v="72"/>
    <d v="1899-12-30T00:55:29"/>
  </r>
  <r>
    <x v="8"/>
    <x v="0"/>
    <n v="27.92"/>
    <x v="5"/>
    <x v="1"/>
    <x v="5"/>
    <x v="2"/>
    <n v="3"/>
    <n v="5"/>
    <x v="72"/>
    <d v="1899-12-30T00:38:52"/>
  </r>
  <r>
    <x v="8"/>
    <x v="0"/>
    <n v="27.92"/>
    <x v="5"/>
    <x v="1"/>
    <x v="5"/>
    <x v="2"/>
    <n v="3"/>
    <n v="5"/>
    <x v="72"/>
    <d v="1899-12-30T00:39:44"/>
  </r>
  <r>
    <x v="9"/>
    <x v="0"/>
    <n v="23.02"/>
    <x v="6"/>
    <x v="2"/>
    <x v="5"/>
    <x v="2"/>
    <n v="3"/>
    <n v="5"/>
    <x v="72"/>
    <d v="1899-12-30T00:28:59"/>
  </r>
  <r>
    <x v="11"/>
    <x v="0"/>
    <n v="37.72"/>
    <x v="7"/>
    <x v="2"/>
    <x v="5"/>
    <x v="2"/>
    <n v="3"/>
    <n v="5"/>
    <x v="72"/>
    <d v="1899-12-30T00:20:35"/>
  </r>
  <r>
    <x v="0"/>
    <x v="0"/>
    <n v="32.82"/>
    <x v="3"/>
    <x v="0"/>
    <x v="6"/>
    <x v="2"/>
    <n v="4"/>
    <n v="5"/>
    <x v="73"/>
    <d v="1899-12-30T00:38:43"/>
  </r>
  <r>
    <x v="0"/>
    <x v="0"/>
    <n v="32.82"/>
    <x v="3"/>
    <x v="0"/>
    <x v="6"/>
    <x v="2"/>
    <n v="4"/>
    <n v="5"/>
    <x v="73"/>
    <d v="1899-12-30T00:39:49"/>
  </r>
  <r>
    <x v="1"/>
    <x v="0"/>
    <n v="32.82"/>
    <x v="3"/>
    <x v="1"/>
    <x v="6"/>
    <x v="2"/>
    <n v="4"/>
    <n v="5"/>
    <x v="73"/>
    <d v="1899-12-30T00:14:00"/>
  </r>
  <r>
    <x v="3"/>
    <x v="0"/>
    <n v="37.72"/>
    <x v="1"/>
    <x v="1"/>
    <x v="6"/>
    <x v="2"/>
    <n v="4"/>
    <n v="5"/>
    <x v="73"/>
    <d v="1899-12-30T00:15:16"/>
  </r>
  <r>
    <x v="9"/>
    <x v="0"/>
    <n v="37.72"/>
    <x v="0"/>
    <x v="2"/>
    <x v="6"/>
    <x v="2"/>
    <n v="4"/>
    <n v="5"/>
    <x v="73"/>
    <d v="1899-12-30T00:44:32"/>
  </r>
  <r>
    <x v="5"/>
    <x v="0"/>
    <n v="37.72"/>
    <x v="1"/>
    <x v="2"/>
    <x v="6"/>
    <x v="2"/>
    <n v="4"/>
    <n v="5"/>
    <x v="73"/>
    <d v="1899-12-30T00:12:57"/>
  </r>
  <r>
    <x v="5"/>
    <x v="0"/>
    <n v="37.72"/>
    <x v="0"/>
    <x v="2"/>
    <x v="6"/>
    <x v="2"/>
    <n v="4"/>
    <n v="5"/>
    <x v="73"/>
    <d v="1899-12-30T00:13:58"/>
  </r>
  <r>
    <x v="10"/>
    <x v="0"/>
    <n v="27.92"/>
    <x v="2"/>
    <x v="0"/>
    <x v="0"/>
    <x v="2"/>
    <n v="5"/>
    <n v="5"/>
    <x v="74"/>
    <d v="1899-12-30T00:00:49"/>
  </r>
  <r>
    <x v="7"/>
    <x v="0"/>
    <n v="32.82"/>
    <x v="3"/>
    <x v="0"/>
    <x v="0"/>
    <x v="2"/>
    <n v="5"/>
    <n v="5"/>
    <x v="74"/>
    <d v="1899-12-30T00:30:28"/>
  </r>
  <r>
    <x v="6"/>
    <x v="0"/>
    <n v="32.82"/>
    <x v="3"/>
    <x v="2"/>
    <x v="0"/>
    <x v="2"/>
    <n v="5"/>
    <n v="5"/>
    <x v="74"/>
    <d v="1899-12-30T00:55:19"/>
  </r>
  <r>
    <x v="6"/>
    <x v="0"/>
    <n v="37.72"/>
    <x v="7"/>
    <x v="2"/>
    <x v="0"/>
    <x v="2"/>
    <n v="5"/>
    <n v="5"/>
    <x v="74"/>
    <d v="1899-12-30T00:56:47"/>
  </r>
  <r>
    <x v="11"/>
    <x v="0"/>
    <n v="37.72"/>
    <x v="7"/>
    <x v="2"/>
    <x v="0"/>
    <x v="2"/>
    <n v="5"/>
    <n v="5"/>
    <x v="74"/>
    <d v="1899-12-30T00:37:53"/>
  </r>
  <r>
    <x v="13"/>
    <x v="0"/>
    <n v="27.92"/>
    <x v="2"/>
    <x v="2"/>
    <x v="0"/>
    <x v="2"/>
    <n v="5"/>
    <n v="5"/>
    <x v="74"/>
    <d v="1899-12-30T00:34:51"/>
  </r>
  <r>
    <x v="13"/>
    <x v="0"/>
    <n v="37.72"/>
    <x v="0"/>
    <x v="2"/>
    <x v="0"/>
    <x v="2"/>
    <n v="5"/>
    <n v="5"/>
    <x v="74"/>
    <d v="1899-12-30T00:36:33"/>
  </r>
  <r>
    <x v="13"/>
    <x v="0"/>
    <n v="37.72"/>
    <x v="0"/>
    <x v="2"/>
    <x v="0"/>
    <x v="2"/>
    <n v="5"/>
    <n v="5"/>
    <x v="74"/>
    <d v="1899-12-30T00:37:43"/>
  </r>
  <r>
    <x v="12"/>
    <x v="0"/>
    <n v="37.72"/>
    <x v="7"/>
    <x v="0"/>
    <x v="1"/>
    <x v="2"/>
    <n v="6"/>
    <n v="5"/>
    <x v="75"/>
    <d v="1899-12-30T00:01:38"/>
  </r>
  <r>
    <x v="12"/>
    <x v="0"/>
    <n v="37.72"/>
    <x v="7"/>
    <x v="0"/>
    <x v="1"/>
    <x v="2"/>
    <n v="6"/>
    <n v="5"/>
    <x v="75"/>
    <d v="1899-12-30T00:02:40"/>
  </r>
  <r>
    <x v="7"/>
    <x v="0"/>
    <n v="32.82"/>
    <x v="3"/>
    <x v="0"/>
    <x v="1"/>
    <x v="2"/>
    <n v="6"/>
    <n v="5"/>
    <x v="75"/>
    <d v="1899-12-30T00:15:56"/>
  </r>
  <r>
    <x v="4"/>
    <x v="0"/>
    <n v="32.82"/>
    <x v="3"/>
    <x v="1"/>
    <x v="1"/>
    <x v="2"/>
    <n v="6"/>
    <n v="5"/>
    <x v="75"/>
    <d v="1899-12-30T00:48:29"/>
  </r>
  <r>
    <x v="4"/>
    <x v="0"/>
    <n v="32.82"/>
    <x v="3"/>
    <x v="1"/>
    <x v="1"/>
    <x v="2"/>
    <n v="6"/>
    <n v="5"/>
    <x v="75"/>
    <d v="1899-12-30T00:49:27"/>
  </r>
  <r>
    <x v="6"/>
    <x v="0"/>
    <n v="32.82"/>
    <x v="3"/>
    <x v="2"/>
    <x v="1"/>
    <x v="2"/>
    <n v="6"/>
    <n v="5"/>
    <x v="75"/>
    <d v="1899-12-30T00:58:44"/>
  </r>
  <r>
    <x v="11"/>
    <x v="0"/>
    <n v="37.72"/>
    <x v="0"/>
    <x v="2"/>
    <x v="1"/>
    <x v="2"/>
    <n v="6"/>
    <n v="5"/>
    <x v="75"/>
    <d v="1899-12-30T00:22:53"/>
  </r>
  <r>
    <x v="14"/>
    <x v="0"/>
    <n v="27.92"/>
    <x v="2"/>
    <x v="0"/>
    <x v="2"/>
    <x v="2"/>
    <n v="7"/>
    <n v="5"/>
    <x v="76"/>
    <d v="1899-12-30T00:58:38"/>
  </r>
  <r>
    <x v="14"/>
    <x v="0"/>
    <n v="27.92"/>
    <x v="2"/>
    <x v="0"/>
    <x v="2"/>
    <x v="2"/>
    <n v="7"/>
    <n v="5"/>
    <x v="76"/>
    <d v="1899-12-30T00:59:34"/>
  </r>
  <r>
    <x v="12"/>
    <x v="0"/>
    <n v="37.72"/>
    <x v="7"/>
    <x v="0"/>
    <x v="2"/>
    <x v="2"/>
    <n v="7"/>
    <n v="5"/>
    <x v="76"/>
    <d v="1899-12-30T00:00:35"/>
  </r>
  <r>
    <x v="1"/>
    <x v="0"/>
    <n v="32.82"/>
    <x v="3"/>
    <x v="1"/>
    <x v="2"/>
    <x v="2"/>
    <n v="7"/>
    <n v="5"/>
    <x v="76"/>
    <d v="1899-12-30T00:14:27"/>
  </r>
  <r>
    <x v="8"/>
    <x v="0"/>
    <n v="27.92"/>
    <x v="2"/>
    <x v="1"/>
    <x v="2"/>
    <x v="2"/>
    <n v="7"/>
    <n v="5"/>
    <x v="76"/>
    <d v="1899-12-30T00:43:40"/>
  </r>
  <r>
    <x v="3"/>
    <x v="0"/>
    <n v="32.82"/>
    <x v="3"/>
    <x v="1"/>
    <x v="2"/>
    <x v="2"/>
    <n v="7"/>
    <n v="5"/>
    <x v="76"/>
    <d v="1899-12-30T00:58:58"/>
  </r>
  <r>
    <x v="5"/>
    <x v="0"/>
    <n v="32.82"/>
    <x v="3"/>
    <x v="2"/>
    <x v="2"/>
    <x v="2"/>
    <n v="7"/>
    <n v="5"/>
    <x v="76"/>
    <d v="1899-12-30T00:12:36"/>
  </r>
  <r>
    <x v="5"/>
    <x v="0"/>
    <n v="23.02"/>
    <x v="6"/>
    <x v="2"/>
    <x v="2"/>
    <x v="2"/>
    <n v="7"/>
    <n v="5"/>
    <x v="76"/>
    <d v="1899-12-30T00:13:48"/>
  </r>
  <r>
    <x v="5"/>
    <x v="0"/>
    <n v="37.72"/>
    <x v="1"/>
    <x v="2"/>
    <x v="2"/>
    <x v="2"/>
    <n v="7"/>
    <n v="5"/>
    <x v="76"/>
    <d v="1899-12-30T00:16:30"/>
  </r>
  <r>
    <x v="6"/>
    <x v="0"/>
    <n v="37.72"/>
    <x v="7"/>
    <x v="2"/>
    <x v="2"/>
    <x v="2"/>
    <n v="7"/>
    <n v="5"/>
    <x v="76"/>
    <d v="1899-12-30T00:51:07"/>
  </r>
  <r>
    <x v="15"/>
    <x v="0"/>
    <n v="37.72"/>
    <x v="7"/>
    <x v="2"/>
    <x v="2"/>
    <x v="2"/>
    <n v="7"/>
    <n v="5"/>
    <x v="76"/>
    <d v="1899-12-30T00:15:42"/>
  </r>
  <r>
    <x v="15"/>
    <x v="0"/>
    <n v="37.72"/>
    <x v="7"/>
    <x v="2"/>
    <x v="2"/>
    <x v="2"/>
    <n v="7"/>
    <n v="5"/>
    <x v="76"/>
    <d v="1899-12-30T00:18:36"/>
  </r>
  <r>
    <x v="0"/>
    <x v="0"/>
    <n v="32.82"/>
    <x v="3"/>
    <x v="0"/>
    <x v="3"/>
    <x v="2"/>
    <n v="1"/>
    <n v="5"/>
    <x v="77"/>
    <d v="1899-12-30T00:05:59"/>
  </r>
  <r>
    <x v="0"/>
    <x v="0"/>
    <n v="37.72"/>
    <x v="0"/>
    <x v="0"/>
    <x v="3"/>
    <x v="2"/>
    <n v="1"/>
    <n v="5"/>
    <x v="77"/>
    <d v="1899-12-30T00:17:52"/>
  </r>
  <r>
    <x v="0"/>
    <x v="0"/>
    <n v="37.72"/>
    <x v="0"/>
    <x v="0"/>
    <x v="3"/>
    <x v="2"/>
    <n v="1"/>
    <n v="5"/>
    <x v="77"/>
    <d v="1899-12-30T00:58:48"/>
  </r>
  <r>
    <x v="7"/>
    <x v="0"/>
    <n v="27.92"/>
    <x v="2"/>
    <x v="0"/>
    <x v="3"/>
    <x v="2"/>
    <n v="1"/>
    <n v="5"/>
    <x v="77"/>
    <d v="1899-12-30T00:15:16"/>
  </r>
  <r>
    <x v="7"/>
    <x v="0"/>
    <n v="27.92"/>
    <x v="2"/>
    <x v="0"/>
    <x v="3"/>
    <x v="2"/>
    <n v="1"/>
    <n v="5"/>
    <x v="77"/>
    <d v="1899-12-30T00:16:20"/>
  </r>
  <r>
    <x v="2"/>
    <x v="0"/>
    <n v="27.92"/>
    <x v="2"/>
    <x v="1"/>
    <x v="3"/>
    <x v="2"/>
    <n v="1"/>
    <n v="5"/>
    <x v="77"/>
    <d v="1899-12-30T00:27:13"/>
  </r>
  <r>
    <x v="2"/>
    <x v="0"/>
    <n v="27.92"/>
    <x v="2"/>
    <x v="1"/>
    <x v="3"/>
    <x v="2"/>
    <n v="1"/>
    <n v="5"/>
    <x v="77"/>
    <d v="1899-12-30T00:28:10"/>
  </r>
  <r>
    <x v="8"/>
    <x v="0"/>
    <n v="32.82"/>
    <x v="3"/>
    <x v="1"/>
    <x v="3"/>
    <x v="2"/>
    <n v="1"/>
    <n v="5"/>
    <x v="77"/>
    <d v="1899-12-30T00:13:19"/>
  </r>
  <r>
    <x v="8"/>
    <x v="0"/>
    <n v="37.72"/>
    <x v="7"/>
    <x v="1"/>
    <x v="3"/>
    <x v="2"/>
    <n v="1"/>
    <n v="5"/>
    <x v="77"/>
    <d v="1899-12-30T00:14:31"/>
  </r>
  <r>
    <x v="9"/>
    <x v="0"/>
    <n v="37.72"/>
    <x v="0"/>
    <x v="2"/>
    <x v="3"/>
    <x v="2"/>
    <n v="1"/>
    <n v="5"/>
    <x v="77"/>
    <d v="1899-12-30T00:12:51"/>
  </r>
  <r>
    <x v="9"/>
    <x v="0"/>
    <n v="37.72"/>
    <x v="0"/>
    <x v="2"/>
    <x v="3"/>
    <x v="2"/>
    <n v="1"/>
    <n v="5"/>
    <x v="77"/>
    <d v="1899-12-30T00:13:57"/>
  </r>
  <r>
    <x v="11"/>
    <x v="0"/>
    <n v="32.82"/>
    <x v="3"/>
    <x v="2"/>
    <x v="3"/>
    <x v="2"/>
    <n v="1"/>
    <n v="5"/>
    <x v="77"/>
    <d v="1899-12-30T00:36:48"/>
  </r>
  <r>
    <x v="11"/>
    <x v="0"/>
    <n v="37.72"/>
    <x v="4"/>
    <x v="2"/>
    <x v="3"/>
    <x v="2"/>
    <n v="1"/>
    <n v="5"/>
    <x v="77"/>
    <d v="1899-12-30T00:37:57"/>
  </r>
  <r>
    <x v="11"/>
    <x v="0"/>
    <n v="27.92"/>
    <x v="5"/>
    <x v="2"/>
    <x v="3"/>
    <x v="2"/>
    <n v="1"/>
    <n v="5"/>
    <x v="77"/>
    <d v="1899-12-30T00:46:52"/>
  </r>
  <r>
    <x v="15"/>
    <x v="0"/>
    <n v="32.82"/>
    <x v="3"/>
    <x v="2"/>
    <x v="3"/>
    <x v="2"/>
    <n v="1"/>
    <n v="5"/>
    <x v="77"/>
    <d v="1899-12-30T00:36:54"/>
  </r>
  <r>
    <x v="15"/>
    <x v="0"/>
    <n v="32.82"/>
    <x v="3"/>
    <x v="2"/>
    <x v="3"/>
    <x v="2"/>
    <n v="1"/>
    <n v="5"/>
    <x v="77"/>
    <d v="1899-12-30T00:37:58"/>
  </r>
  <r>
    <x v="12"/>
    <x v="0"/>
    <n v="37.72"/>
    <x v="0"/>
    <x v="0"/>
    <x v="4"/>
    <x v="2"/>
    <n v="2"/>
    <n v="5"/>
    <x v="78"/>
    <d v="1899-12-30T00:27:38"/>
  </r>
  <r>
    <x v="4"/>
    <x v="0"/>
    <n v="37.72"/>
    <x v="0"/>
    <x v="1"/>
    <x v="4"/>
    <x v="2"/>
    <n v="2"/>
    <n v="5"/>
    <x v="78"/>
    <d v="1899-12-30T00:10:20"/>
  </r>
  <r>
    <x v="5"/>
    <x v="0"/>
    <n v="23.02"/>
    <x v="6"/>
    <x v="2"/>
    <x v="4"/>
    <x v="2"/>
    <n v="2"/>
    <n v="5"/>
    <x v="78"/>
    <d v="1899-12-30T00:13:24"/>
  </r>
  <r>
    <x v="6"/>
    <x v="0"/>
    <n v="37.72"/>
    <x v="7"/>
    <x v="2"/>
    <x v="4"/>
    <x v="2"/>
    <n v="2"/>
    <n v="5"/>
    <x v="78"/>
    <d v="1899-12-30T00:11:09"/>
  </r>
  <r>
    <x v="11"/>
    <x v="0"/>
    <n v="37.72"/>
    <x v="7"/>
    <x v="2"/>
    <x v="4"/>
    <x v="2"/>
    <n v="2"/>
    <n v="5"/>
    <x v="78"/>
    <d v="1899-12-30T00:13:48"/>
  </r>
  <r>
    <x v="10"/>
    <x v="0"/>
    <n v="37.72"/>
    <x v="7"/>
    <x v="0"/>
    <x v="5"/>
    <x v="2"/>
    <n v="3"/>
    <n v="5"/>
    <x v="79"/>
    <d v="1899-12-30T00:34:42"/>
  </r>
  <r>
    <x v="0"/>
    <x v="0"/>
    <n v="32.82"/>
    <x v="3"/>
    <x v="0"/>
    <x v="5"/>
    <x v="2"/>
    <n v="3"/>
    <n v="5"/>
    <x v="79"/>
    <d v="1899-12-30T00:49:47"/>
  </r>
  <r>
    <x v="7"/>
    <x v="0"/>
    <n v="27.92"/>
    <x v="5"/>
    <x v="0"/>
    <x v="5"/>
    <x v="2"/>
    <n v="3"/>
    <n v="5"/>
    <x v="79"/>
    <d v="1899-12-30T00:18:14"/>
  </r>
  <r>
    <x v="7"/>
    <x v="0"/>
    <n v="32.82"/>
    <x v="3"/>
    <x v="0"/>
    <x v="5"/>
    <x v="2"/>
    <n v="3"/>
    <n v="5"/>
    <x v="79"/>
    <d v="1899-12-30T00:34:55"/>
  </r>
  <r>
    <x v="1"/>
    <x v="0"/>
    <n v="27.92"/>
    <x v="2"/>
    <x v="1"/>
    <x v="5"/>
    <x v="2"/>
    <n v="3"/>
    <n v="5"/>
    <x v="79"/>
    <d v="1899-12-30T00:29:51"/>
  </r>
  <r>
    <x v="1"/>
    <x v="0"/>
    <n v="27.92"/>
    <x v="2"/>
    <x v="1"/>
    <x v="5"/>
    <x v="2"/>
    <n v="3"/>
    <n v="5"/>
    <x v="79"/>
    <d v="1899-12-30T00:30:43"/>
  </r>
  <r>
    <x v="8"/>
    <x v="0"/>
    <n v="32.82"/>
    <x v="3"/>
    <x v="1"/>
    <x v="5"/>
    <x v="2"/>
    <n v="3"/>
    <n v="5"/>
    <x v="79"/>
    <d v="1899-12-30T00:00:21"/>
  </r>
  <r>
    <x v="6"/>
    <x v="0"/>
    <n v="37.72"/>
    <x v="7"/>
    <x v="2"/>
    <x v="5"/>
    <x v="2"/>
    <n v="3"/>
    <n v="5"/>
    <x v="79"/>
    <d v="1899-12-30T00:24:58"/>
  </r>
  <r>
    <x v="6"/>
    <x v="0"/>
    <n v="37.72"/>
    <x v="7"/>
    <x v="2"/>
    <x v="5"/>
    <x v="2"/>
    <n v="3"/>
    <n v="5"/>
    <x v="79"/>
    <d v="1899-12-30T00:25:59"/>
  </r>
  <r>
    <x v="15"/>
    <x v="0"/>
    <n v="37.72"/>
    <x v="1"/>
    <x v="2"/>
    <x v="5"/>
    <x v="2"/>
    <n v="3"/>
    <n v="5"/>
    <x v="79"/>
    <d v="1899-12-30T21:23:53"/>
  </r>
  <r>
    <x v="15"/>
    <x v="0"/>
    <n v="37.72"/>
    <x v="7"/>
    <x v="2"/>
    <x v="5"/>
    <x v="2"/>
    <n v="3"/>
    <n v="5"/>
    <x v="79"/>
    <d v="1899-12-30T00:24:50"/>
  </r>
  <r>
    <x v="0"/>
    <x v="0"/>
    <n v="37.72"/>
    <x v="7"/>
    <x v="0"/>
    <x v="6"/>
    <x v="2"/>
    <n v="4"/>
    <n v="5"/>
    <x v="80"/>
    <d v="1899-12-30T00:10:20"/>
  </r>
  <r>
    <x v="1"/>
    <x v="0"/>
    <n v="23.02"/>
    <x v="6"/>
    <x v="1"/>
    <x v="6"/>
    <x v="2"/>
    <n v="4"/>
    <n v="5"/>
    <x v="80"/>
    <d v="1899-12-30T00:22:07"/>
  </r>
  <r>
    <x v="3"/>
    <x v="0"/>
    <n v="37.72"/>
    <x v="7"/>
    <x v="1"/>
    <x v="6"/>
    <x v="2"/>
    <n v="4"/>
    <n v="5"/>
    <x v="80"/>
    <d v="1899-12-30T00:55:17"/>
  </r>
  <r>
    <x v="3"/>
    <x v="0"/>
    <n v="37.72"/>
    <x v="7"/>
    <x v="1"/>
    <x v="6"/>
    <x v="2"/>
    <n v="4"/>
    <n v="5"/>
    <x v="80"/>
    <d v="1899-12-30T00:56:27"/>
  </r>
  <r>
    <x v="4"/>
    <x v="0"/>
    <n v="37.72"/>
    <x v="7"/>
    <x v="1"/>
    <x v="6"/>
    <x v="2"/>
    <n v="4"/>
    <n v="5"/>
    <x v="80"/>
    <d v="1899-12-30T00:18:14"/>
  </r>
  <r>
    <x v="4"/>
    <x v="0"/>
    <n v="37.72"/>
    <x v="0"/>
    <x v="1"/>
    <x v="6"/>
    <x v="2"/>
    <n v="4"/>
    <n v="5"/>
    <x v="80"/>
    <d v="1899-12-30T00:41:00"/>
  </r>
  <r>
    <x v="9"/>
    <x v="0"/>
    <n v="37.72"/>
    <x v="7"/>
    <x v="2"/>
    <x v="6"/>
    <x v="2"/>
    <n v="4"/>
    <n v="5"/>
    <x v="80"/>
    <d v="1899-12-30T00:14:33"/>
  </r>
  <r>
    <x v="9"/>
    <x v="0"/>
    <n v="37.72"/>
    <x v="0"/>
    <x v="2"/>
    <x v="6"/>
    <x v="2"/>
    <n v="4"/>
    <n v="5"/>
    <x v="80"/>
    <d v="1899-12-30T00:15:45"/>
  </r>
  <r>
    <x v="6"/>
    <x v="0"/>
    <n v="27.92"/>
    <x v="5"/>
    <x v="2"/>
    <x v="6"/>
    <x v="2"/>
    <n v="4"/>
    <n v="5"/>
    <x v="80"/>
    <d v="1899-12-30T00:03:54"/>
  </r>
  <r>
    <x v="6"/>
    <x v="0"/>
    <n v="37.72"/>
    <x v="7"/>
    <x v="2"/>
    <x v="6"/>
    <x v="2"/>
    <n v="4"/>
    <n v="5"/>
    <x v="80"/>
    <d v="1899-12-30T00:17:28"/>
  </r>
  <r>
    <x v="6"/>
    <x v="0"/>
    <n v="37.72"/>
    <x v="7"/>
    <x v="2"/>
    <x v="6"/>
    <x v="2"/>
    <n v="4"/>
    <n v="5"/>
    <x v="80"/>
    <d v="1899-12-30T00:18:26"/>
  </r>
  <r>
    <x v="6"/>
    <x v="0"/>
    <n v="37.72"/>
    <x v="7"/>
    <x v="2"/>
    <x v="6"/>
    <x v="2"/>
    <n v="4"/>
    <n v="5"/>
    <x v="80"/>
    <d v="1899-12-30T00:42:32"/>
  </r>
  <r>
    <x v="11"/>
    <x v="0"/>
    <n v="37.72"/>
    <x v="7"/>
    <x v="2"/>
    <x v="6"/>
    <x v="2"/>
    <n v="4"/>
    <n v="5"/>
    <x v="80"/>
    <d v="1899-12-30T00:15:01"/>
  </r>
  <r>
    <x v="11"/>
    <x v="0"/>
    <n v="37.72"/>
    <x v="0"/>
    <x v="2"/>
    <x v="6"/>
    <x v="2"/>
    <n v="4"/>
    <n v="5"/>
    <x v="80"/>
    <d v="1899-12-30T00:16:24"/>
  </r>
  <r>
    <x v="13"/>
    <x v="0"/>
    <n v="32.82"/>
    <x v="3"/>
    <x v="2"/>
    <x v="6"/>
    <x v="2"/>
    <n v="4"/>
    <n v="5"/>
    <x v="80"/>
    <d v="1899-12-30T00:48:11"/>
  </r>
  <r>
    <x v="7"/>
    <x v="0"/>
    <n v="27.92"/>
    <x v="5"/>
    <x v="0"/>
    <x v="0"/>
    <x v="2"/>
    <n v="5"/>
    <n v="5"/>
    <x v="81"/>
    <d v="1899-12-30T00:11:59"/>
  </r>
  <r>
    <x v="7"/>
    <x v="0"/>
    <n v="27.92"/>
    <x v="2"/>
    <x v="0"/>
    <x v="0"/>
    <x v="2"/>
    <n v="5"/>
    <n v="5"/>
    <x v="81"/>
    <d v="1899-12-30T00:15:08"/>
  </r>
  <r>
    <x v="7"/>
    <x v="0"/>
    <n v="27.92"/>
    <x v="2"/>
    <x v="0"/>
    <x v="0"/>
    <x v="2"/>
    <n v="5"/>
    <n v="5"/>
    <x v="81"/>
    <d v="1899-12-30T00:16:13"/>
  </r>
  <r>
    <x v="4"/>
    <x v="0"/>
    <n v="37.72"/>
    <x v="1"/>
    <x v="1"/>
    <x v="0"/>
    <x v="2"/>
    <n v="5"/>
    <n v="5"/>
    <x v="81"/>
    <d v="1899-12-30T00:07:20"/>
  </r>
  <r>
    <x v="5"/>
    <x v="0"/>
    <n v="27.92"/>
    <x v="5"/>
    <x v="2"/>
    <x v="0"/>
    <x v="2"/>
    <n v="5"/>
    <n v="5"/>
    <x v="81"/>
    <d v="1899-12-30T00:17:40"/>
  </r>
  <r>
    <x v="5"/>
    <x v="0"/>
    <n v="27.92"/>
    <x v="5"/>
    <x v="2"/>
    <x v="0"/>
    <x v="2"/>
    <n v="5"/>
    <n v="5"/>
    <x v="81"/>
    <d v="1899-12-30T00:18:37"/>
  </r>
  <r>
    <x v="13"/>
    <x v="0"/>
    <n v="32.82"/>
    <x v="3"/>
    <x v="2"/>
    <x v="0"/>
    <x v="2"/>
    <n v="5"/>
    <n v="5"/>
    <x v="81"/>
    <d v="1899-12-30T00:30:40"/>
  </r>
  <r>
    <x v="1"/>
    <x v="0"/>
    <n v="37.72"/>
    <x v="0"/>
    <x v="1"/>
    <x v="1"/>
    <x v="2"/>
    <n v="6"/>
    <n v="5"/>
    <x v="82"/>
    <d v="1899-12-30T00:13:53"/>
  </r>
  <r>
    <x v="1"/>
    <x v="0"/>
    <n v="32.82"/>
    <x v="3"/>
    <x v="1"/>
    <x v="1"/>
    <x v="2"/>
    <n v="6"/>
    <n v="5"/>
    <x v="82"/>
    <d v="1899-12-30T00:42:10"/>
  </r>
  <r>
    <x v="1"/>
    <x v="0"/>
    <n v="32.82"/>
    <x v="3"/>
    <x v="1"/>
    <x v="1"/>
    <x v="2"/>
    <n v="6"/>
    <n v="5"/>
    <x v="82"/>
    <d v="1899-12-30T00:43:13"/>
  </r>
  <r>
    <x v="1"/>
    <x v="0"/>
    <n v="32.82"/>
    <x v="3"/>
    <x v="1"/>
    <x v="1"/>
    <x v="2"/>
    <n v="6"/>
    <n v="5"/>
    <x v="82"/>
    <d v="1899-12-30T00:58:12"/>
  </r>
  <r>
    <x v="4"/>
    <x v="0"/>
    <n v="32.82"/>
    <x v="3"/>
    <x v="1"/>
    <x v="1"/>
    <x v="2"/>
    <n v="6"/>
    <n v="5"/>
    <x v="82"/>
    <d v="1899-12-30T00:47:10"/>
  </r>
  <r>
    <x v="4"/>
    <x v="0"/>
    <n v="27.92"/>
    <x v="2"/>
    <x v="1"/>
    <x v="1"/>
    <x v="2"/>
    <n v="6"/>
    <n v="5"/>
    <x v="82"/>
    <d v="1899-12-30T00:48:17"/>
  </r>
  <r>
    <x v="0"/>
    <x v="0"/>
    <n v="37.72"/>
    <x v="0"/>
    <x v="0"/>
    <x v="2"/>
    <x v="2"/>
    <n v="7"/>
    <n v="5"/>
    <x v="83"/>
    <d v="1899-12-30T00:20:02"/>
  </r>
  <r>
    <x v="8"/>
    <x v="0"/>
    <n v="32.82"/>
    <x v="3"/>
    <x v="1"/>
    <x v="2"/>
    <x v="2"/>
    <n v="7"/>
    <n v="5"/>
    <x v="83"/>
    <d v="1899-12-30T00:24:50"/>
  </r>
  <r>
    <x v="8"/>
    <x v="0"/>
    <n v="27.92"/>
    <x v="5"/>
    <x v="1"/>
    <x v="2"/>
    <x v="2"/>
    <n v="7"/>
    <n v="5"/>
    <x v="83"/>
    <d v="1899-12-30T00:26:05"/>
  </r>
  <r>
    <x v="8"/>
    <x v="0"/>
    <n v="32.82"/>
    <x v="3"/>
    <x v="1"/>
    <x v="2"/>
    <x v="2"/>
    <n v="7"/>
    <n v="5"/>
    <x v="83"/>
    <d v="1899-12-30T00:40:59"/>
  </r>
  <r>
    <x v="9"/>
    <x v="0"/>
    <n v="37.72"/>
    <x v="7"/>
    <x v="2"/>
    <x v="2"/>
    <x v="2"/>
    <n v="7"/>
    <n v="5"/>
    <x v="83"/>
    <d v="1899-12-30T00:19:16"/>
  </r>
  <r>
    <x v="5"/>
    <x v="0"/>
    <n v="37.72"/>
    <x v="1"/>
    <x v="2"/>
    <x v="2"/>
    <x v="2"/>
    <n v="7"/>
    <n v="5"/>
    <x v="83"/>
    <d v="1899-12-30T00:09:53"/>
  </r>
  <r>
    <x v="5"/>
    <x v="0"/>
    <n v="37.72"/>
    <x v="1"/>
    <x v="2"/>
    <x v="2"/>
    <x v="2"/>
    <n v="7"/>
    <n v="5"/>
    <x v="83"/>
    <d v="1899-12-30T00:11:02"/>
  </r>
  <r>
    <x v="5"/>
    <x v="0"/>
    <n v="27.92"/>
    <x v="2"/>
    <x v="2"/>
    <x v="2"/>
    <x v="2"/>
    <n v="7"/>
    <n v="5"/>
    <x v="83"/>
    <d v="1899-12-30T00:13:14"/>
  </r>
  <r>
    <x v="5"/>
    <x v="0"/>
    <n v="37.72"/>
    <x v="0"/>
    <x v="2"/>
    <x v="2"/>
    <x v="2"/>
    <n v="7"/>
    <n v="5"/>
    <x v="83"/>
    <d v="1899-12-30T00:39:19"/>
  </r>
  <r>
    <x v="11"/>
    <x v="0"/>
    <n v="37.72"/>
    <x v="1"/>
    <x v="2"/>
    <x v="2"/>
    <x v="2"/>
    <n v="7"/>
    <n v="5"/>
    <x v="83"/>
    <d v="1899-12-30T00:59:15"/>
  </r>
  <r>
    <x v="15"/>
    <x v="0"/>
    <n v="37.72"/>
    <x v="7"/>
    <x v="2"/>
    <x v="2"/>
    <x v="2"/>
    <n v="7"/>
    <n v="5"/>
    <x v="83"/>
    <d v="1899-12-30T00:00:06"/>
  </r>
  <r>
    <x v="15"/>
    <x v="0"/>
    <n v="27.92"/>
    <x v="5"/>
    <x v="2"/>
    <x v="2"/>
    <x v="2"/>
    <n v="7"/>
    <n v="5"/>
    <x v="83"/>
    <d v="1899-12-30T00:02:37"/>
  </r>
  <r>
    <x v="15"/>
    <x v="0"/>
    <n v="37.72"/>
    <x v="7"/>
    <x v="2"/>
    <x v="2"/>
    <x v="2"/>
    <n v="7"/>
    <n v="5"/>
    <x v="83"/>
    <d v="1899-12-30T00:03:52"/>
  </r>
  <r>
    <x v="15"/>
    <x v="0"/>
    <n v="37.72"/>
    <x v="0"/>
    <x v="2"/>
    <x v="2"/>
    <x v="2"/>
    <n v="7"/>
    <n v="5"/>
    <x v="83"/>
    <d v="1899-12-30T00:04:59"/>
  </r>
  <r>
    <x v="15"/>
    <x v="0"/>
    <n v="37.72"/>
    <x v="7"/>
    <x v="2"/>
    <x v="2"/>
    <x v="2"/>
    <n v="7"/>
    <n v="5"/>
    <x v="83"/>
    <d v="1899-12-30T00:06:03"/>
  </r>
  <r>
    <x v="7"/>
    <x v="0"/>
    <n v="27.92"/>
    <x v="2"/>
    <x v="0"/>
    <x v="3"/>
    <x v="2"/>
    <n v="1"/>
    <n v="5"/>
    <x v="84"/>
    <d v="1899-12-30T00:34:55"/>
  </r>
  <r>
    <x v="8"/>
    <x v="0"/>
    <n v="32.82"/>
    <x v="3"/>
    <x v="1"/>
    <x v="3"/>
    <x v="2"/>
    <n v="1"/>
    <n v="5"/>
    <x v="84"/>
    <d v="1899-12-30T00:05:22"/>
  </r>
  <r>
    <x v="8"/>
    <x v="0"/>
    <n v="37.72"/>
    <x v="4"/>
    <x v="1"/>
    <x v="3"/>
    <x v="2"/>
    <n v="1"/>
    <n v="5"/>
    <x v="84"/>
    <d v="1899-12-30T00:06:44"/>
  </r>
  <r>
    <x v="3"/>
    <x v="0"/>
    <n v="27.92"/>
    <x v="2"/>
    <x v="1"/>
    <x v="3"/>
    <x v="2"/>
    <n v="1"/>
    <n v="5"/>
    <x v="84"/>
    <d v="1899-12-30T00:11:34"/>
  </r>
  <r>
    <x v="3"/>
    <x v="0"/>
    <n v="27.92"/>
    <x v="2"/>
    <x v="1"/>
    <x v="3"/>
    <x v="2"/>
    <n v="1"/>
    <n v="5"/>
    <x v="84"/>
    <d v="1899-12-30T00:14:06"/>
  </r>
  <r>
    <x v="9"/>
    <x v="0"/>
    <n v="37.72"/>
    <x v="0"/>
    <x v="2"/>
    <x v="3"/>
    <x v="2"/>
    <n v="1"/>
    <n v="5"/>
    <x v="84"/>
    <d v="1899-12-30T00:50:56"/>
  </r>
  <r>
    <x v="5"/>
    <x v="0"/>
    <n v="27.92"/>
    <x v="2"/>
    <x v="2"/>
    <x v="3"/>
    <x v="2"/>
    <n v="1"/>
    <n v="5"/>
    <x v="84"/>
    <d v="1899-12-30T00:00:51"/>
  </r>
  <r>
    <x v="6"/>
    <x v="0"/>
    <n v="37.72"/>
    <x v="0"/>
    <x v="2"/>
    <x v="3"/>
    <x v="2"/>
    <n v="1"/>
    <n v="5"/>
    <x v="84"/>
    <d v="1899-12-30T00:16:27"/>
  </r>
  <r>
    <x v="6"/>
    <x v="0"/>
    <n v="37.72"/>
    <x v="0"/>
    <x v="2"/>
    <x v="3"/>
    <x v="2"/>
    <n v="1"/>
    <n v="5"/>
    <x v="84"/>
    <d v="1899-12-30T00:17:39"/>
  </r>
  <r>
    <x v="15"/>
    <x v="0"/>
    <n v="32.82"/>
    <x v="3"/>
    <x v="2"/>
    <x v="3"/>
    <x v="2"/>
    <n v="1"/>
    <n v="5"/>
    <x v="84"/>
    <d v="1899-12-30T00:29:07"/>
  </r>
  <r>
    <x v="15"/>
    <x v="0"/>
    <n v="37.72"/>
    <x v="7"/>
    <x v="2"/>
    <x v="3"/>
    <x v="2"/>
    <n v="1"/>
    <n v="5"/>
    <x v="84"/>
    <d v="1899-12-30T00:30:20"/>
  </r>
  <r>
    <x v="12"/>
    <x v="0"/>
    <n v="32.82"/>
    <x v="3"/>
    <x v="0"/>
    <x v="4"/>
    <x v="2"/>
    <n v="2"/>
    <n v="5"/>
    <x v="85"/>
    <d v="1899-12-30T00:37:09"/>
  </r>
  <r>
    <x v="10"/>
    <x v="0"/>
    <n v="32.82"/>
    <x v="3"/>
    <x v="0"/>
    <x v="4"/>
    <x v="2"/>
    <n v="2"/>
    <n v="5"/>
    <x v="85"/>
    <d v="1899-12-30T00:20:11"/>
  </r>
  <r>
    <x v="7"/>
    <x v="0"/>
    <n v="37.72"/>
    <x v="7"/>
    <x v="0"/>
    <x v="4"/>
    <x v="2"/>
    <n v="2"/>
    <n v="5"/>
    <x v="85"/>
    <d v="1899-12-30T00:48:19"/>
  </r>
  <r>
    <x v="2"/>
    <x v="0"/>
    <n v="37.72"/>
    <x v="7"/>
    <x v="1"/>
    <x v="4"/>
    <x v="2"/>
    <n v="2"/>
    <n v="5"/>
    <x v="85"/>
    <d v="1899-12-30T00:14:40"/>
  </r>
  <r>
    <x v="8"/>
    <x v="0"/>
    <n v="37.72"/>
    <x v="4"/>
    <x v="1"/>
    <x v="4"/>
    <x v="2"/>
    <n v="2"/>
    <n v="5"/>
    <x v="85"/>
    <d v="1899-12-30T00:10:54"/>
  </r>
  <r>
    <x v="4"/>
    <x v="0"/>
    <n v="27.92"/>
    <x v="5"/>
    <x v="1"/>
    <x v="4"/>
    <x v="2"/>
    <n v="2"/>
    <n v="5"/>
    <x v="85"/>
    <d v="1899-12-30T00:25:39"/>
  </r>
  <r>
    <x v="6"/>
    <x v="0"/>
    <n v="27.92"/>
    <x v="2"/>
    <x v="2"/>
    <x v="4"/>
    <x v="2"/>
    <n v="2"/>
    <n v="5"/>
    <x v="85"/>
    <d v="1899-12-30T00:09:29"/>
  </r>
  <r>
    <x v="6"/>
    <x v="0"/>
    <n v="37.72"/>
    <x v="0"/>
    <x v="2"/>
    <x v="4"/>
    <x v="2"/>
    <n v="2"/>
    <n v="5"/>
    <x v="85"/>
    <d v="1899-12-30T00:10:31"/>
  </r>
  <r>
    <x v="11"/>
    <x v="0"/>
    <n v="32.82"/>
    <x v="3"/>
    <x v="2"/>
    <x v="4"/>
    <x v="2"/>
    <n v="2"/>
    <n v="5"/>
    <x v="85"/>
    <d v="1899-12-30T00:24:32"/>
  </r>
  <r>
    <x v="11"/>
    <x v="0"/>
    <n v="27.92"/>
    <x v="2"/>
    <x v="2"/>
    <x v="4"/>
    <x v="2"/>
    <n v="2"/>
    <n v="5"/>
    <x v="85"/>
    <d v="1899-12-30T00:50:19"/>
  </r>
  <r>
    <x v="10"/>
    <x v="0"/>
    <n v="37.72"/>
    <x v="0"/>
    <x v="0"/>
    <x v="5"/>
    <x v="2"/>
    <n v="3"/>
    <n v="5"/>
    <x v="86"/>
    <d v="1899-12-30T00:14:44"/>
  </r>
  <r>
    <x v="7"/>
    <x v="0"/>
    <n v="37.72"/>
    <x v="1"/>
    <x v="0"/>
    <x v="5"/>
    <x v="2"/>
    <n v="3"/>
    <n v="5"/>
    <x v="86"/>
    <d v="1899-12-30T00:14:03"/>
  </r>
  <r>
    <x v="3"/>
    <x v="0"/>
    <n v="27.92"/>
    <x v="2"/>
    <x v="1"/>
    <x v="5"/>
    <x v="2"/>
    <n v="3"/>
    <n v="5"/>
    <x v="86"/>
    <d v="1899-12-30T00:10:49"/>
  </r>
  <r>
    <x v="3"/>
    <x v="0"/>
    <n v="37.72"/>
    <x v="0"/>
    <x v="1"/>
    <x v="5"/>
    <x v="2"/>
    <n v="3"/>
    <n v="5"/>
    <x v="86"/>
    <d v="1899-12-30T00:22:56"/>
  </r>
  <r>
    <x v="3"/>
    <x v="0"/>
    <n v="37.72"/>
    <x v="7"/>
    <x v="1"/>
    <x v="5"/>
    <x v="2"/>
    <n v="3"/>
    <n v="5"/>
    <x v="86"/>
    <d v="1899-12-30T00:45:13"/>
  </r>
  <r>
    <x v="4"/>
    <x v="0"/>
    <n v="37.72"/>
    <x v="0"/>
    <x v="1"/>
    <x v="5"/>
    <x v="2"/>
    <n v="3"/>
    <n v="5"/>
    <x v="86"/>
    <d v="1899-12-30T00:45:04"/>
  </r>
  <r>
    <x v="5"/>
    <x v="0"/>
    <n v="27.92"/>
    <x v="5"/>
    <x v="2"/>
    <x v="5"/>
    <x v="2"/>
    <n v="3"/>
    <n v="5"/>
    <x v="86"/>
    <d v="1899-12-30T00:24:03"/>
  </r>
  <r>
    <x v="5"/>
    <x v="0"/>
    <n v="37.72"/>
    <x v="0"/>
    <x v="2"/>
    <x v="5"/>
    <x v="2"/>
    <n v="3"/>
    <n v="5"/>
    <x v="86"/>
    <d v="1899-12-30T00:24:59"/>
  </r>
  <r>
    <x v="11"/>
    <x v="0"/>
    <n v="37.72"/>
    <x v="1"/>
    <x v="2"/>
    <x v="5"/>
    <x v="2"/>
    <n v="3"/>
    <n v="5"/>
    <x v="86"/>
    <d v="1899-12-30T00:30:42"/>
  </r>
  <r>
    <x v="11"/>
    <x v="0"/>
    <n v="37.72"/>
    <x v="4"/>
    <x v="2"/>
    <x v="5"/>
    <x v="2"/>
    <n v="3"/>
    <n v="5"/>
    <x v="86"/>
    <d v="1899-12-30T00:32:35"/>
  </r>
  <r>
    <x v="12"/>
    <x v="0"/>
    <n v="37.72"/>
    <x v="7"/>
    <x v="0"/>
    <x v="6"/>
    <x v="2"/>
    <n v="4"/>
    <n v="5"/>
    <x v="87"/>
    <d v="1899-12-30T00:29:06"/>
  </r>
  <r>
    <x v="12"/>
    <x v="0"/>
    <n v="37.72"/>
    <x v="0"/>
    <x v="0"/>
    <x v="6"/>
    <x v="2"/>
    <n v="4"/>
    <n v="5"/>
    <x v="87"/>
    <d v="1899-12-30T00:30:22"/>
  </r>
  <r>
    <x v="12"/>
    <x v="0"/>
    <n v="32.82"/>
    <x v="3"/>
    <x v="0"/>
    <x v="6"/>
    <x v="2"/>
    <n v="4"/>
    <n v="5"/>
    <x v="87"/>
    <d v="1899-12-30T00:37:05"/>
  </r>
  <r>
    <x v="10"/>
    <x v="0"/>
    <n v="37.72"/>
    <x v="0"/>
    <x v="0"/>
    <x v="6"/>
    <x v="2"/>
    <n v="4"/>
    <n v="5"/>
    <x v="87"/>
    <d v="1899-12-30T00:47:59"/>
  </r>
  <r>
    <x v="8"/>
    <x v="0"/>
    <n v="32.82"/>
    <x v="3"/>
    <x v="1"/>
    <x v="6"/>
    <x v="2"/>
    <n v="4"/>
    <n v="5"/>
    <x v="87"/>
    <d v="1899-12-30T00:56:16"/>
  </r>
  <r>
    <x v="3"/>
    <x v="0"/>
    <n v="23.02"/>
    <x v="6"/>
    <x v="1"/>
    <x v="6"/>
    <x v="2"/>
    <n v="4"/>
    <n v="5"/>
    <x v="87"/>
    <d v="1899-12-30T00:16:16"/>
  </r>
  <r>
    <x v="3"/>
    <x v="0"/>
    <n v="23.02"/>
    <x v="6"/>
    <x v="1"/>
    <x v="6"/>
    <x v="2"/>
    <n v="4"/>
    <n v="5"/>
    <x v="87"/>
    <d v="1899-12-30T00:17:39"/>
  </r>
  <r>
    <x v="6"/>
    <x v="0"/>
    <n v="37.72"/>
    <x v="7"/>
    <x v="2"/>
    <x v="6"/>
    <x v="2"/>
    <n v="4"/>
    <n v="5"/>
    <x v="87"/>
    <d v="1899-12-30T00:53:11"/>
  </r>
  <r>
    <x v="11"/>
    <x v="0"/>
    <n v="37.72"/>
    <x v="0"/>
    <x v="2"/>
    <x v="6"/>
    <x v="2"/>
    <n v="4"/>
    <n v="5"/>
    <x v="87"/>
    <d v="1899-12-30T00:31:05"/>
  </r>
  <r>
    <x v="11"/>
    <x v="0"/>
    <n v="37.72"/>
    <x v="1"/>
    <x v="2"/>
    <x v="6"/>
    <x v="2"/>
    <n v="4"/>
    <n v="5"/>
    <x v="87"/>
    <d v="1899-12-30T00:46:14"/>
  </r>
  <r>
    <x v="11"/>
    <x v="0"/>
    <n v="32.82"/>
    <x v="3"/>
    <x v="2"/>
    <x v="6"/>
    <x v="2"/>
    <n v="4"/>
    <n v="5"/>
    <x v="87"/>
    <d v="1899-12-30T00:47:22"/>
  </r>
  <r>
    <x v="14"/>
    <x v="0"/>
    <n v="32.82"/>
    <x v="3"/>
    <x v="0"/>
    <x v="0"/>
    <x v="2"/>
    <n v="5"/>
    <n v="5"/>
    <x v="88"/>
    <d v="1899-12-30T00:53:57"/>
  </r>
  <r>
    <x v="10"/>
    <x v="0"/>
    <n v="37.72"/>
    <x v="0"/>
    <x v="0"/>
    <x v="0"/>
    <x v="2"/>
    <n v="5"/>
    <n v="5"/>
    <x v="88"/>
    <d v="1899-12-30T00:21:08"/>
  </r>
  <r>
    <x v="0"/>
    <x v="0"/>
    <n v="37.72"/>
    <x v="1"/>
    <x v="0"/>
    <x v="0"/>
    <x v="2"/>
    <n v="5"/>
    <n v="5"/>
    <x v="88"/>
    <d v="1899-12-30T00:38:08"/>
  </r>
  <r>
    <x v="0"/>
    <x v="0"/>
    <n v="37.72"/>
    <x v="4"/>
    <x v="0"/>
    <x v="0"/>
    <x v="2"/>
    <n v="5"/>
    <n v="5"/>
    <x v="88"/>
    <d v="1899-12-30T00:39:06"/>
  </r>
  <r>
    <x v="8"/>
    <x v="0"/>
    <n v="32.82"/>
    <x v="3"/>
    <x v="1"/>
    <x v="0"/>
    <x v="2"/>
    <n v="5"/>
    <n v="5"/>
    <x v="88"/>
    <d v="1899-12-30T00:50:13"/>
  </r>
  <r>
    <x v="5"/>
    <x v="0"/>
    <n v="37.72"/>
    <x v="0"/>
    <x v="2"/>
    <x v="0"/>
    <x v="2"/>
    <n v="5"/>
    <n v="5"/>
    <x v="88"/>
    <d v="1899-12-30T00:23:45"/>
  </r>
  <r>
    <x v="5"/>
    <x v="0"/>
    <n v="37.72"/>
    <x v="0"/>
    <x v="2"/>
    <x v="0"/>
    <x v="2"/>
    <n v="5"/>
    <n v="5"/>
    <x v="88"/>
    <d v="1899-12-30T00:25:03"/>
  </r>
  <r>
    <x v="11"/>
    <x v="0"/>
    <n v="37.72"/>
    <x v="7"/>
    <x v="2"/>
    <x v="0"/>
    <x v="2"/>
    <n v="5"/>
    <n v="5"/>
    <x v="88"/>
    <d v="1899-12-30T00:06:39"/>
  </r>
  <r>
    <x v="11"/>
    <x v="0"/>
    <n v="32.82"/>
    <x v="3"/>
    <x v="2"/>
    <x v="0"/>
    <x v="2"/>
    <n v="5"/>
    <n v="5"/>
    <x v="88"/>
    <d v="1899-12-30T00:33:06"/>
  </r>
  <r>
    <x v="11"/>
    <x v="0"/>
    <n v="37.72"/>
    <x v="0"/>
    <x v="2"/>
    <x v="0"/>
    <x v="2"/>
    <n v="5"/>
    <n v="5"/>
    <x v="88"/>
    <d v="1899-12-30T00:34:33"/>
  </r>
  <r>
    <x v="13"/>
    <x v="0"/>
    <n v="37.72"/>
    <x v="7"/>
    <x v="2"/>
    <x v="0"/>
    <x v="2"/>
    <n v="5"/>
    <n v="5"/>
    <x v="88"/>
    <d v="1899-12-30T00:05:47"/>
  </r>
  <r>
    <x v="13"/>
    <x v="0"/>
    <n v="32.82"/>
    <x v="3"/>
    <x v="2"/>
    <x v="0"/>
    <x v="2"/>
    <n v="5"/>
    <n v="5"/>
    <x v="88"/>
    <d v="1899-12-30T00:06:53"/>
  </r>
  <r>
    <x v="13"/>
    <x v="0"/>
    <n v="27.92"/>
    <x v="5"/>
    <x v="2"/>
    <x v="0"/>
    <x v="2"/>
    <n v="5"/>
    <n v="5"/>
    <x v="88"/>
    <d v="1899-12-30T00:07:55"/>
  </r>
  <r>
    <x v="12"/>
    <x v="0"/>
    <n v="27.92"/>
    <x v="5"/>
    <x v="0"/>
    <x v="1"/>
    <x v="3"/>
    <n v="6"/>
    <n v="6"/>
    <x v="89"/>
    <d v="1899-12-30T00:27:02"/>
  </r>
  <r>
    <x v="10"/>
    <x v="0"/>
    <n v="37.72"/>
    <x v="0"/>
    <x v="0"/>
    <x v="1"/>
    <x v="3"/>
    <n v="6"/>
    <n v="6"/>
    <x v="89"/>
    <d v="1899-12-30T00:48:25"/>
  </r>
  <r>
    <x v="7"/>
    <x v="0"/>
    <n v="37.72"/>
    <x v="0"/>
    <x v="0"/>
    <x v="1"/>
    <x v="3"/>
    <n v="6"/>
    <n v="6"/>
    <x v="89"/>
    <d v="1899-12-30T00:38:09"/>
  </r>
  <r>
    <x v="8"/>
    <x v="0"/>
    <n v="32.82"/>
    <x v="3"/>
    <x v="1"/>
    <x v="1"/>
    <x v="3"/>
    <n v="6"/>
    <n v="6"/>
    <x v="89"/>
    <d v="1899-12-30T00:28:54"/>
  </r>
  <r>
    <x v="5"/>
    <x v="0"/>
    <n v="32.82"/>
    <x v="3"/>
    <x v="2"/>
    <x v="1"/>
    <x v="3"/>
    <n v="6"/>
    <n v="6"/>
    <x v="89"/>
    <d v="1899-12-30T00:20:13"/>
  </r>
  <r>
    <x v="5"/>
    <x v="0"/>
    <n v="32.82"/>
    <x v="3"/>
    <x v="2"/>
    <x v="1"/>
    <x v="3"/>
    <n v="6"/>
    <n v="6"/>
    <x v="89"/>
    <d v="1899-12-30T00:21:15"/>
  </r>
  <r>
    <x v="11"/>
    <x v="0"/>
    <n v="37.72"/>
    <x v="7"/>
    <x v="2"/>
    <x v="1"/>
    <x v="3"/>
    <n v="6"/>
    <n v="6"/>
    <x v="89"/>
    <d v="1899-12-30T00:50:11"/>
  </r>
  <r>
    <x v="11"/>
    <x v="0"/>
    <n v="37.72"/>
    <x v="7"/>
    <x v="2"/>
    <x v="1"/>
    <x v="3"/>
    <n v="6"/>
    <n v="6"/>
    <x v="89"/>
    <d v="1899-12-30T00:51:14"/>
  </r>
  <r>
    <x v="11"/>
    <x v="0"/>
    <n v="37.72"/>
    <x v="4"/>
    <x v="2"/>
    <x v="1"/>
    <x v="3"/>
    <n v="6"/>
    <n v="6"/>
    <x v="89"/>
    <d v="1899-12-30T00:59:10"/>
  </r>
  <r>
    <x v="15"/>
    <x v="0"/>
    <n v="32.82"/>
    <x v="3"/>
    <x v="2"/>
    <x v="1"/>
    <x v="3"/>
    <n v="6"/>
    <n v="6"/>
    <x v="89"/>
    <d v="1899-12-30T00:51:05"/>
  </r>
  <r>
    <x v="11"/>
    <x v="0"/>
    <n v="37.72"/>
    <x v="0"/>
    <x v="2"/>
    <x v="2"/>
    <x v="3"/>
    <n v="7"/>
    <n v="6"/>
    <x v="90"/>
    <d v="1899-12-30T00:03:26"/>
  </r>
  <r>
    <x v="11"/>
    <x v="0"/>
    <n v="32.82"/>
    <x v="3"/>
    <x v="2"/>
    <x v="2"/>
    <x v="3"/>
    <n v="7"/>
    <n v="6"/>
    <x v="90"/>
    <d v="1899-12-30T00:24:02"/>
  </r>
  <r>
    <x v="11"/>
    <x v="0"/>
    <n v="37.72"/>
    <x v="7"/>
    <x v="2"/>
    <x v="2"/>
    <x v="3"/>
    <n v="7"/>
    <n v="6"/>
    <x v="90"/>
    <d v="1899-12-30T00:25:07"/>
  </r>
  <r>
    <x v="15"/>
    <x v="0"/>
    <n v="32.82"/>
    <x v="3"/>
    <x v="2"/>
    <x v="2"/>
    <x v="3"/>
    <n v="7"/>
    <n v="6"/>
    <x v="90"/>
    <d v="1899-12-30T00:07:21"/>
  </r>
  <r>
    <x v="15"/>
    <x v="0"/>
    <n v="37.72"/>
    <x v="0"/>
    <x v="2"/>
    <x v="2"/>
    <x v="3"/>
    <n v="7"/>
    <n v="6"/>
    <x v="90"/>
    <d v="1899-12-30T00:30:12"/>
  </r>
  <r>
    <x v="0"/>
    <x v="0"/>
    <n v="37.72"/>
    <x v="0"/>
    <x v="0"/>
    <x v="3"/>
    <x v="3"/>
    <n v="1"/>
    <n v="6"/>
    <x v="91"/>
    <d v="1899-12-30T00:12:04"/>
  </r>
  <r>
    <x v="0"/>
    <x v="0"/>
    <n v="37.72"/>
    <x v="0"/>
    <x v="0"/>
    <x v="3"/>
    <x v="3"/>
    <n v="1"/>
    <n v="6"/>
    <x v="91"/>
    <d v="1899-12-30T00:27:50"/>
  </r>
  <r>
    <x v="8"/>
    <x v="0"/>
    <n v="37.72"/>
    <x v="7"/>
    <x v="1"/>
    <x v="3"/>
    <x v="3"/>
    <n v="1"/>
    <n v="6"/>
    <x v="91"/>
    <d v="1899-12-30T00:31:42"/>
  </r>
  <r>
    <x v="8"/>
    <x v="0"/>
    <n v="32.82"/>
    <x v="3"/>
    <x v="1"/>
    <x v="3"/>
    <x v="3"/>
    <n v="1"/>
    <n v="6"/>
    <x v="91"/>
    <d v="1899-12-30T00:33:01"/>
  </r>
  <r>
    <x v="8"/>
    <x v="0"/>
    <n v="37.72"/>
    <x v="0"/>
    <x v="1"/>
    <x v="3"/>
    <x v="3"/>
    <n v="1"/>
    <n v="6"/>
    <x v="91"/>
    <d v="1899-12-30T00:34:07"/>
  </r>
  <r>
    <x v="10"/>
    <x v="0"/>
    <n v="27.92"/>
    <x v="5"/>
    <x v="0"/>
    <x v="4"/>
    <x v="3"/>
    <n v="2"/>
    <n v="6"/>
    <x v="92"/>
    <d v="1899-12-30T00:23:43"/>
  </r>
  <r>
    <x v="0"/>
    <x v="0"/>
    <n v="32.82"/>
    <x v="3"/>
    <x v="0"/>
    <x v="4"/>
    <x v="3"/>
    <n v="2"/>
    <n v="6"/>
    <x v="92"/>
    <d v="1899-12-30T00:27:14"/>
  </r>
  <r>
    <x v="1"/>
    <x v="0"/>
    <n v="37.72"/>
    <x v="0"/>
    <x v="1"/>
    <x v="4"/>
    <x v="3"/>
    <n v="2"/>
    <n v="6"/>
    <x v="92"/>
    <d v="1899-12-30T00:02:10"/>
  </r>
  <r>
    <x v="1"/>
    <x v="0"/>
    <n v="37.72"/>
    <x v="1"/>
    <x v="1"/>
    <x v="4"/>
    <x v="3"/>
    <n v="2"/>
    <n v="6"/>
    <x v="92"/>
    <d v="1899-12-30T00:05:29"/>
  </r>
  <r>
    <x v="3"/>
    <x v="0"/>
    <n v="37.72"/>
    <x v="0"/>
    <x v="1"/>
    <x v="4"/>
    <x v="3"/>
    <n v="2"/>
    <n v="6"/>
    <x v="92"/>
    <d v="1899-12-30T00:30:33"/>
  </r>
  <r>
    <x v="9"/>
    <x v="0"/>
    <n v="27.92"/>
    <x v="5"/>
    <x v="2"/>
    <x v="4"/>
    <x v="3"/>
    <n v="2"/>
    <n v="6"/>
    <x v="92"/>
    <d v="1899-12-30T00:46:37"/>
  </r>
  <r>
    <x v="9"/>
    <x v="0"/>
    <n v="37.72"/>
    <x v="7"/>
    <x v="2"/>
    <x v="4"/>
    <x v="3"/>
    <n v="2"/>
    <n v="6"/>
    <x v="92"/>
    <d v="1899-12-30T00:47:29"/>
  </r>
  <r>
    <x v="11"/>
    <x v="0"/>
    <n v="37.72"/>
    <x v="1"/>
    <x v="2"/>
    <x v="4"/>
    <x v="3"/>
    <n v="2"/>
    <n v="6"/>
    <x v="92"/>
    <d v="1899-12-30T00:13:01"/>
  </r>
  <r>
    <x v="11"/>
    <x v="0"/>
    <n v="37.72"/>
    <x v="7"/>
    <x v="2"/>
    <x v="4"/>
    <x v="3"/>
    <n v="2"/>
    <n v="6"/>
    <x v="92"/>
    <d v="1899-12-30T00:50:34"/>
  </r>
  <r>
    <x v="15"/>
    <x v="0"/>
    <n v="27.92"/>
    <x v="5"/>
    <x v="2"/>
    <x v="4"/>
    <x v="3"/>
    <n v="2"/>
    <n v="6"/>
    <x v="92"/>
    <d v="1899-12-30T00:31:59"/>
  </r>
  <r>
    <x v="15"/>
    <x v="0"/>
    <n v="32.82"/>
    <x v="3"/>
    <x v="2"/>
    <x v="4"/>
    <x v="3"/>
    <n v="2"/>
    <n v="6"/>
    <x v="92"/>
    <d v="1899-12-30T00:33:03"/>
  </r>
  <r>
    <x v="15"/>
    <x v="0"/>
    <n v="32.82"/>
    <x v="3"/>
    <x v="2"/>
    <x v="4"/>
    <x v="3"/>
    <n v="2"/>
    <n v="6"/>
    <x v="92"/>
    <d v="1899-12-30T00:34:56"/>
  </r>
  <r>
    <x v="15"/>
    <x v="0"/>
    <n v="32.82"/>
    <x v="3"/>
    <x v="2"/>
    <x v="4"/>
    <x v="3"/>
    <n v="2"/>
    <n v="6"/>
    <x v="92"/>
    <d v="1899-12-30T00:36:07"/>
  </r>
  <r>
    <x v="15"/>
    <x v="0"/>
    <n v="32.82"/>
    <x v="3"/>
    <x v="2"/>
    <x v="4"/>
    <x v="3"/>
    <n v="2"/>
    <n v="6"/>
    <x v="92"/>
    <d v="1899-12-30T00:37:15"/>
  </r>
  <r>
    <x v="12"/>
    <x v="0"/>
    <n v="37.72"/>
    <x v="7"/>
    <x v="0"/>
    <x v="5"/>
    <x v="3"/>
    <n v="3"/>
    <n v="6"/>
    <x v="93"/>
    <d v="1899-12-30T00:21:49"/>
  </r>
  <r>
    <x v="12"/>
    <x v="0"/>
    <n v="37.72"/>
    <x v="7"/>
    <x v="0"/>
    <x v="5"/>
    <x v="3"/>
    <n v="3"/>
    <n v="6"/>
    <x v="93"/>
    <d v="1899-12-30T00:23:07"/>
  </r>
  <r>
    <x v="10"/>
    <x v="0"/>
    <n v="27.92"/>
    <x v="2"/>
    <x v="0"/>
    <x v="5"/>
    <x v="3"/>
    <n v="3"/>
    <n v="6"/>
    <x v="93"/>
    <d v="1899-12-30T00:22:43"/>
  </r>
  <r>
    <x v="0"/>
    <x v="0"/>
    <n v="37.72"/>
    <x v="0"/>
    <x v="0"/>
    <x v="5"/>
    <x v="3"/>
    <n v="3"/>
    <n v="6"/>
    <x v="93"/>
    <d v="1899-12-30T00:28:51"/>
  </r>
  <r>
    <x v="0"/>
    <x v="0"/>
    <n v="32.82"/>
    <x v="3"/>
    <x v="0"/>
    <x v="5"/>
    <x v="3"/>
    <n v="3"/>
    <n v="6"/>
    <x v="93"/>
    <d v="1899-12-30T00:40:53"/>
  </r>
  <r>
    <x v="6"/>
    <x v="0"/>
    <n v="32.82"/>
    <x v="3"/>
    <x v="2"/>
    <x v="5"/>
    <x v="3"/>
    <n v="3"/>
    <n v="6"/>
    <x v="93"/>
    <d v="1899-12-30T00:43:58"/>
  </r>
  <r>
    <x v="6"/>
    <x v="0"/>
    <n v="37.72"/>
    <x v="0"/>
    <x v="2"/>
    <x v="5"/>
    <x v="3"/>
    <n v="3"/>
    <n v="6"/>
    <x v="93"/>
    <d v="1899-12-30T00:59:54"/>
  </r>
  <r>
    <x v="11"/>
    <x v="0"/>
    <n v="37.72"/>
    <x v="4"/>
    <x v="2"/>
    <x v="5"/>
    <x v="3"/>
    <n v="3"/>
    <n v="6"/>
    <x v="93"/>
    <d v="1899-12-30T00:10:48"/>
  </r>
  <r>
    <x v="11"/>
    <x v="0"/>
    <n v="27.92"/>
    <x v="5"/>
    <x v="2"/>
    <x v="5"/>
    <x v="3"/>
    <n v="3"/>
    <n v="6"/>
    <x v="93"/>
    <d v="1899-12-30T00:12:02"/>
  </r>
  <r>
    <x v="12"/>
    <x v="0"/>
    <n v="32.82"/>
    <x v="3"/>
    <x v="0"/>
    <x v="6"/>
    <x v="3"/>
    <n v="4"/>
    <n v="6"/>
    <x v="94"/>
    <d v="1899-12-30T00:52:56"/>
  </r>
  <r>
    <x v="12"/>
    <x v="0"/>
    <n v="32.82"/>
    <x v="3"/>
    <x v="0"/>
    <x v="6"/>
    <x v="3"/>
    <n v="4"/>
    <n v="6"/>
    <x v="94"/>
    <d v="1899-12-30T00:54:09"/>
  </r>
  <r>
    <x v="0"/>
    <x v="0"/>
    <n v="37.72"/>
    <x v="0"/>
    <x v="0"/>
    <x v="6"/>
    <x v="3"/>
    <n v="4"/>
    <n v="6"/>
    <x v="94"/>
    <d v="1899-12-30T00:36:10"/>
  </r>
  <r>
    <x v="1"/>
    <x v="0"/>
    <n v="27.92"/>
    <x v="2"/>
    <x v="1"/>
    <x v="6"/>
    <x v="3"/>
    <n v="4"/>
    <n v="6"/>
    <x v="94"/>
    <d v="1899-12-30T00:17:42"/>
  </r>
  <r>
    <x v="3"/>
    <x v="0"/>
    <n v="32.82"/>
    <x v="3"/>
    <x v="1"/>
    <x v="6"/>
    <x v="3"/>
    <n v="4"/>
    <n v="6"/>
    <x v="94"/>
    <d v="1899-12-30T00:11:14"/>
  </r>
  <r>
    <x v="3"/>
    <x v="0"/>
    <n v="37.72"/>
    <x v="7"/>
    <x v="1"/>
    <x v="6"/>
    <x v="3"/>
    <n v="4"/>
    <n v="6"/>
    <x v="94"/>
    <d v="1899-12-30T00:24:06"/>
  </r>
  <r>
    <x v="15"/>
    <x v="0"/>
    <n v="37.72"/>
    <x v="0"/>
    <x v="2"/>
    <x v="6"/>
    <x v="3"/>
    <n v="4"/>
    <n v="6"/>
    <x v="94"/>
    <d v="1899-12-30T00:14:05"/>
  </r>
  <r>
    <x v="15"/>
    <x v="0"/>
    <n v="37.72"/>
    <x v="0"/>
    <x v="2"/>
    <x v="6"/>
    <x v="3"/>
    <n v="4"/>
    <n v="6"/>
    <x v="94"/>
    <d v="1899-12-30T00:15:42"/>
  </r>
  <r>
    <x v="15"/>
    <x v="0"/>
    <n v="37.72"/>
    <x v="7"/>
    <x v="2"/>
    <x v="6"/>
    <x v="3"/>
    <n v="4"/>
    <n v="6"/>
    <x v="94"/>
    <d v="1899-12-30T00:18:27"/>
  </r>
  <r>
    <x v="15"/>
    <x v="0"/>
    <n v="32.82"/>
    <x v="3"/>
    <x v="2"/>
    <x v="6"/>
    <x v="3"/>
    <n v="4"/>
    <n v="6"/>
    <x v="94"/>
    <d v="1899-12-30T00:19:30"/>
  </r>
  <r>
    <x v="15"/>
    <x v="0"/>
    <n v="37.72"/>
    <x v="0"/>
    <x v="2"/>
    <x v="6"/>
    <x v="3"/>
    <n v="4"/>
    <n v="6"/>
    <x v="94"/>
    <d v="1899-12-30T00:21:04"/>
  </r>
  <r>
    <x v="12"/>
    <x v="0"/>
    <n v="37.72"/>
    <x v="7"/>
    <x v="0"/>
    <x v="0"/>
    <x v="3"/>
    <n v="5"/>
    <n v="6"/>
    <x v="95"/>
    <d v="1899-12-30T00:18:04"/>
  </r>
  <r>
    <x v="0"/>
    <x v="0"/>
    <n v="23.02"/>
    <x v="6"/>
    <x v="0"/>
    <x v="0"/>
    <x v="3"/>
    <n v="5"/>
    <n v="6"/>
    <x v="95"/>
    <d v="1899-12-30T00:35:28"/>
  </r>
  <r>
    <x v="2"/>
    <x v="0"/>
    <n v="32.82"/>
    <x v="3"/>
    <x v="1"/>
    <x v="0"/>
    <x v="3"/>
    <n v="5"/>
    <n v="6"/>
    <x v="95"/>
    <d v="1899-12-30T00:34:18"/>
  </r>
  <r>
    <x v="4"/>
    <x v="0"/>
    <n v="27.92"/>
    <x v="5"/>
    <x v="1"/>
    <x v="0"/>
    <x v="3"/>
    <n v="5"/>
    <n v="6"/>
    <x v="95"/>
    <d v="1899-12-30T00:45:42"/>
  </r>
  <r>
    <x v="4"/>
    <x v="0"/>
    <n v="27.92"/>
    <x v="5"/>
    <x v="1"/>
    <x v="0"/>
    <x v="3"/>
    <n v="5"/>
    <n v="6"/>
    <x v="95"/>
    <d v="1899-12-30T00:47:16"/>
  </r>
  <r>
    <x v="10"/>
    <x v="0"/>
    <n v="27.92"/>
    <x v="5"/>
    <x v="0"/>
    <x v="1"/>
    <x v="3"/>
    <n v="6"/>
    <n v="6"/>
    <x v="96"/>
    <d v="1899-12-30T00:04:20"/>
  </r>
  <r>
    <x v="10"/>
    <x v="0"/>
    <n v="32.82"/>
    <x v="3"/>
    <x v="0"/>
    <x v="1"/>
    <x v="3"/>
    <n v="6"/>
    <n v="6"/>
    <x v="96"/>
    <d v="1899-12-30T00:26:11"/>
  </r>
  <r>
    <x v="11"/>
    <x v="0"/>
    <n v="37.72"/>
    <x v="7"/>
    <x v="2"/>
    <x v="1"/>
    <x v="3"/>
    <n v="6"/>
    <n v="6"/>
    <x v="96"/>
    <d v="1899-12-30T00:24:54"/>
  </r>
  <r>
    <x v="11"/>
    <x v="0"/>
    <n v="37.72"/>
    <x v="7"/>
    <x v="2"/>
    <x v="1"/>
    <x v="3"/>
    <n v="6"/>
    <n v="6"/>
    <x v="96"/>
    <d v="1899-12-30T00:25:56"/>
  </r>
  <r>
    <x v="12"/>
    <x v="0"/>
    <n v="37.72"/>
    <x v="0"/>
    <x v="0"/>
    <x v="2"/>
    <x v="3"/>
    <n v="7"/>
    <n v="6"/>
    <x v="97"/>
    <d v="1899-12-30T00:15:53"/>
  </r>
  <r>
    <x v="0"/>
    <x v="0"/>
    <n v="37.72"/>
    <x v="0"/>
    <x v="0"/>
    <x v="2"/>
    <x v="3"/>
    <n v="7"/>
    <n v="6"/>
    <x v="97"/>
    <d v="1899-12-30T00:30:05"/>
  </r>
  <r>
    <x v="0"/>
    <x v="0"/>
    <n v="37.72"/>
    <x v="7"/>
    <x v="0"/>
    <x v="2"/>
    <x v="3"/>
    <n v="7"/>
    <n v="6"/>
    <x v="97"/>
    <d v="1899-12-30T00:52:06"/>
  </r>
  <r>
    <x v="7"/>
    <x v="0"/>
    <n v="27.92"/>
    <x v="5"/>
    <x v="0"/>
    <x v="2"/>
    <x v="3"/>
    <n v="7"/>
    <n v="6"/>
    <x v="97"/>
    <d v="1899-12-30T00:04:41"/>
  </r>
  <r>
    <x v="7"/>
    <x v="0"/>
    <n v="23.02"/>
    <x v="6"/>
    <x v="0"/>
    <x v="2"/>
    <x v="3"/>
    <n v="7"/>
    <n v="6"/>
    <x v="97"/>
    <d v="1899-12-30T00:07:08"/>
  </r>
  <r>
    <x v="7"/>
    <x v="0"/>
    <n v="37.72"/>
    <x v="7"/>
    <x v="0"/>
    <x v="2"/>
    <x v="3"/>
    <n v="7"/>
    <n v="6"/>
    <x v="97"/>
    <d v="1899-12-30T00:52:50"/>
  </r>
  <r>
    <x v="1"/>
    <x v="0"/>
    <n v="32.82"/>
    <x v="3"/>
    <x v="1"/>
    <x v="2"/>
    <x v="3"/>
    <n v="7"/>
    <n v="6"/>
    <x v="97"/>
    <d v="1899-12-30T00:11:24"/>
  </r>
  <r>
    <x v="1"/>
    <x v="0"/>
    <n v="37.72"/>
    <x v="0"/>
    <x v="1"/>
    <x v="2"/>
    <x v="3"/>
    <n v="7"/>
    <n v="6"/>
    <x v="97"/>
    <d v="1899-12-30T00:13:08"/>
  </r>
  <r>
    <x v="1"/>
    <x v="0"/>
    <n v="37.72"/>
    <x v="0"/>
    <x v="1"/>
    <x v="2"/>
    <x v="3"/>
    <n v="7"/>
    <n v="6"/>
    <x v="97"/>
    <d v="1899-12-30T00:14:11"/>
  </r>
  <r>
    <x v="3"/>
    <x v="0"/>
    <n v="27.92"/>
    <x v="5"/>
    <x v="1"/>
    <x v="2"/>
    <x v="3"/>
    <n v="7"/>
    <n v="6"/>
    <x v="97"/>
    <d v="1899-12-30T00:10:31"/>
  </r>
  <r>
    <x v="4"/>
    <x v="0"/>
    <n v="37.72"/>
    <x v="7"/>
    <x v="1"/>
    <x v="2"/>
    <x v="3"/>
    <n v="7"/>
    <n v="6"/>
    <x v="97"/>
    <d v="1899-12-30T00:17:28"/>
  </r>
  <r>
    <x v="6"/>
    <x v="0"/>
    <n v="32.82"/>
    <x v="3"/>
    <x v="2"/>
    <x v="2"/>
    <x v="3"/>
    <n v="7"/>
    <n v="6"/>
    <x v="97"/>
    <d v="1899-12-30T00:21:19"/>
  </r>
  <r>
    <x v="15"/>
    <x v="0"/>
    <n v="27.92"/>
    <x v="2"/>
    <x v="2"/>
    <x v="2"/>
    <x v="3"/>
    <n v="7"/>
    <n v="6"/>
    <x v="97"/>
    <d v="1899-12-30T00:05:09"/>
  </r>
  <r>
    <x v="1"/>
    <x v="0"/>
    <n v="37.72"/>
    <x v="7"/>
    <x v="1"/>
    <x v="3"/>
    <x v="3"/>
    <n v="1"/>
    <n v="6"/>
    <x v="98"/>
    <d v="1899-12-30T00:47:50"/>
  </r>
  <r>
    <x v="1"/>
    <x v="0"/>
    <n v="37.72"/>
    <x v="0"/>
    <x v="1"/>
    <x v="3"/>
    <x v="3"/>
    <n v="1"/>
    <n v="6"/>
    <x v="98"/>
    <d v="1899-12-30T00:56:48"/>
  </r>
  <r>
    <x v="6"/>
    <x v="0"/>
    <n v="37.72"/>
    <x v="1"/>
    <x v="2"/>
    <x v="3"/>
    <x v="3"/>
    <n v="1"/>
    <n v="6"/>
    <x v="98"/>
    <d v="1899-12-30T00:04:28"/>
  </r>
  <r>
    <x v="6"/>
    <x v="0"/>
    <n v="37.72"/>
    <x v="1"/>
    <x v="2"/>
    <x v="3"/>
    <x v="3"/>
    <n v="1"/>
    <n v="6"/>
    <x v="98"/>
    <d v="1899-12-30T00:05:23"/>
  </r>
  <r>
    <x v="6"/>
    <x v="0"/>
    <n v="37.72"/>
    <x v="0"/>
    <x v="2"/>
    <x v="3"/>
    <x v="3"/>
    <n v="1"/>
    <n v="6"/>
    <x v="98"/>
    <d v="1899-12-30T00:37:24"/>
  </r>
  <r>
    <x v="6"/>
    <x v="0"/>
    <n v="37.72"/>
    <x v="0"/>
    <x v="2"/>
    <x v="3"/>
    <x v="3"/>
    <n v="1"/>
    <n v="6"/>
    <x v="98"/>
    <d v="1899-12-30T00:38:20"/>
  </r>
  <r>
    <x v="0"/>
    <x v="0"/>
    <n v="32.82"/>
    <x v="3"/>
    <x v="0"/>
    <x v="4"/>
    <x v="3"/>
    <n v="2"/>
    <n v="6"/>
    <x v="99"/>
    <d v="1899-12-30T00:38:04"/>
  </r>
  <r>
    <x v="5"/>
    <x v="0"/>
    <n v="37.72"/>
    <x v="0"/>
    <x v="2"/>
    <x v="4"/>
    <x v="3"/>
    <n v="2"/>
    <n v="6"/>
    <x v="99"/>
    <d v="1899-12-30T00:48:25"/>
  </r>
  <r>
    <x v="5"/>
    <x v="0"/>
    <n v="37.72"/>
    <x v="0"/>
    <x v="2"/>
    <x v="4"/>
    <x v="3"/>
    <n v="2"/>
    <n v="6"/>
    <x v="99"/>
    <d v="1899-12-30T00:49:36"/>
  </r>
  <r>
    <x v="15"/>
    <x v="0"/>
    <n v="37.72"/>
    <x v="1"/>
    <x v="2"/>
    <x v="4"/>
    <x v="3"/>
    <n v="2"/>
    <n v="6"/>
    <x v="99"/>
    <d v="1899-12-30T00:17:03"/>
  </r>
  <r>
    <x v="15"/>
    <x v="0"/>
    <n v="32.82"/>
    <x v="3"/>
    <x v="2"/>
    <x v="4"/>
    <x v="3"/>
    <n v="2"/>
    <n v="6"/>
    <x v="99"/>
    <d v="1899-12-30T00:27:42"/>
  </r>
  <r>
    <x v="15"/>
    <x v="0"/>
    <n v="32.82"/>
    <x v="3"/>
    <x v="2"/>
    <x v="4"/>
    <x v="3"/>
    <n v="2"/>
    <n v="6"/>
    <x v="99"/>
    <d v="1899-12-30T00:28:50"/>
  </r>
  <r>
    <x v="0"/>
    <x v="0"/>
    <n v="37.72"/>
    <x v="1"/>
    <x v="0"/>
    <x v="5"/>
    <x v="3"/>
    <n v="3"/>
    <n v="6"/>
    <x v="100"/>
    <d v="1899-12-30T00:18:19"/>
  </r>
  <r>
    <x v="7"/>
    <x v="0"/>
    <n v="37.72"/>
    <x v="7"/>
    <x v="0"/>
    <x v="5"/>
    <x v="3"/>
    <n v="3"/>
    <n v="6"/>
    <x v="100"/>
    <d v="1899-12-30T00:51:44"/>
  </r>
  <r>
    <x v="9"/>
    <x v="0"/>
    <n v="37.72"/>
    <x v="0"/>
    <x v="2"/>
    <x v="5"/>
    <x v="3"/>
    <n v="3"/>
    <n v="6"/>
    <x v="100"/>
    <d v="1899-12-30T00:41:17"/>
  </r>
  <r>
    <x v="9"/>
    <x v="0"/>
    <n v="37.72"/>
    <x v="0"/>
    <x v="2"/>
    <x v="5"/>
    <x v="3"/>
    <n v="3"/>
    <n v="6"/>
    <x v="100"/>
    <d v="1899-12-30T00:47:28"/>
  </r>
  <r>
    <x v="11"/>
    <x v="0"/>
    <n v="37.72"/>
    <x v="1"/>
    <x v="2"/>
    <x v="5"/>
    <x v="3"/>
    <n v="3"/>
    <n v="6"/>
    <x v="100"/>
    <d v="1899-12-30T00:16:34"/>
  </r>
  <r>
    <x v="11"/>
    <x v="0"/>
    <n v="32.82"/>
    <x v="3"/>
    <x v="2"/>
    <x v="5"/>
    <x v="3"/>
    <n v="3"/>
    <n v="6"/>
    <x v="100"/>
    <d v="1899-12-30T00:25:34"/>
  </r>
  <r>
    <x v="12"/>
    <x v="0"/>
    <n v="27.92"/>
    <x v="2"/>
    <x v="0"/>
    <x v="6"/>
    <x v="3"/>
    <n v="4"/>
    <n v="6"/>
    <x v="101"/>
    <d v="1899-12-30T00:54:24"/>
  </r>
  <r>
    <x v="12"/>
    <x v="0"/>
    <n v="37.72"/>
    <x v="0"/>
    <x v="0"/>
    <x v="6"/>
    <x v="3"/>
    <n v="4"/>
    <n v="6"/>
    <x v="101"/>
    <d v="1899-12-30T00:57:26"/>
  </r>
  <r>
    <x v="10"/>
    <x v="0"/>
    <n v="32.82"/>
    <x v="3"/>
    <x v="0"/>
    <x v="6"/>
    <x v="3"/>
    <n v="4"/>
    <n v="6"/>
    <x v="101"/>
    <d v="1899-12-30T00:50:25"/>
  </r>
  <r>
    <x v="10"/>
    <x v="0"/>
    <n v="27.92"/>
    <x v="5"/>
    <x v="0"/>
    <x v="6"/>
    <x v="3"/>
    <n v="4"/>
    <n v="6"/>
    <x v="101"/>
    <d v="1899-12-30T00:57:12"/>
  </r>
  <r>
    <x v="9"/>
    <x v="0"/>
    <n v="32.82"/>
    <x v="3"/>
    <x v="2"/>
    <x v="6"/>
    <x v="3"/>
    <n v="4"/>
    <n v="6"/>
    <x v="101"/>
    <d v="1899-12-30T00:04:59"/>
  </r>
  <r>
    <x v="9"/>
    <x v="0"/>
    <n v="37.72"/>
    <x v="1"/>
    <x v="2"/>
    <x v="6"/>
    <x v="3"/>
    <n v="4"/>
    <n v="6"/>
    <x v="101"/>
    <d v="1899-12-30T00:27:47"/>
  </r>
  <r>
    <x v="6"/>
    <x v="0"/>
    <n v="37.72"/>
    <x v="0"/>
    <x v="2"/>
    <x v="6"/>
    <x v="3"/>
    <n v="4"/>
    <n v="6"/>
    <x v="101"/>
    <d v="1899-12-30T00:22:19"/>
  </r>
  <r>
    <x v="11"/>
    <x v="0"/>
    <n v="32.82"/>
    <x v="3"/>
    <x v="2"/>
    <x v="6"/>
    <x v="3"/>
    <n v="4"/>
    <n v="6"/>
    <x v="101"/>
    <d v="1899-12-30T00:20:52"/>
  </r>
  <r>
    <x v="11"/>
    <x v="0"/>
    <n v="23.02"/>
    <x v="6"/>
    <x v="2"/>
    <x v="6"/>
    <x v="3"/>
    <n v="4"/>
    <n v="6"/>
    <x v="101"/>
    <d v="1899-12-30T00:43:46"/>
  </r>
  <r>
    <x v="11"/>
    <x v="0"/>
    <n v="23.02"/>
    <x v="6"/>
    <x v="2"/>
    <x v="6"/>
    <x v="3"/>
    <n v="4"/>
    <n v="6"/>
    <x v="101"/>
    <d v="1899-12-30T00:45:01"/>
  </r>
  <r>
    <x v="11"/>
    <x v="0"/>
    <n v="32.82"/>
    <x v="3"/>
    <x v="2"/>
    <x v="6"/>
    <x v="3"/>
    <n v="4"/>
    <n v="6"/>
    <x v="101"/>
    <d v="1899-12-30T00:48:18"/>
  </r>
  <r>
    <x v="15"/>
    <x v="0"/>
    <n v="32.82"/>
    <x v="3"/>
    <x v="2"/>
    <x v="6"/>
    <x v="3"/>
    <n v="4"/>
    <n v="6"/>
    <x v="101"/>
    <d v="1899-12-30T00:02:28"/>
  </r>
  <r>
    <x v="14"/>
    <x v="0"/>
    <n v="27.92"/>
    <x v="5"/>
    <x v="0"/>
    <x v="0"/>
    <x v="3"/>
    <n v="5"/>
    <n v="6"/>
    <x v="102"/>
    <d v="1899-12-30T00:46:13"/>
  </r>
  <r>
    <x v="0"/>
    <x v="0"/>
    <n v="27.92"/>
    <x v="2"/>
    <x v="0"/>
    <x v="0"/>
    <x v="3"/>
    <n v="5"/>
    <n v="6"/>
    <x v="102"/>
    <d v="1899-12-30T00:30:32"/>
  </r>
  <r>
    <x v="1"/>
    <x v="0"/>
    <n v="37.72"/>
    <x v="0"/>
    <x v="1"/>
    <x v="0"/>
    <x v="3"/>
    <n v="5"/>
    <n v="6"/>
    <x v="102"/>
    <d v="1899-12-30T00:14:42"/>
  </r>
  <r>
    <x v="5"/>
    <x v="0"/>
    <n v="32.82"/>
    <x v="3"/>
    <x v="2"/>
    <x v="0"/>
    <x v="3"/>
    <n v="5"/>
    <n v="6"/>
    <x v="102"/>
    <d v="1899-12-30T00:29:53"/>
  </r>
  <r>
    <x v="7"/>
    <x v="0"/>
    <n v="37.72"/>
    <x v="7"/>
    <x v="0"/>
    <x v="1"/>
    <x v="3"/>
    <n v="6"/>
    <n v="6"/>
    <x v="103"/>
    <d v="1899-12-30T00:26:02"/>
  </r>
  <r>
    <x v="1"/>
    <x v="0"/>
    <n v="37.72"/>
    <x v="0"/>
    <x v="1"/>
    <x v="1"/>
    <x v="3"/>
    <n v="6"/>
    <n v="6"/>
    <x v="103"/>
    <d v="1899-12-30T00:21:28"/>
  </r>
  <r>
    <x v="1"/>
    <x v="0"/>
    <n v="32.82"/>
    <x v="3"/>
    <x v="1"/>
    <x v="1"/>
    <x v="3"/>
    <n v="6"/>
    <n v="6"/>
    <x v="103"/>
    <d v="1899-12-30T00:22:47"/>
  </r>
  <r>
    <x v="1"/>
    <x v="0"/>
    <n v="23.02"/>
    <x v="6"/>
    <x v="1"/>
    <x v="1"/>
    <x v="3"/>
    <n v="6"/>
    <n v="6"/>
    <x v="103"/>
    <d v="1899-12-30T00:23:52"/>
  </r>
  <r>
    <x v="1"/>
    <x v="0"/>
    <n v="37.72"/>
    <x v="4"/>
    <x v="1"/>
    <x v="1"/>
    <x v="3"/>
    <n v="6"/>
    <n v="6"/>
    <x v="103"/>
    <d v="1899-12-30T00:24:35"/>
  </r>
  <r>
    <x v="1"/>
    <x v="0"/>
    <n v="32.82"/>
    <x v="3"/>
    <x v="1"/>
    <x v="1"/>
    <x v="3"/>
    <n v="6"/>
    <n v="6"/>
    <x v="103"/>
    <d v="1899-12-30T00:25:24"/>
  </r>
  <r>
    <x v="4"/>
    <x v="0"/>
    <n v="32.82"/>
    <x v="3"/>
    <x v="1"/>
    <x v="1"/>
    <x v="3"/>
    <n v="6"/>
    <n v="6"/>
    <x v="103"/>
    <d v="1899-12-30T00:03:30"/>
  </r>
  <r>
    <x v="5"/>
    <x v="0"/>
    <n v="27.92"/>
    <x v="2"/>
    <x v="2"/>
    <x v="1"/>
    <x v="3"/>
    <n v="6"/>
    <n v="6"/>
    <x v="103"/>
    <d v="1899-12-30T00:14:05"/>
  </r>
  <r>
    <x v="0"/>
    <x v="0"/>
    <n v="32.82"/>
    <x v="3"/>
    <x v="0"/>
    <x v="2"/>
    <x v="3"/>
    <n v="7"/>
    <n v="6"/>
    <x v="104"/>
    <d v="1899-12-30T00:43:52"/>
  </r>
  <r>
    <x v="0"/>
    <x v="0"/>
    <n v="37.72"/>
    <x v="0"/>
    <x v="0"/>
    <x v="2"/>
    <x v="3"/>
    <n v="7"/>
    <n v="6"/>
    <x v="104"/>
    <d v="1899-12-30T00:58:41"/>
  </r>
  <r>
    <x v="7"/>
    <x v="0"/>
    <n v="37.72"/>
    <x v="1"/>
    <x v="0"/>
    <x v="2"/>
    <x v="3"/>
    <n v="7"/>
    <n v="6"/>
    <x v="104"/>
    <d v="1899-12-30T00:00:38"/>
  </r>
  <r>
    <x v="7"/>
    <x v="0"/>
    <n v="37.72"/>
    <x v="1"/>
    <x v="0"/>
    <x v="2"/>
    <x v="3"/>
    <n v="7"/>
    <n v="6"/>
    <x v="104"/>
    <d v="1899-12-30T00:01:42"/>
  </r>
  <r>
    <x v="1"/>
    <x v="0"/>
    <n v="32.82"/>
    <x v="3"/>
    <x v="1"/>
    <x v="2"/>
    <x v="3"/>
    <n v="7"/>
    <n v="6"/>
    <x v="104"/>
    <d v="1899-12-30T00:49:28"/>
  </r>
  <r>
    <x v="8"/>
    <x v="0"/>
    <n v="23.02"/>
    <x v="6"/>
    <x v="1"/>
    <x v="2"/>
    <x v="3"/>
    <n v="7"/>
    <n v="6"/>
    <x v="104"/>
    <d v="1899-12-30T00:00:39"/>
  </r>
  <r>
    <x v="3"/>
    <x v="0"/>
    <n v="32.82"/>
    <x v="3"/>
    <x v="1"/>
    <x v="2"/>
    <x v="3"/>
    <n v="7"/>
    <n v="6"/>
    <x v="104"/>
    <d v="1899-12-30T00:02:36"/>
  </r>
  <r>
    <x v="3"/>
    <x v="0"/>
    <n v="32.82"/>
    <x v="3"/>
    <x v="1"/>
    <x v="2"/>
    <x v="3"/>
    <n v="7"/>
    <n v="6"/>
    <x v="104"/>
    <d v="1899-12-30T00:05:10"/>
  </r>
  <r>
    <x v="3"/>
    <x v="0"/>
    <n v="37.72"/>
    <x v="1"/>
    <x v="1"/>
    <x v="2"/>
    <x v="3"/>
    <n v="7"/>
    <n v="6"/>
    <x v="104"/>
    <d v="1899-12-30T00:44:00"/>
  </r>
  <r>
    <x v="4"/>
    <x v="0"/>
    <n v="37.72"/>
    <x v="1"/>
    <x v="1"/>
    <x v="2"/>
    <x v="3"/>
    <n v="7"/>
    <n v="6"/>
    <x v="104"/>
    <d v="1899-12-30T00:47:37"/>
  </r>
  <r>
    <x v="9"/>
    <x v="0"/>
    <n v="32.82"/>
    <x v="3"/>
    <x v="2"/>
    <x v="2"/>
    <x v="3"/>
    <n v="7"/>
    <n v="6"/>
    <x v="104"/>
    <d v="1899-12-30T00:45:17"/>
  </r>
  <r>
    <x v="9"/>
    <x v="0"/>
    <n v="32.82"/>
    <x v="3"/>
    <x v="2"/>
    <x v="2"/>
    <x v="3"/>
    <n v="7"/>
    <n v="6"/>
    <x v="104"/>
    <d v="1899-12-30T00:46:17"/>
  </r>
  <r>
    <x v="12"/>
    <x v="0"/>
    <n v="27.92"/>
    <x v="2"/>
    <x v="0"/>
    <x v="3"/>
    <x v="3"/>
    <n v="1"/>
    <n v="6"/>
    <x v="105"/>
    <d v="1899-12-30T00:57:24"/>
  </r>
  <r>
    <x v="0"/>
    <x v="0"/>
    <n v="27.92"/>
    <x v="5"/>
    <x v="0"/>
    <x v="3"/>
    <x v="3"/>
    <n v="1"/>
    <n v="6"/>
    <x v="105"/>
    <d v="1899-12-30T00:12:05"/>
  </r>
  <r>
    <x v="0"/>
    <x v="0"/>
    <n v="27.92"/>
    <x v="5"/>
    <x v="0"/>
    <x v="3"/>
    <x v="3"/>
    <n v="1"/>
    <n v="6"/>
    <x v="105"/>
    <d v="1899-12-30T00:13:38"/>
  </r>
  <r>
    <x v="0"/>
    <x v="0"/>
    <n v="37.72"/>
    <x v="7"/>
    <x v="0"/>
    <x v="3"/>
    <x v="3"/>
    <n v="1"/>
    <n v="6"/>
    <x v="105"/>
    <d v="1899-12-30T00:55:52"/>
  </r>
  <r>
    <x v="8"/>
    <x v="0"/>
    <n v="37.72"/>
    <x v="7"/>
    <x v="1"/>
    <x v="3"/>
    <x v="3"/>
    <n v="1"/>
    <n v="6"/>
    <x v="105"/>
    <d v="1899-12-30T00:51:35"/>
  </r>
  <r>
    <x v="4"/>
    <x v="0"/>
    <n v="37.72"/>
    <x v="7"/>
    <x v="1"/>
    <x v="3"/>
    <x v="3"/>
    <n v="1"/>
    <n v="6"/>
    <x v="105"/>
    <d v="1899-12-30T00:50:13"/>
  </r>
  <r>
    <x v="4"/>
    <x v="0"/>
    <n v="37.72"/>
    <x v="7"/>
    <x v="1"/>
    <x v="3"/>
    <x v="3"/>
    <n v="1"/>
    <n v="6"/>
    <x v="105"/>
    <d v="1899-12-30T00:51:11"/>
  </r>
  <r>
    <x v="4"/>
    <x v="0"/>
    <n v="27.92"/>
    <x v="2"/>
    <x v="1"/>
    <x v="3"/>
    <x v="3"/>
    <n v="1"/>
    <n v="6"/>
    <x v="105"/>
    <d v="1899-12-30T00:52:36"/>
  </r>
  <r>
    <x v="5"/>
    <x v="0"/>
    <n v="27.92"/>
    <x v="2"/>
    <x v="2"/>
    <x v="3"/>
    <x v="3"/>
    <n v="1"/>
    <n v="6"/>
    <x v="105"/>
    <d v="1899-12-30T00:51:20"/>
  </r>
  <r>
    <x v="15"/>
    <x v="0"/>
    <n v="32.82"/>
    <x v="3"/>
    <x v="2"/>
    <x v="3"/>
    <x v="3"/>
    <n v="1"/>
    <n v="6"/>
    <x v="105"/>
    <d v="1899-12-30T00:16:12"/>
  </r>
  <r>
    <x v="8"/>
    <x v="0"/>
    <n v="27.92"/>
    <x v="2"/>
    <x v="1"/>
    <x v="4"/>
    <x v="3"/>
    <n v="2"/>
    <n v="6"/>
    <x v="106"/>
    <d v="1899-12-30T00:04:06"/>
  </r>
  <r>
    <x v="8"/>
    <x v="0"/>
    <n v="37.72"/>
    <x v="7"/>
    <x v="1"/>
    <x v="4"/>
    <x v="3"/>
    <n v="2"/>
    <n v="6"/>
    <x v="106"/>
    <d v="1899-12-30T00:05:12"/>
  </r>
  <r>
    <x v="6"/>
    <x v="0"/>
    <n v="37.72"/>
    <x v="7"/>
    <x v="2"/>
    <x v="4"/>
    <x v="3"/>
    <n v="2"/>
    <n v="6"/>
    <x v="106"/>
    <d v="1899-12-30T00:20:41"/>
  </r>
  <r>
    <x v="6"/>
    <x v="0"/>
    <n v="37.72"/>
    <x v="7"/>
    <x v="2"/>
    <x v="4"/>
    <x v="3"/>
    <n v="2"/>
    <n v="6"/>
    <x v="106"/>
    <d v="1899-12-30T00:21:39"/>
  </r>
  <r>
    <x v="11"/>
    <x v="0"/>
    <n v="27.92"/>
    <x v="5"/>
    <x v="2"/>
    <x v="4"/>
    <x v="3"/>
    <n v="2"/>
    <n v="6"/>
    <x v="106"/>
    <d v="1899-12-30T00:35:50"/>
  </r>
  <r>
    <x v="15"/>
    <x v="0"/>
    <n v="32.82"/>
    <x v="3"/>
    <x v="2"/>
    <x v="4"/>
    <x v="3"/>
    <n v="2"/>
    <n v="6"/>
    <x v="106"/>
    <d v="1899-12-30T00:20:50"/>
  </r>
  <r>
    <x v="15"/>
    <x v="0"/>
    <n v="32.82"/>
    <x v="3"/>
    <x v="2"/>
    <x v="4"/>
    <x v="3"/>
    <n v="2"/>
    <n v="6"/>
    <x v="106"/>
    <d v="1899-12-30T00:22:19"/>
  </r>
  <r>
    <x v="14"/>
    <x v="0"/>
    <n v="37.72"/>
    <x v="0"/>
    <x v="0"/>
    <x v="5"/>
    <x v="3"/>
    <n v="3"/>
    <n v="6"/>
    <x v="107"/>
    <d v="1899-12-30T00:47:20"/>
  </r>
  <r>
    <x v="12"/>
    <x v="0"/>
    <n v="27.92"/>
    <x v="5"/>
    <x v="0"/>
    <x v="5"/>
    <x v="3"/>
    <n v="3"/>
    <n v="6"/>
    <x v="107"/>
    <d v="1899-12-30T00:17:55"/>
  </r>
  <r>
    <x v="0"/>
    <x v="0"/>
    <n v="27.92"/>
    <x v="2"/>
    <x v="0"/>
    <x v="5"/>
    <x v="3"/>
    <n v="3"/>
    <n v="6"/>
    <x v="107"/>
    <d v="1899-12-30T00:54:01"/>
  </r>
  <r>
    <x v="7"/>
    <x v="0"/>
    <n v="37.72"/>
    <x v="0"/>
    <x v="0"/>
    <x v="5"/>
    <x v="3"/>
    <n v="3"/>
    <n v="6"/>
    <x v="107"/>
    <d v="1899-12-30T00:11:28"/>
  </r>
  <r>
    <x v="7"/>
    <x v="0"/>
    <n v="37.72"/>
    <x v="4"/>
    <x v="0"/>
    <x v="5"/>
    <x v="3"/>
    <n v="3"/>
    <n v="6"/>
    <x v="107"/>
    <d v="1899-12-30T00:12:31"/>
  </r>
  <r>
    <x v="8"/>
    <x v="0"/>
    <n v="32.82"/>
    <x v="3"/>
    <x v="1"/>
    <x v="5"/>
    <x v="3"/>
    <n v="3"/>
    <n v="6"/>
    <x v="107"/>
    <d v="1899-12-30T00:21:36"/>
  </r>
  <r>
    <x v="5"/>
    <x v="0"/>
    <n v="37.72"/>
    <x v="7"/>
    <x v="2"/>
    <x v="5"/>
    <x v="3"/>
    <n v="3"/>
    <n v="6"/>
    <x v="107"/>
    <d v="1899-12-30T00:28:43"/>
  </r>
  <r>
    <x v="5"/>
    <x v="0"/>
    <n v="37.72"/>
    <x v="0"/>
    <x v="2"/>
    <x v="5"/>
    <x v="3"/>
    <n v="3"/>
    <n v="6"/>
    <x v="107"/>
    <d v="1899-12-30T00:29:59"/>
  </r>
  <r>
    <x v="6"/>
    <x v="0"/>
    <n v="32.82"/>
    <x v="3"/>
    <x v="2"/>
    <x v="5"/>
    <x v="3"/>
    <n v="3"/>
    <n v="6"/>
    <x v="107"/>
    <d v="1899-12-30T00:31:31"/>
  </r>
  <r>
    <x v="15"/>
    <x v="0"/>
    <n v="37.72"/>
    <x v="7"/>
    <x v="2"/>
    <x v="5"/>
    <x v="3"/>
    <n v="3"/>
    <n v="6"/>
    <x v="107"/>
    <d v="1899-12-30T00:29:00"/>
  </r>
  <r>
    <x v="15"/>
    <x v="0"/>
    <n v="32.82"/>
    <x v="3"/>
    <x v="2"/>
    <x v="5"/>
    <x v="3"/>
    <n v="3"/>
    <n v="6"/>
    <x v="107"/>
    <d v="1899-12-30T00:30:04"/>
  </r>
  <r>
    <x v="0"/>
    <x v="0"/>
    <n v="37.72"/>
    <x v="0"/>
    <x v="0"/>
    <x v="6"/>
    <x v="3"/>
    <n v="4"/>
    <n v="6"/>
    <x v="108"/>
    <d v="1899-12-30T00:50:07"/>
  </r>
  <r>
    <x v="5"/>
    <x v="0"/>
    <n v="37.72"/>
    <x v="0"/>
    <x v="2"/>
    <x v="6"/>
    <x v="3"/>
    <n v="4"/>
    <n v="6"/>
    <x v="108"/>
    <d v="1899-12-30T00:59:02"/>
  </r>
  <r>
    <x v="6"/>
    <x v="0"/>
    <n v="37.72"/>
    <x v="0"/>
    <x v="2"/>
    <x v="6"/>
    <x v="3"/>
    <n v="4"/>
    <n v="6"/>
    <x v="108"/>
    <d v="1899-12-30T00:00:00"/>
  </r>
  <r>
    <x v="15"/>
    <x v="0"/>
    <n v="37.72"/>
    <x v="0"/>
    <x v="2"/>
    <x v="6"/>
    <x v="3"/>
    <n v="4"/>
    <n v="6"/>
    <x v="108"/>
    <d v="1899-12-30T00:39:10"/>
  </r>
  <r>
    <x v="15"/>
    <x v="0"/>
    <n v="37.72"/>
    <x v="0"/>
    <x v="2"/>
    <x v="6"/>
    <x v="3"/>
    <n v="4"/>
    <n v="6"/>
    <x v="108"/>
    <d v="1899-12-30T00:57:41"/>
  </r>
  <r>
    <x v="15"/>
    <x v="0"/>
    <n v="32.82"/>
    <x v="3"/>
    <x v="2"/>
    <x v="6"/>
    <x v="3"/>
    <n v="4"/>
    <n v="6"/>
    <x v="108"/>
    <d v="1899-12-30T00:59:18"/>
  </r>
  <r>
    <x v="10"/>
    <x v="0"/>
    <n v="37.72"/>
    <x v="0"/>
    <x v="0"/>
    <x v="0"/>
    <x v="3"/>
    <n v="5"/>
    <n v="6"/>
    <x v="109"/>
    <d v="1899-12-30T00:59:56"/>
  </r>
  <r>
    <x v="0"/>
    <x v="0"/>
    <n v="27.92"/>
    <x v="2"/>
    <x v="0"/>
    <x v="0"/>
    <x v="3"/>
    <n v="5"/>
    <n v="6"/>
    <x v="109"/>
    <d v="1899-12-30T00:01:40"/>
  </r>
  <r>
    <x v="2"/>
    <x v="0"/>
    <n v="32.82"/>
    <x v="3"/>
    <x v="1"/>
    <x v="0"/>
    <x v="3"/>
    <n v="5"/>
    <n v="6"/>
    <x v="109"/>
    <d v="1899-12-30T00:19:19"/>
  </r>
  <r>
    <x v="2"/>
    <x v="0"/>
    <n v="32.82"/>
    <x v="3"/>
    <x v="1"/>
    <x v="0"/>
    <x v="3"/>
    <n v="5"/>
    <n v="6"/>
    <x v="109"/>
    <d v="1899-12-30T00:20:32"/>
  </r>
  <r>
    <x v="5"/>
    <x v="0"/>
    <n v="23.02"/>
    <x v="6"/>
    <x v="2"/>
    <x v="0"/>
    <x v="3"/>
    <n v="5"/>
    <n v="6"/>
    <x v="109"/>
    <d v="1899-12-30T00:12:16"/>
  </r>
  <r>
    <x v="6"/>
    <x v="0"/>
    <n v="37.72"/>
    <x v="0"/>
    <x v="2"/>
    <x v="0"/>
    <x v="3"/>
    <n v="5"/>
    <n v="6"/>
    <x v="109"/>
    <d v="1899-12-30T00:30:27"/>
  </r>
  <r>
    <x v="6"/>
    <x v="0"/>
    <n v="37.72"/>
    <x v="7"/>
    <x v="2"/>
    <x v="0"/>
    <x v="3"/>
    <n v="5"/>
    <n v="6"/>
    <x v="109"/>
    <d v="1899-12-30T00:47:06"/>
  </r>
  <r>
    <x v="6"/>
    <x v="0"/>
    <n v="37.72"/>
    <x v="7"/>
    <x v="2"/>
    <x v="0"/>
    <x v="3"/>
    <n v="5"/>
    <n v="6"/>
    <x v="109"/>
    <d v="1899-12-30T00:48:07"/>
  </r>
  <r>
    <x v="6"/>
    <x v="0"/>
    <n v="37.72"/>
    <x v="7"/>
    <x v="2"/>
    <x v="0"/>
    <x v="3"/>
    <n v="5"/>
    <n v="6"/>
    <x v="109"/>
    <d v="1899-12-30T00:49:55"/>
  </r>
  <r>
    <x v="6"/>
    <x v="0"/>
    <n v="37.72"/>
    <x v="7"/>
    <x v="2"/>
    <x v="0"/>
    <x v="3"/>
    <n v="5"/>
    <n v="6"/>
    <x v="109"/>
    <d v="1899-12-30T00:51:00"/>
  </r>
  <r>
    <x v="6"/>
    <x v="0"/>
    <n v="27.92"/>
    <x v="2"/>
    <x v="2"/>
    <x v="0"/>
    <x v="3"/>
    <n v="5"/>
    <n v="6"/>
    <x v="109"/>
    <d v="1899-12-30T00:52:19"/>
  </r>
  <r>
    <x v="6"/>
    <x v="0"/>
    <n v="32.82"/>
    <x v="3"/>
    <x v="2"/>
    <x v="0"/>
    <x v="3"/>
    <n v="5"/>
    <n v="6"/>
    <x v="109"/>
    <d v="1899-12-30T00:55:37"/>
  </r>
  <r>
    <x v="12"/>
    <x v="0"/>
    <n v="27.92"/>
    <x v="5"/>
    <x v="0"/>
    <x v="1"/>
    <x v="3"/>
    <n v="6"/>
    <n v="6"/>
    <x v="110"/>
    <d v="1899-12-30T00:39:50"/>
  </r>
  <r>
    <x v="10"/>
    <x v="0"/>
    <n v="32.82"/>
    <x v="3"/>
    <x v="0"/>
    <x v="1"/>
    <x v="3"/>
    <n v="6"/>
    <n v="6"/>
    <x v="110"/>
    <d v="1899-12-30T00:37:49"/>
  </r>
  <r>
    <x v="1"/>
    <x v="0"/>
    <n v="32.82"/>
    <x v="3"/>
    <x v="1"/>
    <x v="1"/>
    <x v="3"/>
    <n v="6"/>
    <n v="6"/>
    <x v="110"/>
    <d v="1899-12-30T00:53:16"/>
  </r>
  <r>
    <x v="3"/>
    <x v="0"/>
    <n v="37.72"/>
    <x v="0"/>
    <x v="1"/>
    <x v="1"/>
    <x v="3"/>
    <n v="6"/>
    <n v="6"/>
    <x v="110"/>
    <d v="1899-12-30T00:37:20"/>
  </r>
  <r>
    <x v="13"/>
    <x v="0"/>
    <n v="37.72"/>
    <x v="7"/>
    <x v="2"/>
    <x v="1"/>
    <x v="3"/>
    <n v="6"/>
    <n v="6"/>
    <x v="110"/>
    <d v="1899-12-30T00:10:23"/>
  </r>
  <r>
    <x v="5"/>
    <x v="0"/>
    <n v="32.82"/>
    <x v="3"/>
    <x v="2"/>
    <x v="2"/>
    <x v="3"/>
    <n v="7"/>
    <n v="6"/>
    <x v="111"/>
    <d v="1899-12-30T00:12:01"/>
  </r>
  <r>
    <x v="5"/>
    <x v="0"/>
    <n v="32.82"/>
    <x v="3"/>
    <x v="2"/>
    <x v="2"/>
    <x v="3"/>
    <n v="7"/>
    <n v="6"/>
    <x v="111"/>
    <d v="1899-12-30T00:13:51"/>
  </r>
  <r>
    <x v="15"/>
    <x v="0"/>
    <n v="37.72"/>
    <x v="7"/>
    <x v="2"/>
    <x v="2"/>
    <x v="3"/>
    <n v="7"/>
    <n v="6"/>
    <x v="111"/>
    <d v="1899-12-30T00:06:47"/>
  </r>
  <r>
    <x v="15"/>
    <x v="0"/>
    <n v="37.72"/>
    <x v="0"/>
    <x v="2"/>
    <x v="2"/>
    <x v="3"/>
    <n v="7"/>
    <n v="6"/>
    <x v="111"/>
    <d v="1899-12-30T00:29:08"/>
  </r>
  <r>
    <x v="15"/>
    <x v="0"/>
    <n v="37.72"/>
    <x v="7"/>
    <x v="2"/>
    <x v="2"/>
    <x v="3"/>
    <n v="7"/>
    <n v="6"/>
    <x v="111"/>
    <d v="1899-12-30T00:30:36"/>
  </r>
  <r>
    <x v="7"/>
    <x v="0"/>
    <n v="32.82"/>
    <x v="3"/>
    <x v="0"/>
    <x v="3"/>
    <x v="3"/>
    <n v="1"/>
    <n v="6"/>
    <x v="112"/>
    <d v="1899-12-30T00:44:40"/>
  </r>
  <r>
    <x v="7"/>
    <x v="0"/>
    <n v="37.72"/>
    <x v="7"/>
    <x v="0"/>
    <x v="3"/>
    <x v="3"/>
    <n v="1"/>
    <n v="6"/>
    <x v="112"/>
    <d v="1899-12-30T00:49:36"/>
  </r>
  <r>
    <x v="7"/>
    <x v="0"/>
    <n v="37.72"/>
    <x v="7"/>
    <x v="0"/>
    <x v="3"/>
    <x v="3"/>
    <n v="1"/>
    <n v="6"/>
    <x v="112"/>
    <d v="1899-12-30T00:50:44"/>
  </r>
  <r>
    <x v="3"/>
    <x v="0"/>
    <n v="37.72"/>
    <x v="0"/>
    <x v="1"/>
    <x v="3"/>
    <x v="3"/>
    <n v="1"/>
    <n v="6"/>
    <x v="112"/>
    <d v="1899-12-30T00:02:29"/>
  </r>
  <r>
    <x v="4"/>
    <x v="0"/>
    <n v="37.72"/>
    <x v="7"/>
    <x v="1"/>
    <x v="3"/>
    <x v="3"/>
    <n v="1"/>
    <n v="6"/>
    <x v="112"/>
    <d v="1899-12-30T00:46:01"/>
  </r>
  <r>
    <x v="4"/>
    <x v="0"/>
    <n v="37.72"/>
    <x v="7"/>
    <x v="1"/>
    <x v="3"/>
    <x v="3"/>
    <n v="1"/>
    <n v="6"/>
    <x v="112"/>
    <d v="1899-12-30T00:47:00"/>
  </r>
  <r>
    <x v="12"/>
    <x v="0"/>
    <n v="37.72"/>
    <x v="0"/>
    <x v="0"/>
    <x v="4"/>
    <x v="3"/>
    <n v="2"/>
    <n v="6"/>
    <x v="113"/>
    <d v="1899-12-30T00:19:24"/>
  </r>
  <r>
    <x v="0"/>
    <x v="0"/>
    <n v="32.82"/>
    <x v="3"/>
    <x v="0"/>
    <x v="4"/>
    <x v="3"/>
    <n v="2"/>
    <n v="6"/>
    <x v="113"/>
    <d v="1899-12-30T00:28:26"/>
  </r>
  <r>
    <x v="0"/>
    <x v="0"/>
    <n v="32.82"/>
    <x v="3"/>
    <x v="0"/>
    <x v="4"/>
    <x v="3"/>
    <n v="2"/>
    <n v="6"/>
    <x v="113"/>
    <d v="1899-12-30T00:29:42"/>
  </r>
  <r>
    <x v="7"/>
    <x v="0"/>
    <n v="37.72"/>
    <x v="7"/>
    <x v="0"/>
    <x v="4"/>
    <x v="3"/>
    <n v="2"/>
    <n v="6"/>
    <x v="113"/>
    <d v="1899-12-30T00:34:52"/>
  </r>
  <r>
    <x v="10"/>
    <x v="0"/>
    <n v="37.72"/>
    <x v="0"/>
    <x v="0"/>
    <x v="5"/>
    <x v="3"/>
    <n v="3"/>
    <n v="6"/>
    <x v="114"/>
    <d v="1899-12-30T00:33:02"/>
  </r>
  <r>
    <x v="4"/>
    <x v="0"/>
    <n v="23.02"/>
    <x v="6"/>
    <x v="1"/>
    <x v="5"/>
    <x v="3"/>
    <n v="3"/>
    <n v="6"/>
    <x v="114"/>
    <d v="1899-12-30T00:32:30"/>
  </r>
  <r>
    <x v="4"/>
    <x v="0"/>
    <n v="27.92"/>
    <x v="2"/>
    <x v="1"/>
    <x v="5"/>
    <x v="3"/>
    <n v="3"/>
    <n v="6"/>
    <x v="114"/>
    <d v="1899-12-30T00:34:02"/>
  </r>
  <r>
    <x v="15"/>
    <x v="0"/>
    <n v="37.72"/>
    <x v="0"/>
    <x v="2"/>
    <x v="5"/>
    <x v="3"/>
    <n v="3"/>
    <n v="6"/>
    <x v="114"/>
    <d v="1899-12-30T00:21:53"/>
  </r>
  <r>
    <x v="15"/>
    <x v="0"/>
    <n v="37.72"/>
    <x v="7"/>
    <x v="2"/>
    <x v="5"/>
    <x v="3"/>
    <n v="3"/>
    <n v="6"/>
    <x v="114"/>
    <d v="1899-12-30T00:27:01"/>
  </r>
  <r>
    <x v="15"/>
    <x v="0"/>
    <n v="32.82"/>
    <x v="3"/>
    <x v="2"/>
    <x v="5"/>
    <x v="3"/>
    <n v="3"/>
    <n v="6"/>
    <x v="114"/>
    <d v="1899-12-30T00:28:15"/>
  </r>
  <r>
    <x v="10"/>
    <x v="0"/>
    <n v="32.82"/>
    <x v="3"/>
    <x v="0"/>
    <x v="6"/>
    <x v="3"/>
    <n v="4"/>
    <n v="6"/>
    <x v="115"/>
    <d v="1899-12-30T00:15:43"/>
  </r>
  <r>
    <x v="4"/>
    <x v="0"/>
    <n v="27.92"/>
    <x v="5"/>
    <x v="1"/>
    <x v="6"/>
    <x v="3"/>
    <n v="4"/>
    <n v="6"/>
    <x v="115"/>
    <d v="1899-12-30T16:11:48"/>
  </r>
  <r>
    <x v="15"/>
    <x v="0"/>
    <n v="32.82"/>
    <x v="3"/>
    <x v="2"/>
    <x v="6"/>
    <x v="3"/>
    <n v="4"/>
    <n v="6"/>
    <x v="115"/>
    <d v="1899-12-30T00:44:03"/>
  </r>
  <r>
    <x v="15"/>
    <x v="0"/>
    <n v="37.72"/>
    <x v="7"/>
    <x v="2"/>
    <x v="6"/>
    <x v="3"/>
    <n v="4"/>
    <n v="6"/>
    <x v="115"/>
    <d v="1899-12-30T00:50:32"/>
  </r>
  <r>
    <x v="12"/>
    <x v="0"/>
    <n v="27.92"/>
    <x v="5"/>
    <x v="0"/>
    <x v="0"/>
    <x v="3"/>
    <n v="5"/>
    <n v="6"/>
    <x v="116"/>
    <d v="1899-12-30T00:08:35"/>
  </r>
  <r>
    <x v="9"/>
    <x v="0"/>
    <n v="23.02"/>
    <x v="6"/>
    <x v="2"/>
    <x v="0"/>
    <x v="3"/>
    <n v="5"/>
    <n v="6"/>
    <x v="116"/>
    <d v="1899-12-30T00:51:54"/>
  </r>
  <r>
    <x v="15"/>
    <x v="0"/>
    <n v="32.82"/>
    <x v="3"/>
    <x v="2"/>
    <x v="0"/>
    <x v="3"/>
    <n v="5"/>
    <n v="6"/>
    <x v="116"/>
    <d v="1899-12-30T00:50:55"/>
  </r>
  <r>
    <x v="15"/>
    <x v="0"/>
    <n v="37.72"/>
    <x v="0"/>
    <x v="2"/>
    <x v="0"/>
    <x v="3"/>
    <n v="5"/>
    <n v="6"/>
    <x v="116"/>
    <d v="1899-12-30T00:52:02"/>
  </r>
  <r>
    <x v="13"/>
    <x v="0"/>
    <n v="37.72"/>
    <x v="7"/>
    <x v="2"/>
    <x v="0"/>
    <x v="3"/>
    <n v="5"/>
    <n v="6"/>
    <x v="116"/>
    <d v="1899-12-30T00:28:20"/>
  </r>
  <r>
    <x v="10"/>
    <x v="0"/>
    <n v="32.82"/>
    <x v="3"/>
    <x v="0"/>
    <x v="1"/>
    <x v="3"/>
    <n v="6"/>
    <n v="6"/>
    <x v="117"/>
    <d v="1899-12-30T00:47:10"/>
  </r>
  <r>
    <x v="7"/>
    <x v="0"/>
    <n v="32.82"/>
    <x v="3"/>
    <x v="0"/>
    <x v="1"/>
    <x v="3"/>
    <n v="6"/>
    <n v="6"/>
    <x v="117"/>
    <d v="1899-12-30T00:40:20"/>
  </r>
  <r>
    <x v="7"/>
    <x v="0"/>
    <n v="32.82"/>
    <x v="3"/>
    <x v="0"/>
    <x v="1"/>
    <x v="3"/>
    <n v="6"/>
    <n v="6"/>
    <x v="117"/>
    <d v="1899-12-30T00:41:27"/>
  </r>
  <r>
    <x v="1"/>
    <x v="0"/>
    <n v="37.72"/>
    <x v="7"/>
    <x v="1"/>
    <x v="1"/>
    <x v="3"/>
    <n v="6"/>
    <n v="6"/>
    <x v="117"/>
    <d v="1899-12-30T00:30:24"/>
  </r>
  <r>
    <x v="1"/>
    <x v="0"/>
    <n v="37.72"/>
    <x v="7"/>
    <x v="1"/>
    <x v="1"/>
    <x v="3"/>
    <n v="6"/>
    <n v="6"/>
    <x v="117"/>
    <d v="1899-12-30T00:31:43"/>
  </r>
  <r>
    <x v="9"/>
    <x v="0"/>
    <n v="37.72"/>
    <x v="7"/>
    <x v="2"/>
    <x v="1"/>
    <x v="3"/>
    <n v="6"/>
    <n v="6"/>
    <x v="117"/>
    <d v="1899-12-30T00:23:44"/>
  </r>
  <r>
    <x v="9"/>
    <x v="0"/>
    <n v="37.72"/>
    <x v="1"/>
    <x v="2"/>
    <x v="1"/>
    <x v="3"/>
    <n v="6"/>
    <n v="6"/>
    <x v="117"/>
    <d v="1899-12-30T00:24:52"/>
  </r>
  <r>
    <x v="15"/>
    <x v="0"/>
    <n v="37.72"/>
    <x v="0"/>
    <x v="2"/>
    <x v="1"/>
    <x v="3"/>
    <n v="6"/>
    <n v="6"/>
    <x v="117"/>
    <d v="1899-12-30T00:27:22"/>
  </r>
  <r>
    <x v="0"/>
    <x v="0"/>
    <n v="37.72"/>
    <x v="0"/>
    <x v="0"/>
    <x v="2"/>
    <x v="3"/>
    <n v="7"/>
    <n v="6"/>
    <x v="118"/>
    <d v="1899-12-30T00:28:10"/>
  </r>
  <r>
    <x v="2"/>
    <x v="0"/>
    <n v="23.02"/>
    <x v="6"/>
    <x v="1"/>
    <x v="2"/>
    <x v="3"/>
    <n v="7"/>
    <n v="6"/>
    <x v="118"/>
    <d v="1899-12-30T00:05:51"/>
  </r>
  <r>
    <x v="4"/>
    <x v="0"/>
    <n v="37.72"/>
    <x v="1"/>
    <x v="1"/>
    <x v="2"/>
    <x v="3"/>
    <n v="7"/>
    <n v="6"/>
    <x v="118"/>
    <d v="1899-12-30T00:54:42"/>
  </r>
  <r>
    <x v="15"/>
    <x v="0"/>
    <n v="32.82"/>
    <x v="3"/>
    <x v="2"/>
    <x v="2"/>
    <x v="3"/>
    <n v="7"/>
    <n v="6"/>
    <x v="118"/>
    <d v="1899-12-30T00:04:10"/>
  </r>
  <r>
    <x v="5"/>
    <x v="0"/>
    <n v="23.02"/>
    <x v="6"/>
    <x v="2"/>
    <x v="3"/>
    <x v="4"/>
    <n v="1"/>
    <n v="7"/>
    <x v="119"/>
    <d v="1899-12-30T00:07:27"/>
  </r>
  <r>
    <x v="5"/>
    <x v="0"/>
    <n v="37.72"/>
    <x v="7"/>
    <x v="2"/>
    <x v="3"/>
    <x v="4"/>
    <n v="1"/>
    <n v="7"/>
    <x v="119"/>
    <d v="1899-12-30T00:56:52"/>
  </r>
  <r>
    <x v="5"/>
    <x v="0"/>
    <n v="37.72"/>
    <x v="7"/>
    <x v="2"/>
    <x v="3"/>
    <x v="4"/>
    <n v="1"/>
    <n v="7"/>
    <x v="119"/>
    <d v="1899-12-30T00:57:54"/>
  </r>
  <r>
    <x v="0"/>
    <x v="0"/>
    <n v="32.82"/>
    <x v="3"/>
    <x v="0"/>
    <x v="4"/>
    <x v="4"/>
    <n v="2"/>
    <n v="7"/>
    <x v="120"/>
    <d v="1899-12-30T00:42:54"/>
  </r>
  <r>
    <x v="0"/>
    <x v="0"/>
    <n v="27.92"/>
    <x v="2"/>
    <x v="0"/>
    <x v="4"/>
    <x v="4"/>
    <n v="2"/>
    <n v="7"/>
    <x v="120"/>
    <d v="1899-12-30T00:45:01"/>
  </r>
  <r>
    <x v="1"/>
    <x v="0"/>
    <n v="37.72"/>
    <x v="0"/>
    <x v="1"/>
    <x v="4"/>
    <x v="4"/>
    <n v="2"/>
    <n v="7"/>
    <x v="120"/>
    <d v="1899-12-30T00:48:05"/>
  </r>
  <r>
    <x v="8"/>
    <x v="0"/>
    <n v="27.92"/>
    <x v="2"/>
    <x v="1"/>
    <x v="4"/>
    <x v="4"/>
    <n v="2"/>
    <n v="7"/>
    <x v="120"/>
    <d v="1899-12-30T00:03:13"/>
  </r>
  <r>
    <x v="4"/>
    <x v="0"/>
    <n v="32.82"/>
    <x v="3"/>
    <x v="1"/>
    <x v="4"/>
    <x v="4"/>
    <n v="2"/>
    <n v="7"/>
    <x v="120"/>
    <d v="1899-12-30T00:31:24"/>
  </r>
  <r>
    <x v="13"/>
    <x v="0"/>
    <n v="32.82"/>
    <x v="3"/>
    <x v="2"/>
    <x v="4"/>
    <x v="4"/>
    <n v="2"/>
    <n v="7"/>
    <x v="120"/>
    <d v="1899-12-30T00:02:24"/>
  </r>
  <r>
    <x v="2"/>
    <x v="0"/>
    <n v="32.82"/>
    <x v="3"/>
    <x v="1"/>
    <x v="5"/>
    <x v="4"/>
    <n v="3"/>
    <n v="7"/>
    <x v="121"/>
    <d v="1899-12-30T00:51:15"/>
  </r>
  <r>
    <x v="4"/>
    <x v="0"/>
    <n v="37.72"/>
    <x v="7"/>
    <x v="1"/>
    <x v="5"/>
    <x v="4"/>
    <n v="3"/>
    <n v="7"/>
    <x v="121"/>
    <d v="1899-12-30T00:01:17"/>
  </r>
  <r>
    <x v="4"/>
    <x v="0"/>
    <n v="37.72"/>
    <x v="7"/>
    <x v="1"/>
    <x v="5"/>
    <x v="4"/>
    <n v="3"/>
    <n v="7"/>
    <x v="121"/>
    <d v="1899-12-30T00:50:25"/>
  </r>
  <r>
    <x v="4"/>
    <x v="0"/>
    <n v="32.82"/>
    <x v="3"/>
    <x v="1"/>
    <x v="5"/>
    <x v="4"/>
    <n v="3"/>
    <n v="7"/>
    <x v="121"/>
    <d v="1899-12-30T00:53:16"/>
  </r>
  <r>
    <x v="4"/>
    <x v="0"/>
    <n v="32.82"/>
    <x v="3"/>
    <x v="1"/>
    <x v="5"/>
    <x v="4"/>
    <n v="3"/>
    <n v="7"/>
    <x v="121"/>
    <d v="1899-12-30T00:54:23"/>
  </r>
  <r>
    <x v="4"/>
    <x v="0"/>
    <n v="37.72"/>
    <x v="0"/>
    <x v="1"/>
    <x v="5"/>
    <x v="4"/>
    <n v="3"/>
    <n v="7"/>
    <x v="121"/>
    <d v="1899-12-30T00:55:31"/>
  </r>
  <r>
    <x v="4"/>
    <x v="0"/>
    <n v="23.02"/>
    <x v="6"/>
    <x v="1"/>
    <x v="5"/>
    <x v="4"/>
    <n v="3"/>
    <n v="7"/>
    <x v="121"/>
    <d v="1899-12-30T00:59:26"/>
  </r>
  <r>
    <x v="9"/>
    <x v="0"/>
    <n v="37.72"/>
    <x v="7"/>
    <x v="2"/>
    <x v="5"/>
    <x v="4"/>
    <n v="3"/>
    <n v="7"/>
    <x v="121"/>
    <d v="1899-12-30T00:59:02"/>
  </r>
  <r>
    <x v="6"/>
    <x v="0"/>
    <n v="37.72"/>
    <x v="0"/>
    <x v="2"/>
    <x v="5"/>
    <x v="4"/>
    <n v="3"/>
    <n v="7"/>
    <x v="121"/>
    <d v="1899-12-30T00:06:09"/>
  </r>
  <r>
    <x v="0"/>
    <x v="0"/>
    <n v="32.82"/>
    <x v="3"/>
    <x v="0"/>
    <x v="6"/>
    <x v="4"/>
    <n v="4"/>
    <n v="7"/>
    <x v="122"/>
    <d v="1899-12-30T00:26:24"/>
  </r>
  <r>
    <x v="0"/>
    <x v="0"/>
    <n v="27.92"/>
    <x v="2"/>
    <x v="0"/>
    <x v="6"/>
    <x v="4"/>
    <n v="4"/>
    <n v="7"/>
    <x v="122"/>
    <d v="1899-12-30T00:27:30"/>
  </r>
  <r>
    <x v="1"/>
    <x v="0"/>
    <n v="37.72"/>
    <x v="4"/>
    <x v="1"/>
    <x v="0"/>
    <x v="4"/>
    <n v="5"/>
    <n v="7"/>
    <x v="123"/>
    <d v="1899-12-30T00:20:29"/>
  </r>
  <r>
    <x v="2"/>
    <x v="0"/>
    <n v="32.82"/>
    <x v="3"/>
    <x v="1"/>
    <x v="0"/>
    <x v="4"/>
    <n v="5"/>
    <n v="7"/>
    <x v="123"/>
    <d v="1899-12-30T00:43:43"/>
  </r>
  <r>
    <x v="2"/>
    <x v="0"/>
    <n v="32.82"/>
    <x v="3"/>
    <x v="1"/>
    <x v="0"/>
    <x v="4"/>
    <n v="5"/>
    <n v="7"/>
    <x v="123"/>
    <d v="1899-12-30T00:44:44"/>
  </r>
  <r>
    <x v="5"/>
    <x v="0"/>
    <n v="23.02"/>
    <x v="6"/>
    <x v="2"/>
    <x v="0"/>
    <x v="4"/>
    <n v="5"/>
    <n v="7"/>
    <x v="123"/>
    <d v="1899-12-30T00:55:56"/>
  </r>
  <r>
    <x v="6"/>
    <x v="0"/>
    <n v="27.92"/>
    <x v="2"/>
    <x v="2"/>
    <x v="0"/>
    <x v="4"/>
    <n v="5"/>
    <n v="7"/>
    <x v="123"/>
    <d v="1899-12-30T00:55:08"/>
  </r>
  <r>
    <x v="13"/>
    <x v="0"/>
    <n v="23.02"/>
    <x v="6"/>
    <x v="2"/>
    <x v="0"/>
    <x v="4"/>
    <n v="5"/>
    <n v="7"/>
    <x v="123"/>
    <d v="1899-12-30T00:11:57"/>
  </r>
  <r>
    <x v="13"/>
    <x v="0"/>
    <n v="27.92"/>
    <x v="2"/>
    <x v="2"/>
    <x v="0"/>
    <x v="4"/>
    <n v="5"/>
    <n v="7"/>
    <x v="123"/>
    <d v="1899-12-30T00:18:03"/>
  </r>
  <r>
    <x v="13"/>
    <x v="0"/>
    <n v="27.92"/>
    <x v="2"/>
    <x v="2"/>
    <x v="0"/>
    <x v="4"/>
    <n v="5"/>
    <n v="7"/>
    <x v="123"/>
    <d v="1899-12-30T00:18:57"/>
  </r>
  <r>
    <x v="13"/>
    <x v="0"/>
    <n v="37.72"/>
    <x v="7"/>
    <x v="2"/>
    <x v="0"/>
    <x v="4"/>
    <n v="5"/>
    <n v="7"/>
    <x v="123"/>
    <d v="1899-12-30T00:20:01"/>
  </r>
  <r>
    <x v="13"/>
    <x v="0"/>
    <n v="32.82"/>
    <x v="3"/>
    <x v="2"/>
    <x v="0"/>
    <x v="4"/>
    <n v="5"/>
    <n v="7"/>
    <x v="123"/>
    <d v="1899-12-30T00:21:10"/>
  </r>
  <r>
    <x v="0"/>
    <x v="0"/>
    <n v="37.72"/>
    <x v="0"/>
    <x v="0"/>
    <x v="1"/>
    <x v="4"/>
    <n v="6"/>
    <n v="7"/>
    <x v="124"/>
    <d v="1899-12-30T00:28:07"/>
  </r>
  <r>
    <x v="9"/>
    <x v="0"/>
    <n v="32.82"/>
    <x v="0"/>
    <x v="2"/>
    <x v="1"/>
    <x v="4"/>
    <n v="6"/>
    <n v="7"/>
    <x v="124"/>
    <d v="1899-12-30T00:15:46"/>
  </r>
  <r>
    <x v="9"/>
    <x v="0"/>
    <n v="32.82"/>
    <x v="0"/>
    <x v="2"/>
    <x v="1"/>
    <x v="4"/>
    <n v="6"/>
    <n v="7"/>
    <x v="124"/>
    <d v="1899-12-30T00:17:01"/>
  </r>
  <r>
    <x v="6"/>
    <x v="0"/>
    <n v="32.82"/>
    <x v="0"/>
    <x v="2"/>
    <x v="1"/>
    <x v="4"/>
    <n v="6"/>
    <n v="7"/>
    <x v="124"/>
    <d v="1899-12-30T00:09:46"/>
  </r>
  <r>
    <x v="6"/>
    <x v="0"/>
    <n v="27.92"/>
    <x v="3"/>
    <x v="2"/>
    <x v="1"/>
    <x v="4"/>
    <n v="6"/>
    <n v="7"/>
    <x v="124"/>
    <d v="1899-12-30T00:10:40"/>
  </r>
  <r>
    <x v="10"/>
    <x v="0"/>
    <n v="32.82"/>
    <x v="7"/>
    <x v="0"/>
    <x v="2"/>
    <x v="4"/>
    <n v="7"/>
    <n v="7"/>
    <x v="125"/>
    <d v="1899-12-30T00:04:20"/>
  </r>
  <r>
    <x v="10"/>
    <x v="0"/>
    <n v="27.92"/>
    <x v="3"/>
    <x v="0"/>
    <x v="2"/>
    <x v="4"/>
    <n v="7"/>
    <n v="7"/>
    <x v="125"/>
    <d v="1899-12-30T00:14:29"/>
  </r>
  <r>
    <x v="10"/>
    <x v="0"/>
    <n v="27.92"/>
    <x v="3"/>
    <x v="0"/>
    <x v="2"/>
    <x v="4"/>
    <n v="7"/>
    <n v="7"/>
    <x v="125"/>
    <d v="1899-12-30T00:15:37"/>
  </r>
  <r>
    <x v="10"/>
    <x v="0"/>
    <n v="32.82"/>
    <x v="7"/>
    <x v="0"/>
    <x v="2"/>
    <x v="4"/>
    <n v="7"/>
    <n v="7"/>
    <x v="125"/>
    <d v="1899-12-30T00:28:49"/>
  </r>
  <r>
    <x v="10"/>
    <x v="0"/>
    <n v="32.82"/>
    <x v="7"/>
    <x v="0"/>
    <x v="2"/>
    <x v="4"/>
    <n v="7"/>
    <n v="7"/>
    <x v="125"/>
    <d v="1899-12-30T00:29:56"/>
  </r>
  <r>
    <x v="8"/>
    <x v="0"/>
    <n v="32.82"/>
    <x v="1"/>
    <x v="1"/>
    <x v="2"/>
    <x v="4"/>
    <n v="7"/>
    <n v="7"/>
    <x v="125"/>
    <d v="1899-12-30T00:56:30"/>
  </r>
  <r>
    <x v="8"/>
    <x v="0"/>
    <n v="32.82"/>
    <x v="4"/>
    <x v="1"/>
    <x v="2"/>
    <x v="4"/>
    <n v="7"/>
    <n v="7"/>
    <x v="125"/>
    <d v="1899-12-30T00:57:47"/>
  </r>
  <r>
    <x v="9"/>
    <x v="0"/>
    <n v="32.82"/>
    <x v="0"/>
    <x v="2"/>
    <x v="2"/>
    <x v="4"/>
    <n v="7"/>
    <n v="7"/>
    <x v="125"/>
    <d v="1899-12-30T00:07:50"/>
  </r>
  <r>
    <x v="6"/>
    <x v="0"/>
    <n v="32.82"/>
    <x v="7"/>
    <x v="2"/>
    <x v="2"/>
    <x v="4"/>
    <n v="7"/>
    <n v="7"/>
    <x v="125"/>
    <d v="1899-12-30T00:33:27"/>
  </r>
  <r>
    <x v="11"/>
    <x v="0"/>
    <n v="32.82"/>
    <x v="1"/>
    <x v="2"/>
    <x v="2"/>
    <x v="4"/>
    <n v="7"/>
    <n v="7"/>
    <x v="125"/>
    <d v="1899-12-30T00:01:32"/>
  </r>
  <r>
    <x v="13"/>
    <x v="0"/>
    <n v="27.92"/>
    <x v="3"/>
    <x v="2"/>
    <x v="2"/>
    <x v="4"/>
    <n v="7"/>
    <n v="7"/>
    <x v="125"/>
    <d v="1899-12-30T00:33:36"/>
  </r>
  <r>
    <x v="14"/>
    <x v="0"/>
    <n v="32.82"/>
    <x v="0"/>
    <x v="0"/>
    <x v="3"/>
    <x v="4"/>
    <n v="1"/>
    <n v="7"/>
    <x v="126"/>
    <d v="1899-12-30T00:33:08"/>
  </r>
  <r>
    <x v="1"/>
    <x v="0"/>
    <n v="23.02"/>
    <x v="2"/>
    <x v="1"/>
    <x v="3"/>
    <x v="4"/>
    <n v="1"/>
    <n v="7"/>
    <x v="126"/>
    <d v="1899-12-30T00:02:50"/>
  </r>
  <r>
    <x v="8"/>
    <x v="0"/>
    <n v="23.02"/>
    <x v="2"/>
    <x v="1"/>
    <x v="3"/>
    <x v="4"/>
    <n v="1"/>
    <n v="7"/>
    <x v="126"/>
    <d v="1899-12-30T00:40:24"/>
  </r>
  <r>
    <x v="6"/>
    <x v="0"/>
    <n v="27.92"/>
    <x v="3"/>
    <x v="2"/>
    <x v="3"/>
    <x v="4"/>
    <n v="1"/>
    <n v="7"/>
    <x v="126"/>
    <d v="1899-12-30T00:30:35"/>
  </r>
  <r>
    <x v="13"/>
    <x v="0"/>
    <n v="32.82"/>
    <x v="0"/>
    <x v="2"/>
    <x v="3"/>
    <x v="4"/>
    <n v="1"/>
    <n v="7"/>
    <x v="126"/>
    <d v="1899-12-30T00:14:46"/>
  </r>
  <r>
    <x v="0"/>
    <x v="0"/>
    <n v="27.92"/>
    <x v="3"/>
    <x v="0"/>
    <x v="4"/>
    <x v="4"/>
    <n v="2"/>
    <n v="7"/>
    <x v="127"/>
    <d v="1899-12-30T00:26:52"/>
  </r>
  <r>
    <x v="0"/>
    <x v="0"/>
    <n v="27.92"/>
    <x v="3"/>
    <x v="0"/>
    <x v="4"/>
    <x v="4"/>
    <n v="2"/>
    <n v="7"/>
    <x v="127"/>
    <d v="1899-12-30T00:40:29"/>
  </r>
  <r>
    <x v="7"/>
    <x v="0"/>
    <n v="27.92"/>
    <x v="3"/>
    <x v="0"/>
    <x v="4"/>
    <x v="4"/>
    <n v="2"/>
    <n v="7"/>
    <x v="127"/>
    <d v="1899-12-30T00:21:36"/>
  </r>
  <r>
    <x v="7"/>
    <x v="0"/>
    <n v="32.82"/>
    <x v="7"/>
    <x v="0"/>
    <x v="4"/>
    <x v="4"/>
    <n v="2"/>
    <n v="7"/>
    <x v="127"/>
    <d v="1899-12-30T00:22:50"/>
  </r>
  <r>
    <x v="4"/>
    <x v="0"/>
    <n v="27.92"/>
    <x v="3"/>
    <x v="1"/>
    <x v="4"/>
    <x v="4"/>
    <n v="2"/>
    <n v="7"/>
    <x v="127"/>
    <d v="1899-12-30T00:43:00"/>
  </r>
  <r>
    <x v="7"/>
    <x v="0"/>
    <n v="23.02"/>
    <x v="2"/>
    <x v="0"/>
    <x v="5"/>
    <x v="4"/>
    <n v="3"/>
    <n v="7"/>
    <x v="128"/>
    <d v="1899-12-30T00:10:42"/>
  </r>
  <r>
    <x v="1"/>
    <x v="0"/>
    <n v="27.92"/>
    <x v="3"/>
    <x v="1"/>
    <x v="5"/>
    <x v="4"/>
    <n v="3"/>
    <n v="7"/>
    <x v="128"/>
    <d v="1899-12-30T00:28:54"/>
  </r>
  <r>
    <x v="13"/>
    <x v="0"/>
    <n v="32.82"/>
    <x v="0"/>
    <x v="2"/>
    <x v="5"/>
    <x v="4"/>
    <n v="3"/>
    <n v="7"/>
    <x v="128"/>
    <d v="1899-12-30T00:13:10"/>
  </r>
  <r>
    <x v="7"/>
    <x v="0"/>
    <n v="32.82"/>
    <x v="1"/>
    <x v="0"/>
    <x v="6"/>
    <x v="4"/>
    <n v="4"/>
    <n v="7"/>
    <x v="129"/>
    <d v="1899-12-30T00:27:28"/>
  </r>
  <r>
    <x v="4"/>
    <x v="0"/>
    <n v="27.92"/>
    <x v="3"/>
    <x v="1"/>
    <x v="6"/>
    <x v="4"/>
    <n v="4"/>
    <n v="7"/>
    <x v="129"/>
    <d v="1899-12-30T00:48:19"/>
  </r>
  <r>
    <x v="13"/>
    <x v="0"/>
    <n v="32.82"/>
    <x v="0"/>
    <x v="2"/>
    <x v="6"/>
    <x v="4"/>
    <n v="4"/>
    <n v="7"/>
    <x v="129"/>
    <d v="1899-12-30T00:22:14"/>
  </r>
  <r>
    <x v="13"/>
    <x v="0"/>
    <n v="23.02"/>
    <x v="2"/>
    <x v="2"/>
    <x v="6"/>
    <x v="4"/>
    <n v="4"/>
    <n v="7"/>
    <x v="129"/>
    <d v="1899-12-30T00:30:59"/>
  </r>
  <r>
    <x v="12"/>
    <x v="0"/>
    <n v="23.02"/>
    <x v="5"/>
    <x v="0"/>
    <x v="0"/>
    <x v="4"/>
    <n v="5"/>
    <n v="7"/>
    <x v="130"/>
    <d v="1899-12-30T00:03:18"/>
  </r>
  <r>
    <x v="7"/>
    <x v="0"/>
    <n v="32.82"/>
    <x v="1"/>
    <x v="0"/>
    <x v="0"/>
    <x v="4"/>
    <n v="5"/>
    <n v="7"/>
    <x v="130"/>
    <d v="1899-12-30T00:48:33"/>
  </r>
  <r>
    <x v="13"/>
    <x v="0"/>
    <n v="32.82"/>
    <x v="1"/>
    <x v="2"/>
    <x v="0"/>
    <x v="4"/>
    <n v="5"/>
    <n v="7"/>
    <x v="130"/>
    <d v="1899-12-30T00:33:26"/>
  </r>
  <r>
    <x v="13"/>
    <x v="0"/>
    <n v="32.82"/>
    <x v="1"/>
    <x v="2"/>
    <x v="0"/>
    <x v="4"/>
    <n v="5"/>
    <n v="7"/>
    <x v="130"/>
    <d v="1899-12-30T00:34:14"/>
  </r>
  <r>
    <x v="13"/>
    <x v="0"/>
    <n v="32.82"/>
    <x v="1"/>
    <x v="2"/>
    <x v="0"/>
    <x v="4"/>
    <n v="5"/>
    <n v="7"/>
    <x v="130"/>
    <d v="1899-12-30T00:35:30"/>
  </r>
  <r>
    <x v="0"/>
    <x v="0"/>
    <n v="32.82"/>
    <x v="0"/>
    <x v="0"/>
    <x v="1"/>
    <x v="4"/>
    <n v="6"/>
    <n v="7"/>
    <x v="131"/>
    <d v="1899-12-30T00:38:10"/>
  </r>
  <r>
    <x v="7"/>
    <x v="0"/>
    <n v="32.82"/>
    <x v="0"/>
    <x v="0"/>
    <x v="1"/>
    <x v="4"/>
    <n v="6"/>
    <n v="7"/>
    <x v="131"/>
    <d v="1899-12-30T00:41:38"/>
  </r>
  <r>
    <x v="0"/>
    <x v="0"/>
    <n v="23.02"/>
    <x v="2"/>
    <x v="0"/>
    <x v="2"/>
    <x v="4"/>
    <n v="7"/>
    <n v="7"/>
    <x v="132"/>
    <d v="1899-12-30T00:54:24"/>
  </r>
  <r>
    <x v="0"/>
    <x v="0"/>
    <n v="27.92"/>
    <x v="3"/>
    <x v="0"/>
    <x v="2"/>
    <x v="4"/>
    <n v="7"/>
    <n v="7"/>
    <x v="132"/>
    <d v="1899-12-30T00:55:31"/>
  </r>
  <r>
    <x v="0"/>
    <x v="0"/>
    <n v="32.82"/>
    <x v="7"/>
    <x v="0"/>
    <x v="2"/>
    <x v="4"/>
    <n v="7"/>
    <n v="7"/>
    <x v="132"/>
    <d v="1899-12-30T00:56:30"/>
  </r>
  <r>
    <x v="0"/>
    <x v="0"/>
    <n v="32.82"/>
    <x v="0"/>
    <x v="0"/>
    <x v="2"/>
    <x v="4"/>
    <n v="7"/>
    <n v="7"/>
    <x v="132"/>
    <d v="1899-12-30T00:57:54"/>
  </r>
  <r>
    <x v="7"/>
    <x v="0"/>
    <n v="23.02"/>
    <x v="2"/>
    <x v="0"/>
    <x v="2"/>
    <x v="4"/>
    <n v="7"/>
    <n v="7"/>
    <x v="132"/>
    <d v="1899-12-30T00:02:12"/>
  </r>
  <r>
    <x v="13"/>
    <x v="0"/>
    <n v="32.82"/>
    <x v="0"/>
    <x v="2"/>
    <x v="2"/>
    <x v="4"/>
    <n v="7"/>
    <n v="7"/>
    <x v="132"/>
    <d v="1899-12-30T00:31:30"/>
  </r>
  <r>
    <x v="14"/>
    <x v="0"/>
    <n v="32.82"/>
    <x v="7"/>
    <x v="0"/>
    <x v="3"/>
    <x v="4"/>
    <n v="1"/>
    <n v="7"/>
    <x v="133"/>
    <d v="1899-12-30T00:33:06"/>
  </r>
  <r>
    <x v="1"/>
    <x v="0"/>
    <n v="27.92"/>
    <x v="3"/>
    <x v="1"/>
    <x v="4"/>
    <x v="4"/>
    <n v="2"/>
    <n v="7"/>
    <x v="134"/>
    <d v="1899-12-30T00:23:38"/>
  </r>
  <r>
    <x v="6"/>
    <x v="0"/>
    <n v="32.82"/>
    <x v="1"/>
    <x v="2"/>
    <x v="4"/>
    <x v="4"/>
    <n v="2"/>
    <n v="7"/>
    <x v="134"/>
    <d v="1899-12-30T00:29:26"/>
  </r>
  <r>
    <x v="2"/>
    <x v="0"/>
    <n v="27.92"/>
    <x v="3"/>
    <x v="1"/>
    <x v="5"/>
    <x v="4"/>
    <n v="3"/>
    <n v="7"/>
    <x v="135"/>
    <d v="1899-12-30T00:05:00"/>
  </r>
  <r>
    <x v="7"/>
    <x v="0"/>
    <n v="27.92"/>
    <x v="3"/>
    <x v="0"/>
    <x v="6"/>
    <x v="4"/>
    <n v="4"/>
    <n v="7"/>
    <x v="136"/>
    <d v="1899-12-30T00:10:13"/>
  </r>
  <r>
    <x v="7"/>
    <x v="0"/>
    <n v="18.12"/>
    <x v="6"/>
    <x v="0"/>
    <x v="6"/>
    <x v="4"/>
    <n v="4"/>
    <n v="7"/>
    <x v="136"/>
    <d v="1899-12-30T00:11:23"/>
  </r>
  <r>
    <x v="7"/>
    <x v="0"/>
    <n v="23.02"/>
    <x v="2"/>
    <x v="0"/>
    <x v="6"/>
    <x v="4"/>
    <n v="4"/>
    <n v="7"/>
    <x v="136"/>
    <d v="1899-12-30T00:33:00"/>
  </r>
  <r>
    <x v="7"/>
    <x v="0"/>
    <n v="23.02"/>
    <x v="2"/>
    <x v="0"/>
    <x v="6"/>
    <x v="4"/>
    <n v="4"/>
    <n v="7"/>
    <x v="136"/>
    <d v="1899-12-30T00:34:48"/>
  </r>
  <r>
    <x v="7"/>
    <x v="0"/>
    <n v="23.02"/>
    <x v="5"/>
    <x v="0"/>
    <x v="6"/>
    <x v="4"/>
    <n v="4"/>
    <n v="7"/>
    <x v="136"/>
    <d v="1899-12-30T00:35:52"/>
  </r>
  <r>
    <x v="2"/>
    <x v="0"/>
    <n v="32.82"/>
    <x v="0"/>
    <x v="1"/>
    <x v="6"/>
    <x v="4"/>
    <n v="4"/>
    <n v="7"/>
    <x v="136"/>
    <d v="1899-12-30T00:23:34"/>
  </r>
  <r>
    <x v="5"/>
    <x v="0"/>
    <n v="32.82"/>
    <x v="7"/>
    <x v="2"/>
    <x v="6"/>
    <x v="4"/>
    <n v="4"/>
    <n v="7"/>
    <x v="136"/>
    <d v="1899-12-30T00:18:23"/>
  </r>
  <r>
    <x v="6"/>
    <x v="0"/>
    <n v="32.82"/>
    <x v="0"/>
    <x v="2"/>
    <x v="6"/>
    <x v="4"/>
    <n v="4"/>
    <n v="7"/>
    <x v="136"/>
    <d v="1899-12-30T00:30:51"/>
  </r>
  <r>
    <x v="15"/>
    <x v="0"/>
    <n v="32.82"/>
    <x v="1"/>
    <x v="2"/>
    <x v="6"/>
    <x v="4"/>
    <n v="4"/>
    <n v="7"/>
    <x v="136"/>
    <d v="1899-12-30T00:19:42"/>
  </r>
  <r>
    <x v="15"/>
    <x v="0"/>
    <n v="32.82"/>
    <x v="0"/>
    <x v="2"/>
    <x v="6"/>
    <x v="4"/>
    <n v="4"/>
    <n v="7"/>
    <x v="136"/>
    <d v="1899-12-30T00:22:00"/>
  </r>
  <r>
    <x v="15"/>
    <x v="0"/>
    <n v="32.82"/>
    <x v="0"/>
    <x v="2"/>
    <x v="6"/>
    <x v="4"/>
    <n v="4"/>
    <n v="7"/>
    <x v="136"/>
    <d v="1899-12-30T00:46:19"/>
  </r>
  <r>
    <x v="7"/>
    <x v="0"/>
    <n v="23.02"/>
    <x v="2"/>
    <x v="0"/>
    <x v="0"/>
    <x v="4"/>
    <n v="5"/>
    <n v="7"/>
    <x v="137"/>
    <d v="1899-12-30T00:03:02"/>
  </r>
  <r>
    <x v="7"/>
    <x v="0"/>
    <n v="27.92"/>
    <x v="3"/>
    <x v="0"/>
    <x v="0"/>
    <x v="4"/>
    <n v="5"/>
    <n v="7"/>
    <x v="137"/>
    <d v="1899-12-30T00:16:21"/>
  </r>
  <r>
    <x v="1"/>
    <x v="0"/>
    <n v="32.82"/>
    <x v="0"/>
    <x v="1"/>
    <x v="0"/>
    <x v="4"/>
    <n v="5"/>
    <n v="7"/>
    <x v="137"/>
    <d v="1899-12-30T00:58:38"/>
  </r>
  <r>
    <x v="1"/>
    <x v="0"/>
    <n v="27.92"/>
    <x v="3"/>
    <x v="1"/>
    <x v="0"/>
    <x v="4"/>
    <n v="5"/>
    <n v="7"/>
    <x v="137"/>
    <d v="1899-12-30T00:59:55"/>
  </r>
  <r>
    <x v="8"/>
    <x v="0"/>
    <n v="32.82"/>
    <x v="0"/>
    <x v="1"/>
    <x v="0"/>
    <x v="4"/>
    <n v="5"/>
    <n v="7"/>
    <x v="137"/>
    <d v="1899-12-30T00:09:21"/>
  </r>
  <r>
    <x v="8"/>
    <x v="0"/>
    <n v="32.82"/>
    <x v="4"/>
    <x v="1"/>
    <x v="0"/>
    <x v="4"/>
    <n v="5"/>
    <n v="7"/>
    <x v="137"/>
    <d v="1899-12-30T00:11:22"/>
  </r>
  <r>
    <x v="4"/>
    <x v="0"/>
    <n v="32.82"/>
    <x v="0"/>
    <x v="1"/>
    <x v="0"/>
    <x v="4"/>
    <n v="5"/>
    <n v="7"/>
    <x v="137"/>
    <d v="1899-12-30T00:36:19"/>
  </r>
  <r>
    <x v="4"/>
    <x v="0"/>
    <n v="32.82"/>
    <x v="0"/>
    <x v="1"/>
    <x v="0"/>
    <x v="4"/>
    <n v="5"/>
    <n v="7"/>
    <x v="137"/>
    <d v="1899-12-30T00:37:36"/>
  </r>
  <r>
    <x v="12"/>
    <x v="0"/>
    <n v="23.02"/>
    <x v="2"/>
    <x v="0"/>
    <x v="1"/>
    <x v="4"/>
    <n v="6"/>
    <n v="7"/>
    <x v="138"/>
    <d v="1899-12-30T00:05:45"/>
  </r>
  <r>
    <x v="12"/>
    <x v="0"/>
    <n v="32.82"/>
    <x v="0"/>
    <x v="0"/>
    <x v="1"/>
    <x v="4"/>
    <n v="6"/>
    <n v="7"/>
    <x v="138"/>
    <d v="1899-12-30T00:06:49"/>
  </r>
  <r>
    <x v="12"/>
    <x v="0"/>
    <n v="23.02"/>
    <x v="2"/>
    <x v="0"/>
    <x v="1"/>
    <x v="4"/>
    <n v="6"/>
    <n v="7"/>
    <x v="138"/>
    <d v="1899-12-30T00:07:51"/>
  </r>
  <r>
    <x v="10"/>
    <x v="0"/>
    <n v="32.82"/>
    <x v="0"/>
    <x v="0"/>
    <x v="1"/>
    <x v="4"/>
    <n v="6"/>
    <n v="7"/>
    <x v="138"/>
    <d v="1899-12-30T00:00:54"/>
  </r>
  <r>
    <x v="10"/>
    <x v="0"/>
    <n v="32.82"/>
    <x v="0"/>
    <x v="0"/>
    <x v="1"/>
    <x v="4"/>
    <n v="6"/>
    <n v="7"/>
    <x v="138"/>
    <d v="1899-12-30T00:02:28"/>
  </r>
  <r>
    <x v="0"/>
    <x v="0"/>
    <n v="23.02"/>
    <x v="2"/>
    <x v="0"/>
    <x v="1"/>
    <x v="4"/>
    <n v="6"/>
    <n v="7"/>
    <x v="138"/>
    <d v="1899-12-30T00:39:21"/>
  </r>
  <r>
    <x v="3"/>
    <x v="0"/>
    <n v="32.82"/>
    <x v="0"/>
    <x v="1"/>
    <x v="1"/>
    <x v="4"/>
    <n v="6"/>
    <n v="7"/>
    <x v="138"/>
    <d v="1899-12-30T00:15:09"/>
  </r>
  <r>
    <x v="0"/>
    <x v="0"/>
    <n v="32.82"/>
    <x v="4"/>
    <x v="0"/>
    <x v="2"/>
    <x v="4"/>
    <n v="7"/>
    <n v="7"/>
    <x v="139"/>
    <d v="1899-12-30T00:30:56"/>
  </r>
  <r>
    <x v="7"/>
    <x v="0"/>
    <n v="32.82"/>
    <x v="7"/>
    <x v="0"/>
    <x v="2"/>
    <x v="4"/>
    <n v="7"/>
    <n v="7"/>
    <x v="139"/>
    <d v="1899-12-30T00:39:29"/>
  </r>
  <r>
    <x v="2"/>
    <x v="0"/>
    <n v="23.02"/>
    <x v="5"/>
    <x v="1"/>
    <x v="2"/>
    <x v="4"/>
    <n v="7"/>
    <n v="7"/>
    <x v="139"/>
    <d v="1899-12-30T00:34:31"/>
  </r>
  <r>
    <x v="2"/>
    <x v="0"/>
    <n v="32.82"/>
    <x v="0"/>
    <x v="1"/>
    <x v="2"/>
    <x v="4"/>
    <n v="7"/>
    <n v="7"/>
    <x v="139"/>
    <d v="1899-12-30T00:42:31"/>
  </r>
  <r>
    <x v="12"/>
    <x v="0"/>
    <n v="23.02"/>
    <x v="2"/>
    <x v="0"/>
    <x v="3"/>
    <x v="4"/>
    <n v="1"/>
    <n v="7"/>
    <x v="140"/>
    <d v="1899-12-30T00:13:23"/>
  </r>
  <r>
    <x v="12"/>
    <x v="0"/>
    <n v="23.02"/>
    <x v="2"/>
    <x v="0"/>
    <x v="3"/>
    <x v="4"/>
    <n v="1"/>
    <n v="7"/>
    <x v="140"/>
    <d v="1899-12-30T00:40:50"/>
  </r>
  <r>
    <x v="0"/>
    <x v="0"/>
    <n v="27.92"/>
    <x v="3"/>
    <x v="0"/>
    <x v="3"/>
    <x v="4"/>
    <n v="1"/>
    <n v="7"/>
    <x v="140"/>
    <d v="1899-12-30T00:15:37"/>
  </r>
  <r>
    <x v="4"/>
    <x v="0"/>
    <n v="32.82"/>
    <x v="0"/>
    <x v="1"/>
    <x v="3"/>
    <x v="4"/>
    <n v="1"/>
    <n v="7"/>
    <x v="140"/>
    <d v="1899-12-30T00:44:38"/>
  </r>
  <r>
    <x v="12"/>
    <x v="0"/>
    <n v="32.82"/>
    <x v="0"/>
    <x v="0"/>
    <x v="4"/>
    <x v="4"/>
    <n v="2"/>
    <n v="7"/>
    <x v="141"/>
    <d v="1899-12-30T00:12:56"/>
  </r>
  <r>
    <x v="12"/>
    <x v="0"/>
    <n v="23.02"/>
    <x v="2"/>
    <x v="0"/>
    <x v="4"/>
    <x v="4"/>
    <n v="2"/>
    <n v="7"/>
    <x v="141"/>
    <d v="1899-12-30T00:40:19"/>
  </r>
  <r>
    <x v="12"/>
    <x v="0"/>
    <n v="27.92"/>
    <x v="3"/>
    <x v="0"/>
    <x v="4"/>
    <x v="4"/>
    <n v="2"/>
    <n v="7"/>
    <x v="141"/>
    <d v="1899-12-30T00:44:54"/>
  </r>
  <r>
    <x v="12"/>
    <x v="0"/>
    <n v="32.82"/>
    <x v="4"/>
    <x v="0"/>
    <x v="4"/>
    <x v="4"/>
    <n v="2"/>
    <n v="7"/>
    <x v="141"/>
    <d v="1899-12-30T00:49:25"/>
  </r>
  <r>
    <x v="12"/>
    <x v="0"/>
    <n v="32.82"/>
    <x v="0"/>
    <x v="0"/>
    <x v="4"/>
    <x v="4"/>
    <n v="2"/>
    <n v="7"/>
    <x v="141"/>
    <d v="1899-12-30T00:51:10"/>
  </r>
  <r>
    <x v="10"/>
    <x v="0"/>
    <n v="23.02"/>
    <x v="2"/>
    <x v="0"/>
    <x v="4"/>
    <x v="4"/>
    <n v="2"/>
    <n v="7"/>
    <x v="141"/>
    <d v="1899-12-30T00:01:46"/>
  </r>
  <r>
    <x v="0"/>
    <x v="0"/>
    <n v="27.92"/>
    <x v="3"/>
    <x v="0"/>
    <x v="4"/>
    <x v="4"/>
    <n v="2"/>
    <n v="7"/>
    <x v="141"/>
    <d v="1899-12-30T00:03:37"/>
  </r>
  <r>
    <x v="3"/>
    <x v="0"/>
    <n v="27.92"/>
    <x v="3"/>
    <x v="1"/>
    <x v="4"/>
    <x v="4"/>
    <n v="2"/>
    <n v="7"/>
    <x v="141"/>
    <d v="1899-12-30T00:20:05"/>
  </r>
  <r>
    <x v="3"/>
    <x v="0"/>
    <n v="32.82"/>
    <x v="0"/>
    <x v="1"/>
    <x v="4"/>
    <x v="4"/>
    <n v="2"/>
    <n v="7"/>
    <x v="141"/>
    <d v="1899-12-30T00:21:01"/>
  </r>
  <r>
    <x v="15"/>
    <x v="0"/>
    <n v="32.82"/>
    <x v="0"/>
    <x v="2"/>
    <x v="4"/>
    <x v="4"/>
    <n v="2"/>
    <n v="7"/>
    <x v="141"/>
    <d v="1899-12-30T00:01:41"/>
  </r>
  <r>
    <x v="15"/>
    <x v="0"/>
    <n v="23.02"/>
    <x v="2"/>
    <x v="2"/>
    <x v="4"/>
    <x v="4"/>
    <n v="2"/>
    <n v="7"/>
    <x v="141"/>
    <d v="1899-12-30T00:23:14"/>
  </r>
  <r>
    <x v="15"/>
    <x v="0"/>
    <n v="23.02"/>
    <x v="2"/>
    <x v="2"/>
    <x v="4"/>
    <x v="4"/>
    <n v="2"/>
    <n v="7"/>
    <x v="141"/>
    <d v="1899-12-30T00:24:23"/>
  </r>
  <r>
    <x v="10"/>
    <x v="0"/>
    <n v="27.92"/>
    <x v="3"/>
    <x v="0"/>
    <x v="5"/>
    <x v="4"/>
    <n v="3"/>
    <n v="7"/>
    <x v="142"/>
    <d v="1899-12-30T00:16:10"/>
  </r>
  <r>
    <x v="10"/>
    <x v="0"/>
    <n v="27.92"/>
    <x v="3"/>
    <x v="0"/>
    <x v="5"/>
    <x v="4"/>
    <n v="3"/>
    <n v="7"/>
    <x v="142"/>
    <d v="1899-12-30T00:38:55"/>
  </r>
  <r>
    <x v="10"/>
    <x v="0"/>
    <n v="18.12"/>
    <x v="6"/>
    <x v="0"/>
    <x v="5"/>
    <x v="4"/>
    <n v="3"/>
    <n v="7"/>
    <x v="142"/>
    <d v="1899-12-30T00:54:38"/>
  </r>
  <r>
    <x v="7"/>
    <x v="0"/>
    <n v="32.82"/>
    <x v="7"/>
    <x v="0"/>
    <x v="5"/>
    <x v="4"/>
    <n v="3"/>
    <n v="7"/>
    <x v="142"/>
    <d v="1899-12-30T00:43:53"/>
  </r>
  <r>
    <x v="2"/>
    <x v="0"/>
    <n v="32.82"/>
    <x v="0"/>
    <x v="1"/>
    <x v="5"/>
    <x v="4"/>
    <n v="3"/>
    <n v="7"/>
    <x v="142"/>
    <d v="1899-12-30T00:55:14"/>
  </r>
  <r>
    <x v="8"/>
    <x v="0"/>
    <n v="18.12"/>
    <x v="6"/>
    <x v="1"/>
    <x v="5"/>
    <x v="4"/>
    <n v="3"/>
    <n v="7"/>
    <x v="142"/>
    <d v="1899-12-30T00:45:50"/>
  </r>
  <r>
    <x v="3"/>
    <x v="0"/>
    <n v="32.82"/>
    <x v="0"/>
    <x v="1"/>
    <x v="5"/>
    <x v="4"/>
    <n v="3"/>
    <n v="7"/>
    <x v="142"/>
    <d v="1899-12-30T00:18:31"/>
  </r>
  <r>
    <x v="6"/>
    <x v="0"/>
    <n v="32.82"/>
    <x v="7"/>
    <x v="2"/>
    <x v="5"/>
    <x v="4"/>
    <n v="3"/>
    <n v="7"/>
    <x v="142"/>
    <d v="1899-12-30T00:15:06"/>
  </r>
  <r>
    <x v="6"/>
    <x v="0"/>
    <n v="32.82"/>
    <x v="7"/>
    <x v="2"/>
    <x v="5"/>
    <x v="4"/>
    <n v="3"/>
    <n v="7"/>
    <x v="142"/>
    <d v="1899-12-30T00:17:00"/>
  </r>
  <r>
    <x v="15"/>
    <x v="0"/>
    <n v="27.92"/>
    <x v="3"/>
    <x v="2"/>
    <x v="5"/>
    <x v="4"/>
    <n v="3"/>
    <n v="7"/>
    <x v="142"/>
    <d v="1899-12-30T00:17:37"/>
  </r>
  <r>
    <x v="15"/>
    <x v="0"/>
    <n v="23.02"/>
    <x v="2"/>
    <x v="2"/>
    <x v="5"/>
    <x v="4"/>
    <n v="3"/>
    <n v="7"/>
    <x v="142"/>
    <d v="1899-12-30T00:18:41"/>
  </r>
  <r>
    <x v="15"/>
    <x v="0"/>
    <n v="23.02"/>
    <x v="2"/>
    <x v="2"/>
    <x v="5"/>
    <x v="4"/>
    <n v="3"/>
    <n v="7"/>
    <x v="142"/>
    <d v="1899-12-30T00:25:18"/>
  </r>
  <r>
    <x v="14"/>
    <x v="0"/>
    <n v="23.02"/>
    <x v="2"/>
    <x v="0"/>
    <x v="6"/>
    <x v="4"/>
    <n v="4"/>
    <n v="7"/>
    <x v="143"/>
    <d v="1899-12-30T00:54:48"/>
  </r>
  <r>
    <x v="12"/>
    <x v="0"/>
    <n v="32.82"/>
    <x v="0"/>
    <x v="0"/>
    <x v="6"/>
    <x v="4"/>
    <n v="4"/>
    <n v="7"/>
    <x v="143"/>
    <d v="1899-12-30T00:49:18"/>
  </r>
  <r>
    <x v="0"/>
    <x v="0"/>
    <n v="27.92"/>
    <x v="3"/>
    <x v="0"/>
    <x v="6"/>
    <x v="4"/>
    <n v="4"/>
    <n v="7"/>
    <x v="143"/>
    <d v="1899-12-30T00:29:45"/>
  </r>
  <r>
    <x v="7"/>
    <x v="0"/>
    <n v="23.02"/>
    <x v="2"/>
    <x v="0"/>
    <x v="6"/>
    <x v="4"/>
    <n v="4"/>
    <n v="7"/>
    <x v="143"/>
    <d v="1899-12-30T00:26:05"/>
  </r>
  <r>
    <x v="3"/>
    <x v="0"/>
    <n v="32.82"/>
    <x v="7"/>
    <x v="1"/>
    <x v="6"/>
    <x v="4"/>
    <n v="4"/>
    <n v="7"/>
    <x v="143"/>
    <d v="1899-12-30T00:25:07"/>
  </r>
  <r>
    <x v="6"/>
    <x v="0"/>
    <n v="32.82"/>
    <x v="7"/>
    <x v="2"/>
    <x v="6"/>
    <x v="4"/>
    <n v="4"/>
    <n v="7"/>
    <x v="143"/>
    <d v="1899-12-30T00:21:01"/>
  </r>
  <r>
    <x v="15"/>
    <x v="0"/>
    <n v="23.02"/>
    <x v="5"/>
    <x v="2"/>
    <x v="6"/>
    <x v="4"/>
    <n v="4"/>
    <n v="7"/>
    <x v="143"/>
    <d v="1899-12-30T00:06:01"/>
  </r>
  <r>
    <x v="15"/>
    <x v="0"/>
    <n v="18.12"/>
    <x v="6"/>
    <x v="2"/>
    <x v="6"/>
    <x v="4"/>
    <n v="4"/>
    <n v="7"/>
    <x v="143"/>
    <d v="1899-12-30T00:06:50"/>
  </r>
  <r>
    <x v="13"/>
    <x v="0"/>
    <n v="23.02"/>
    <x v="5"/>
    <x v="2"/>
    <x v="6"/>
    <x v="4"/>
    <n v="4"/>
    <n v="7"/>
    <x v="143"/>
    <d v="1899-12-30T00:38:51"/>
  </r>
  <r>
    <x v="13"/>
    <x v="0"/>
    <n v="32.82"/>
    <x v="4"/>
    <x v="2"/>
    <x v="6"/>
    <x v="4"/>
    <n v="4"/>
    <n v="7"/>
    <x v="143"/>
    <d v="1899-12-30T00:39:47"/>
  </r>
  <r>
    <x v="12"/>
    <x v="0"/>
    <n v="32.82"/>
    <x v="0"/>
    <x v="0"/>
    <x v="0"/>
    <x v="4"/>
    <n v="5"/>
    <n v="7"/>
    <x v="144"/>
    <d v="1899-12-30T00:33:01"/>
  </r>
  <r>
    <x v="10"/>
    <x v="0"/>
    <n v="27.92"/>
    <x v="3"/>
    <x v="0"/>
    <x v="0"/>
    <x v="4"/>
    <n v="5"/>
    <n v="7"/>
    <x v="144"/>
    <d v="1899-12-30T00:19:37"/>
  </r>
  <r>
    <x v="10"/>
    <x v="0"/>
    <n v="18.12"/>
    <x v="6"/>
    <x v="0"/>
    <x v="0"/>
    <x v="4"/>
    <n v="5"/>
    <n v="7"/>
    <x v="144"/>
    <d v="1899-12-30T00:20:34"/>
  </r>
  <r>
    <x v="10"/>
    <x v="0"/>
    <n v="23.02"/>
    <x v="5"/>
    <x v="0"/>
    <x v="0"/>
    <x v="4"/>
    <n v="5"/>
    <n v="7"/>
    <x v="144"/>
    <d v="1899-12-30T00:33:12"/>
  </r>
  <r>
    <x v="10"/>
    <x v="0"/>
    <n v="23.02"/>
    <x v="5"/>
    <x v="0"/>
    <x v="0"/>
    <x v="4"/>
    <n v="5"/>
    <n v="7"/>
    <x v="144"/>
    <d v="1899-12-30T00:34:17"/>
  </r>
  <r>
    <x v="10"/>
    <x v="0"/>
    <n v="32.82"/>
    <x v="0"/>
    <x v="0"/>
    <x v="0"/>
    <x v="4"/>
    <n v="5"/>
    <n v="7"/>
    <x v="144"/>
    <d v="1899-12-30T00:59:08"/>
  </r>
  <r>
    <x v="0"/>
    <x v="0"/>
    <n v="32.82"/>
    <x v="0"/>
    <x v="0"/>
    <x v="0"/>
    <x v="4"/>
    <n v="5"/>
    <n v="7"/>
    <x v="144"/>
    <d v="1899-12-30T00:00:03"/>
  </r>
  <r>
    <x v="7"/>
    <x v="0"/>
    <n v="27.92"/>
    <x v="3"/>
    <x v="0"/>
    <x v="0"/>
    <x v="4"/>
    <n v="5"/>
    <n v="7"/>
    <x v="144"/>
    <d v="1899-12-30T00:47:14"/>
  </r>
  <r>
    <x v="1"/>
    <x v="0"/>
    <n v="27.92"/>
    <x v="3"/>
    <x v="1"/>
    <x v="0"/>
    <x v="4"/>
    <n v="5"/>
    <n v="7"/>
    <x v="144"/>
    <d v="1899-12-30T00:07:02"/>
  </r>
  <r>
    <x v="1"/>
    <x v="0"/>
    <n v="32.82"/>
    <x v="7"/>
    <x v="1"/>
    <x v="0"/>
    <x v="4"/>
    <n v="5"/>
    <n v="7"/>
    <x v="144"/>
    <d v="1899-12-30T00:28:08"/>
  </r>
  <r>
    <x v="1"/>
    <x v="0"/>
    <n v="32.82"/>
    <x v="7"/>
    <x v="1"/>
    <x v="0"/>
    <x v="4"/>
    <n v="5"/>
    <n v="7"/>
    <x v="144"/>
    <d v="1899-12-30T00:29:18"/>
  </r>
  <r>
    <x v="2"/>
    <x v="0"/>
    <n v="32.82"/>
    <x v="0"/>
    <x v="1"/>
    <x v="0"/>
    <x v="4"/>
    <n v="5"/>
    <n v="7"/>
    <x v="144"/>
    <d v="1899-12-30T00:09:56"/>
  </r>
  <r>
    <x v="9"/>
    <x v="0"/>
    <n v="23.02"/>
    <x v="2"/>
    <x v="2"/>
    <x v="0"/>
    <x v="4"/>
    <n v="5"/>
    <n v="7"/>
    <x v="144"/>
    <d v="1899-12-30T00:23:29"/>
  </r>
  <r>
    <x v="9"/>
    <x v="0"/>
    <n v="32.82"/>
    <x v="7"/>
    <x v="2"/>
    <x v="0"/>
    <x v="4"/>
    <n v="5"/>
    <n v="7"/>
    <x v="144"/>
    <d v="1899-12-30T00:58:29"/>
  </r>
  <r>
    <x v="15"/>
    <x v="0"/>
    <n v="32.82"/>
    <x v="0"/>
    <x v="2"/>
    <x v="0"/>
    <x v="4"/>
    <n v="5"/>
    <n v="7"/>
    <x v="144"/>
    <d v="1899-12-30T00:15:10"/>
  </r>
  <r>
    <x v="13"/>
    <x v="0"/>
    <n v="27.92"/>
    <x v="3"/>
    <x v="2"/>
    <x v="0"/>
    <x v="4"/>
    <n v="5"/>
    <n v="7"/>
    <x v="144"/>
    <d v="1899-12-30T00:49:52"/>
  </r>
  <r>
    <x v="10"/>
    <x v="0"/>
    <n v="32.82"/>
    <x v="7"/>
    <x v="0"/>
    <x v="1"/>
    <x v="4"/>
    <n v="6"/>
    <n v="7"/>
    <x v="145"/>
    <d v="1899-12-30T00:09:17"/>
  </r>
  <r>
    <x v="7"/>
    <x v="0"/>
    <n v="27.92"/>
    <x v="3"/>
    <x v="0"/>
    <x v="1"/>
    <x v="4"/>
    <n v="6"/>
    <n v="7"/>
    <x v="145"/>
    <d v="1899-12-30T00:55:31"/>
  </r>
  <r>
    <x v="1"/>
    <x v="0"/>
    <n v="27.92"/>
    <x v="3"/>
    <x v="1"/>
    <x v="1"/>
    <x v="4"/>
    <n v="6"/>
    <n v="7"/>
    <x v="145"/>
    <d v="1899-12-30T00:25:10"/>
  </r>
  <r>
    <x v="1"/>
    <x v="0"/>
    <n v="18.12"/>
    <x v="6"/>
    <x v="1"/>
    <x v="1"/>
    <x v="4"/>
    <n v="6"/>
    <n v="7"/>
    <x v="145"/>
    <d v="1899-12-30T00:26:13"/>
  </r>
  <r>
    <x v="1"/>
    <x v="0"/>
    <n v="27.92"/>
    <x v="3"/>
    <x v="1"/>
    <x v="1"/>
    <x v="4"/>
    <n v="6"/>
    <n v="7"/>
    <x v="145"/>
    <d v="1899-12-30T00:33:23"/>
  </r>
  <r>
    <x v="8"/>
    <x v="0"/>
    <n v="18.12"/>
    <x v="6"/>
    <x v="1"/>
    <x v="1"/>
    <x v="4"/>
    <n v="6"/>
    <n v="7"/>
    <x v="145"/>
    <d v="1899-12-30T00:28:42"/>
  </r>
  <r>
    <x v="8"/>
    <x v="0"/>
    <n v="32.82"/>
    <x v="0"/>
    <x v="1"/>
    <x v="1"/>
    <x v="4"/>
    <n v="6"/>
    <n v="7"/>
    <x v="145"/>
    <d v="1899-12-30T00:51:53"/>
  </r>
  <r>
    <x v="9"/>
    <x v="0"/>
    <n v="32.82"/>
    <x v="7"/>
    <x v="2"/>
    <x v="1"/>
    <x v="4"/>
    <n v="6"/>
    <n v="7"/>
    <x v="145"/>
    <d v="1899-12-30T00:02:33"/>
  </r>
  <r>
    <x v="9"/>
    <x v="0"/>
    <n v="32.82"/>
    <x v="7"/>
    <x v="2"/>
    <x v="1"/>
    <x v="4"/>
    <n v="6"/>
    <n v="7"/>
    <x v="145"/>
    <d v="1899-12-30T00:03:39"/>
  </r>
  <r>
    <x v="9"/>
    <x v="0"/>
    <n v="27.92"/>
    <x v="3"/>
    <x v="2"/>
    <x v="1"/>
    <x v="4"/>
    <n v="6"/>
    <n v="7"/>
    <x v="145"/>
    <d v="1899-12-30T00:09:00"/>
  </r>
  <r>
    <x v="9"/>
    <x v="0"/>
    <n v="27.92"/>
    <x v="3"/>
    <x v="2"/>
    <x v="1"/>
    <x v="4"/>
    <n v="6"/>
    <n v="7"/>
    <x v="145"/>
    <d v="1899-12-30T00:10:08"/>
  </r>
  <r>
    <x v="11"/>
    <x v="0"/>
    <n v="32.82"/>
    <x v="0"/>
    <x v="2"/>
    <x v="1"/>
    <x v="4"/>
    <n v="6"/>
    <n v="7"/>
    <x v="145"/>
    <d v="1899-12-30T00:55:20"/>
  </r>
  <r>
    <x v="13"/>
    <x v="0"/>
    <n v="32.82"/>
    <x v="7"/>
    <x v="2"/>
    <x v="1"/>
    <x v="4"/>
    <n v="6"/>
    <n v="7"/>
    <x v="145"/>
    <d v="1899-12-30T00:56:24"/>
  </r>
  <r>
    <x v="7"/>
    <x v="0"/>
    <n v="18.12"/>
    <x v="6"/>
    <x v="0"/>
    <x v="2"/>
    <x v="4"/>
    <n v="7"/>
    <n v="7"/>
    <x v="146"/>
    <d v="1899-12-30T00:07:26"/>
  </r>
  <r>
    <x v="8"/>
    <x v="0"/>
    <n v="27.92"/>
    <x v="3"/>
    <x v="1"/>
    <x v="2"/>
    <x v="4"/>
    <n v="7"/>
    <n v="7"/>
    <x v="146"/>
    <d v="1899-12-30T00:17:54"/>
  </r>
  <r>
    <x v="8"/>
    <x v="0"/>
    <n v="32.82"/>
    <x v="0"/>
    <x v="1"/>
    <x v="2"/>
    <x v="4"/>
    <n v="7"/>
    <n v="7"/>
    <x v="146"/>
    <d v="1899-12-30T00:18:52"/>
  </r>
  <r>
    <x v="12"/>
    <x v="0"/>
    <n v="32.82"/>
    <x v="0"/>
    <x v="0"/>
    <x v="3"/>
    <x v="4"/>
    <n v="1"/>
    <n v="7"/>
    <x v="147"/>
    <d v="1899-12-30T00:12:06"/>
  </r>
  <r>
    <x v="10"/>
    <x v="0"/>
    <n v="23.02"/>
    <x v="2"/>
    <x v="0"/>
    <x v="3"/>
    <x v="4"/>
    <n v="1"/>
    <n v="7"/>
    <x v="147"/>
    <d v="1899-12-30T00:04:48"/>
  </r>
  <r>
    <x v="10"/>
    <x v="0"/>
    <n v="27.92"/>
    <x v="3"/>
    <x v="0"/>
    <x v="3"/>
    <x v="4"/>
    <n v="1"/>
    <n v="7"/>
    <x v="147"/>
    <d v="1899-12-30T00:15:46"/>
  </r>
  <r>
    <x v="10"/>
    <x v="0"/>
    <n v="23.02"/>
    <x v="2"/>
    <x v="0"/>
    <x v="3"/>
    <x v="4"/>
    <n v="1"/>
    <n v="7"/>
    <x v="147"/>
    <d v="1899-12-30T00:19:44"/>
  </r>
  <r>
    <x v="10"/>
    <x v="0"/>
    <n v="27.92"/>
    <x v="3"/>
    <x v="0"/>
    <x v="3"/>
    <x v="4"/>
    <n v="1"/>
    <n v="7"/>
    <x v="147"/>
    <d v="1899-12-30T00:51:25"/>
  </r>
  <r>
    <x v="10"/>
    <x v="0"/>
    <n v="32.82"/>
    <x v="7"/>
    <x v="0"/>
    <x v="3"/>
    <x v="4"/>
    <n v="1"/>
    <n v="7"/>
    <x v="147"/>
    <d v="1899-12-30T00:58:30"/>
  </r>
  <r>
    <x v="0"/>
    <x v="0"/>
    <n v="32.82"/>
    <x v="1"/>
    <x v="0"/>
    <x v="3"/>
    <x v="4"/>
    <n v="1"/>
    <n v="7"/>
    <x v="147"/>
    <d v="1899-12-30T00:43:44"/>
  </r>
  <r>
    <x v="0"/>
    <x v="0"/>
    <n v="32.82"/>
    <x v="1"/>
    <x v="0"/>
    <x v="3"/>
    <x v="4"/>
    <n v="1"/>
    <n v="7"/>
    <x v="147"/>
    <d v="1899-12-30T00:44:56"/>
  </r>
  <r>
    <x v="6"/>
    <x v="0"/>
    <n v="32.82"/>
    <x v="7"/>
    <x v="2"/>
    <x v="3"/>
    <x v="4"/>
    <n v="1"/>
    <n v="7"/>
    <x v="147"/>
    <d v="1899-12-30T00:06:31"/>
  </r>
  <r>
    <x v="6"/>
    <x v="0"/>
    <n v="23.02"/>
    <x v="2"/>
    <x v="2"/>
    <x v="3"/>
    <x v="4"/>
    <n v="1"/>
    <n v="7"/>
    <x v="147"/>
    <d v="1899-12-30T00:30:16"/>
  </r>
  <r>
    <x v="15"/>
    <x v="0"/>
    <n v="32.82"/>
    <x v="4"/>
    <x v="2"/>
    <x v="3"/>
    <x v="4"/>
    <n v="1"/>
    <n v="7"/>
    <x v="147"/>
    <d v="1899-12-30T00:57:34"/>
  </r>
  <r>
    <x v="14"/>
    <x v="0"/>
    <n v="27.92"/>
    <x v="3"/>
    <x v="0"/>
    <x v="4"/>
    <x v="4"/>
    <n v="2"/>
    <n v="7"/>
    <x v="148"/>
    <d v="1899-12-30T00:41:11"/>
  </r>
  <r>
    <x v="12"/>
    <x v="0"/>
    <n v="23.02"/>
    <x v="5"/>
    <x v="0"/>
    <x v="4"/>
    <x v="4"/>
    <n v="2"/>
    <n v="7"/>
    <x v="148"/>
    <d v="1899-12-30T00:05:07"/>
  </r>
  <r>
    <x v="12"/>
    <x v="0"/>
    <n v="32.82"/>
    <x v="7"/>
    <x v="0"/>
    <x v="4"/>
    <x v="4"/>
    <n v="2"/>
    <n v="7"/>
    <x v="148"/>
    <d v="1899-12-30T00:20:51"/>
  </r>
  <r>
    <x v="10"/>
    <x v="0"/>
    <n v="27.92"/>
    <x v="3"/>
    <x v="0"/>
    <x v="4"/>
    <x v="4"/>
    <n v="2"/>
    <n v="7"/>
    <x v="148"/>
    <d v="1899-12-30T00:13:43"/>
  </r>
  <r>
    <x v="0"/>
    <x v="0"/>
    <n v="23.02"/>
    <x v="5"/>
    <x v="0"/>
    <x v="4"/>
    <x v="4"/>
    <n v="2"/>
    <n v="7"/>
    <x v="148"/>
    <d v="1899-12-30T00:17:11"/>
  </r>
  <r>
    <x v="0"/>
    <x v="0"/>
    <n v="27.92"/>
    <x v="3"/>
    <x v="0"/>
    <x v="4"/>
    <x v="4"/>
    <n v="2"/>
    <n v="7"/>
    <x v="148"/>
    <d v="1899-12-30T00:19:34"/>
  </r>
  <r>
    <x v="0"/>
    <x v="0"/>
    <n v="32.82"/>
    <x v="0"/>
    <x v="0"/>
    <x v="4"/>
    <x v="4"/>
    <n v="2"/>
    <n v="7"/>
    <x v="148"/>
    <d v="1899-12-30T00:23:20"/>
  </r>
  <r>
    <x v="7"/>
    <x v="0"/>
    <n v="23.02"/>
    <x v="2"/>
    <x v="0"/>
    <x v="4"/>
    <x v="4"/>
    <n v="2"/>
    <n v="7"/>
    <x v="148"/>
    <d v="1899-12-30T00:12:07"/>
  </r>
  <r>
    <x v="7"/>
    <x v="0"/>
    <n v="18.12"/>
    <x v="6"/>
    <x v="0"/>
    <x v="4"/>
    <x v="4"/>
    <n v="2"/>
    <n v="7"/>
    <x v="148"/>
    <d v="1899-12-30T00:13:16"/>
  </r>
  <r>
    <x v="7"/>
    <x v="0"/>
    <n v="27.92"/>
    <x v="3"/>
    <x v="0"/>
    <x v="4"/>
    <x v="4"/>
    <n v="2"/>
    <n v="7"/>
    <x v="148"/>
    <d v="1899-12-30T00:14:42"/>
  </r>
  <r>
    <x v="7"/>
    <x v="0"/>
    <n v="27.92"/>
    <x v="3"/>
    <x v="0"/>
    <x v="4"/>
    <x v="4"/>
    <n v="2"/>
    <n v="7"/>
    <x v="148"/>
    <d v="1899-12-30T00:16:02"/>
  </r>
  <r>
    <x v="7"/>
    <x v="0"/>
    <n v="27.92"/>
    <x v="3"/>
    <x v="0"/>
    <x v="4"/>
    <x v="4"/>
    <n v="2"/>
    <n v="7"/>
    <x v="148"/>
    <d v="1899-12-30T00:30:35"/>
  </r>
  <r>
    <x v="7"/>
    <x v="0"/>
    <n v="27.92"/>
    <x v="3"/>
    <x v="0"/>
    <x v="4"/>
    <x v="4"/>
    <n v="2"/>
    <n v="7"/>
    <x v="148"/>
    <d v="1899-12-30T00:31:41"/>
  </r>
  <r>
    <x v="1"/>
    <x v="0"/>
    <n v="32.82"/>
    <x v="0"/>
    <x v="1"/>
    <x v="4"/>
    <x v="4"/>
    <n v="2"/>
    <n v="7"/>
    <x v="148"/>
    <d v="1899-12-30T00:08:08"/>
  </r>
  <r>
    <x v="3"/>
    <x v="0"/>
    <n v="27.92"/>
    <x v="3"/>
    <x v="1"/>
    <x v="4"/>
    <x v="4"/>
    <n v="2"/>
    <n v="7"/>
    <x v="148"/>
    <d v="1899-12-30T00:16:10"/>
  </r>
  <r>
    <x v="4"/>
    <x v="0"/>
    <n v="23.02"/>
    <x v="5"/>
    <x v="1"/>
    <x v="4"/>
    <x v="4"/>
    <n v="2"/>
    <n v="7"/>
    <x v="148"/>
    <d v="1899-12-30T00:08:53"/>
  </r>
  <r>
    <x v="4"/>
    <x v="0"/>
    <n v="27.92"/>
    <x v="3"/>
    <x v="1"/>
    <x v="4"/>
    <x v="4"/>
    <n v="2"/>
    <n v="7"/>
    <x v="148"/>
    <d v="1899-12-30T00:09:44"/>
  </r>
  <r>
    <x v="11"/>
    <x v="0"/>
    <n v="18.12"/>
    <x v="6"/>
    <x v="2"/>
    <x v="4"/>
    <x v="4"/>
    <n v="2"/>
    <n v="7"/>
    <x v="148"/>
    <d v="1899-12-30T00:24:20"/>
  </r>
  <r>
    <x v="11"/>
    <x v="0"/>
    <n v="27.92"/>
    <x v="3"/>
    <x v="2"/>
    <x v="4"/>
    <x v="4"/>
    <n v="2"/>
    <n v="7"/>
    <x v="148"/>
    <d v="1899-12-30T00:53:52"/>
  </r>
  <r>
    <x v="11"/>
    <x v="0"/>
    <n v="27.92"/>
    <x v="3"/>
    <x v="2"/>
    <x v="4"/>
    <x v="4"/>
    <n v="2"/>
    <n v="7"/>
    <x v="148"/>
    <d v="1899-12-30T00:54:46"/>
  </r>
  <r>
    <x v="11"/>
    <x v="0"/>
    <n v="27.92"/>
    <x v="3"/>
    <x v="2"/>
    <x v="4"/>
    <x v="4"/>
    <n v="2"/>
    <n v="7"/>
    <x v="148"/>
    <d v="1899-12-30T00:57:02"/>
  </r>
  <r>
    <x v="15"/>
    <x v="0"/>
    <n v="32.82"/>
    <x v="0"/>
    <x v="2"/>
    <x v="4"/>
    <x v="4"/>
    <n v="2"/>
    <n v="7"/>
    <x v="148"/>
    <d v="1899-12-30T00:33:19"/>
  </r>
  <r>
    <x v="13"/>
    <x v="0"/>
    <n v="23.02"/>
    <x v="2"/>
    <x v="2"/>
    <x v="4"/>
    <x v="4"/>
    <n v="2"/>
    <n v="7"/>
    <x v="148"/>
    <d v="1899-12-30T00:15:22"/>
  </r>
  <r>
    <x v="13"/>
    <x v="0"/>
    <n v="32.82"/>
    <x v="7"/>
    <x v="2"/>
    <x v="4"/>
    <x v="4"/>
    <n v="2"/>
    <n v="7"/>
    <x v="148"/>
    <d v="1899-12-30T00:16:19"/>
  </r>
  <r>
    <x v="14"/>
    <x v="0"/>
    <n v="27.92"/>
    <x v="3"/>
    <x v="0"/>
    <x v="5"/>
    <x v="4"/>
    <n v="3"/>
    <n v="7"/>
    <x v="149"/>
    <d v="1899-12-30T00:59:52"/>
  </r>
  <r>
    <x v="12"/>
    <x v="0"/>
    <n v="27.92"/>
    <x v="3"/>
    <x v="0"/>
    <x v="5"/>
    <x v="4"/>
    <n v="3"/>
    <n v="7"/>
    <x v="149"/>
    <d v="1899-12-30T00:37:42"/>
  </r>
  <r>
    <x v="12"/>
    <x v="0"/>
    <n v="27.92"/>
    <x v="3"/>
    <x v="0"/>
    <x v="5"/>
    <x v="4"/>
    <n v="3"/>
    <n v="7"/>
    <x v="149"/>
    <d v="1899-12-30T00:38:38"/>
  </r>
  <r>
    <x v="10"/>
    <x v="0"/>
    <n v="23.02"/>
    <x v="2"/>
    <x v="0"/>
    <x v="5"/>
    <x v="4"/>
    <n v="3"/>
    <n v="7"/>
    <x v="149"/>
    <d v="1899-12-30T00:54:45"/>
  </r>
  <r>
    <x v="10"/>
    <x v="0"/>
    <n v="23.02"/>
    <x v="2"/>
    <x v="0"/>
    <x v="5"/>
    <x v="4"/>
    <n v="3"/>
    <n v="7"/>
    <x v="149"/>
    <d v="1899-12-30T00:55:45"/>
  </r>
  <r>
    <x v="10"/>
    <x v="0"/>
    <n v="27.92"/>
    <x v="3"/>
    <x v="0"/>
    <x v="5"/>
    <x v="4"/>
    <n v="3"/>
    <n v="7"/>
    <x v="149"/>
    <d v="1899-12-30T00:58:16"/>
  </r>
  <r>
    <x v="2"/>
    <x v="0"/>
    <n v="32.82"/>
    <x v="4"/>
    <x v="1"/>
    <x v="5"/>
    <x v="4"/>
    <n v="3"/>
    <n v="7"/>
    <x v="149"/>
    <d v="1899-12-30T00:11:43"/>
  </r>
  <r>
    <x v="2"/>
    <x v="0"/>
    <n v="32.82"/>
    <x v="0"/>
    <x v="1"/>
    <x v="5"/>
    <x v="4"/>
    <n v="3"/>
    <n v="7"/>
    <x v="149"/>
    <d v="1899-12-30T00:14:00"/>
  </r>
  <r>
    <x v="2"/>
    <x v="0"/>
    <n v="27.92"/>
    <x v="3"/>
    <x v="1"/>
    <x v="5"/>
    <x v="4"/>
    <n v="3"/>
    <n v="7"/>
    <x v="149"/>
    <d v="1899-12-30T00:24:49"/>
  </r>
  <r>
    <x v="9"/>
    <x v="0"/>
    <n v="23.02"/>
    <x v="5"/>
    <x v="2"/>
    <x v="5"/>
    <x v="4"/>
    <n v="3"/>
    <n v="7"/>
    <x v="149"/>
    <d v="1899-12-30T00:48:07"/>
  </r>
  <r>
    <x v="5"/>
    <x v="0"/>
    <n v="32.82"/>
    <x v="0"/>
    <x v="2"/>
    <x v="5"/>
    <x v="4"/>
    <n v="3"/>
    <n v="7"/>
    <x v="149"/>
    <d v="1899-12-30T00:04:15"/>
  </r>
  <r>
    <x v="6"/>
    <x v="0"/>
    <n v="23.02"/>
    <x v="5"/>
    <x v="2"/>
    <x v="5"/>
    <x v="4"/>
    <n v="3"/>
    <n v="7"/>
    <x v="149"/>
    <d v="1899-12-30T00:22:39"/>
  </r>
  <r>
    <x v="6"/>
    <x v="0"/>
    <n v="32.82"/>
    <x v="0"/>
    <x v="2"/>
    <x v="5"/>
    <x v="4"/>
    <n v="3"/>
    <n v="7"/>
    <x v="149"/>
    <d v="1899-12-30T00:28:45"/>
  </r>
  <r>
    <x v="11"/>
    <x v="0"/>
    <n v="32.82"/>
    <x v="4"/>
    <x v="2"/>
    <x v="5"/>
    <x v="4"/>
    <n v="3"/>
    <n v="7"/>
    <x v="149"/>
    <d v="1899-12-30T00:46:42"/>
  </r>
  <r>
    <x v="11"/>
    <x v="0"/>
    <n v="23.02"/>
    <x v="5"/>
    <x v="2"/>
    <x v="5"/>
    <x v="4"/>
    <n v="3"/>
    <n v="7"/>
    <x v="149"/>
    <d v="1899-12-30T00:50:07"/>
  </r>
  <r>
    <x v="11"/>
    <x v="0"/>
    <n v="32.82"/>
    <x v="0"/>
    <x v="2"/>
    <x v="5"/>
    <x v="4"/>
    <n v="3"/>
    <n v="7"/>
    <x v="149"/>
    <d v="1899-12-30T00:51:10"/>
  </r>
  <r>
    <x v="11"/>
    <x v="0"/>
    <n v="32.82"/>
    <x v="7"/>
    <x v="2"/>
    <x v="5"/>
    <x v="4"/>
    <n v="3"/>
    <n v="7"/>
    <x v="149"/>
    <d v="1899-12-30T00:52:15"/>
  </r>
  <r>
    <x v="11"/>
    <x v="0"/>
    <n v="23.02"/>
    <x v="5"/>
    <x v="2"/>
    <x v="5"/>
    <x v="4"/>
    <n v="3"/>
    <n v="7"/>
    <x v="149"/>
    <d v="1899-12-30T00:53:35"/>
  </r>
  <r>
    <x v="11"/>
    <x v="0"/>
    <n v="27.92"/>
    <x v="3"/>
    <x v="2"/>
    <x v="5"/>
    <x v="4"/>
    <n v="3"/>
    <n v="7"/>
    <x v="149"/>
    <d v="1899-12-30T00:59:25"/>
  </r>
  <r>
    <x v="15"/>
    <x v="0"/>
    <n v="32.82"/>
    <x v="0"/>
    <x v="2"/>
    <x v="5"/>
    <x v="4"/>
    <n v="3"/>
    <n v="7"/>
    <x v="149"/>
    <d v="1899-12-30T21:26:26"/>
  </r>
  <r>
    <x v="15"/>
    <x v="0"/>
    <n v="32.82"/>
    <x v="0"/>
    <x v="2"/>
    <x v="5"/>
    <x v="4"/>
    <n v="3"/>
    <n v="7"/>
    <x v="149"/>
    <d v="1899-12-30T00:54:12"/>
  </r>
  <r>
    <x v="15"/>
    <x v="0"/>
    <n v="32.82"/>
    <x v="0"/>
    <x v="2"/>
    <x v="5"/>
    <x v="4"/>
    <n v="3"/>
    <n v="7"/>
    <x v="149"/>
    <d v="1899-12-30T00:55:17"/>
  </r>
  <r>
    <x v="14"/>
    <x v="0"/>
    <n v="27.92"/>
    <x v="3"/>
    <x v="0"/>
    <x v="6"/>
    <x v="5"/>
    <n v="4"/>
    <n v="8"/>
    <x v="150"/>
    <d v="1899-12-30T00:31:00"/>
  </r>
  <r>
    <x v="10"/>
    <x v="0"/>
    <n v="27.92"/>
    <x v="3"/>
    <x v="0"/>
    <x v="6"/>
    <x v="5"/>
    <n v="4"/>
    <n v="8"/>
    <x v="150"/>
    <d v="1899-12-30T00:25:20"/>
  </r>
  <r>
    <x v="7"/>
    <x v="0"/>
    <n v="27.92"/>
    <x v="3"/>
    <x v="0"/>
    <x v="6"/>
    <x v="5"/>
    <n v="4"/>
    <n v="8"/>
    <x v="150"/>
    <d v="1899-12-30T00:04:14"/>
  </r>
  <r>
    <x v="7"/>
    <x v="0"/>
    <n v="27.92"/>
    <x v="3"/>
    <x v="0"/>
    <x v="6"/>
    <x v="5"/>
    <n v="4"/>
    <n v="8"/>
    <x v="150"/>
    <d v="1899-12-30T00:22:46"/>
  </r>
  <r>
    <x v="2"/>
    <x v="0"/>
    <n v="23.02"/>
    <x v="5"/>
    <x v="1"/>
    <x v="6"/>
    <x v="5"/>
    <n v="4"/>
    <n v="8"/>
    <x v="150"/>
    <d v="1899-12-30T00:22:47"/>
  </r>
  <r>
    <x v="2"/>
    <x v="0"/>
    <n v="32.82"/>
    <x v="7"/>
    <x v="1"/>
    <x v="6"/>
    <x v="5"/>
    <n v="4"/>
    <n v="8"/>
    <x v="150"/>
    <d v="1899-12-30T00:23:37"/>
  </r>
  <r>
    <x v="2"/>
    <x v="0"/>
    <n v="32.82"/>
    <x v="7"/>
    <x v="1"/>
    <x v="6"/>
    <x v="5"/>
    <n v="4"/>
    <n v="8"/>
    <x v="150"/>
    <d v="1899-12-30T00:49:07"/>
  </r>
  <r>
    <x v="3"/>
    <x v="0"/>
    <n v="27.92"/>
    <x v="3"/>
    <x v="1"/>
    <x v="6"/>
    <x v="5"/>
    <n v="4"/>
    <n v="8"/>
    <x v="150"/>
    <d v="1899-12-30T00:43:44"/>
  </r>
  <r>
    <x v="4"/>
    <x v="0"/>
    <n v="27.92"/>
    <x v="3"/>
    <x v="1"/>
    <x v="6"/>
    <x v="5"/>
    <n v="4"/>
    <n v="8"/>
    <x v="150"/>
    <d v="1899-12-30T00:24:01"/>
  </r>
  <r>
    <x v="4"/>
    <x v="0"/>
    <n v="23.02"/>
    <x v="2"/>
    <x v="1"/>
    <x v="6"/>
    <x v="5"/>
    <n v="4"/>
    <n v="8"/>
    <x v="150"/>
    <d v="1899-12-30T00:26:07"/>
  </r>
  <r>
    <x v="9"/>
    <x v="0"/>
    <n v="23.02"/>
    <x v="2"/>
    <x v="2"/>
    <x v="6"/>
    <x v="5"/>
    <n v="4"/>
    <n v="8"/>
    <x v="150"/>
    <d v="1899-12-30T00:23:35"/>
  </r>
  <r>
    <x v="11"/>
    <x v="0"/>
    <n v="32.82"/>
    <x v="7"/>
    <x v="2"/>
    <x v="6"/>
    <x v="5"/>
    <n v="4"/>
    <n v="8"/>
    <x v="150"/>
    <d v="1899-12-30T00:41:28"/>
  </r>
  <r>
    <x v="10"/>
    <x v="0"/>
    <n v="27.92"/>
    <x v="3"/>
    <x v="0"/>
    <x v="0"/>
    <x v="5"/>
    <n v="5"/>
    <n v="8"/>
    <x v="151"/>
    <d v="1899-12-30T00:01:54"/>
  </r>
  <r>
    <x v="10"/>
    <x v="0"/>
    <n v="27.92"/>
    <x v="3"/>
    <x v="0"/>
    <x v="0"/>
    <x v="5"/>
    <n v="5"/>
    <n v="8"/>
    <x v="151"/>
    <d v="1899-12-30T00:35:03"/>
  </r>
  <r>
    <x v="7"/>
    <x v="0"/>
    <n v="23.02"/>
    <x v="5"/>
    <x v="0"/>
    <x v="0"/>
    <x v="5"/>
    <n v="5"/>
    <n v="8"/>
    <x v="151"/>
    <d v="1899-12-30T00:09:20"/>
  </r>
  <r>
    <x v="5"/>
    <x v="0"/>
    <n v="27.92"/>
    <x v="3"/>
    <x v="2"/>
    <x v="0"/>
    <x v="5"/>
    <n v="5"/>
    <n v="8"/>
    <x v="151"/>
    <d v="1899-12-30T00:08:35"/>
  </r>
  <r>
    <x v="15"/>
    <x v="0"/>
    <n v="32.82"/>
    <x v="0"/>
    <x v="2"/>
    <x v="0"/>
    <x v="5"/>
    <n v="5"/>
    <n v="8"/>
    <x v="151"/>
    <d v="1899-12-30T00:23:04"/>
  </r>
  <r>
    <x v="12"/>
    <x v="0"/>
    <n v="27.92"/>
    <x v="3"/>
    <x v="0"/>
    <x v="1"/>
    <x v="5"/>
    <n v="6"/>
    <n v="8"/>
    <x v="152"/>
    <d v="1899-12-30T00:53:47"/>
  </r>
  <r>
    <x v="10"/>
    <x v="0"/>
    <n v="27.92"/>
    <x v="3"/>
    <x v="0"/>
    <x v="1"/>
    <x v="5"/>
    <n v="6"/>
    <n v="8"/>
    <x v="152"/>
    <d v="1899-12-30T00:37:19"/>
  </r>
  <r>
    <x v="10"/>
    <x v="0"/>
    <n v="27.92"/>
    <x v="3"/>
    <x v="0"/>
    <x v="1"/>
    <x v="5"/>
    <n v="6"/>
    <n v="8"/>
    <x v="152"/>
    <d v="1899-12-30T00:38:41"/>
  </r>
  <r>
    <x v="0"/>
    <x v="0"/>
    <n v="27.92"/>
    <x v="3"/>
    <x v="0"/>
    <x v="1"/>
    <x v="5"/>
    <n v="6"/>
    <n v="8"/>
    <x v="152"/>
    <d v="1899-12-30T00:12:26"/>
  </r>
  <r>
    <x v="7"/>
    <x v="0"/>
    <n v="23.02"/>
    <x v="5"/>
    <x v="0"/>
    <x v="1"/>
    <x v="5"/>
    <n v="6"/>
    <n v="8"/>
    <x v="152"/>
    <d v="1899-12-30T00:20:27"/>
  </r>
  <r>
    <x v="7"/>
    <x v="0"/>
    <n v="23.02"/>
    <x v="5"/>
    <x v="0"/>
    <x v="1"/>
    <x v="5"/>
    <n v="6"/>
    <n v="8"/>
    <x v="152"/>
    <d v="1899-12-30T11:21:22"/>
  </r>
  <r>
    <x v="7"/>
    <x v="0"/>
    <n v="18.12"/>
    <x v="6"/>
    <x v="0"/>
    <x v="1"/>
    <x v="5"/>
    <n v="6"/>
    <n v="8"/>
    <x v="152"/>
    <d v="1899-12-30T00:56:37"/>
  </r>
  <r>
    <x v="7"/>
    <x v="0"/>
    <n v="27.92"/>
    <x v="3"/>
    <x v="0"/>
    <x v="1"/>
    <x v="5"/>
    <n v="6"/>
    <n v="8"/>
    <x v="152"/>
    <d v="1899-12-30T00:57:31"/>
  </r>
  <r>
    <x v="1"/>
    <x v="0"/>
    <n v="27.92"/>
    <x v="3"/>
    <x v="1"/>
    <x v="1"/>
    <x v="5"/>
    <n v="6"/>
    <n v="8"/>
    <x v="152"/>
    <d v="1899-12-30T00:03:36"/>
  </r>
  <r>
    <x v="4"/>
    <x v="0"/>
    <n v="27.92"/>
    <x v="3"/>
    <x v="1"/>
    <x v="1"/>
    <x v="5"/>
    <n v="6"/>
    <n v="8"/>
    <x v="152"/>
    <d v="1899-12-30T00:54:00"/>
  </r>
  <r>
    <x v="5"/>
    <x v="0"/>
    <n v="32.82"/>
    <x v="7"/>
    <x v="2"/>
    <x v="1"/>
    <x v="5"/>
    <n v="6"/>
    <n v="8"/>
    <x v="152"/>
    <d v="1899-12-30T00:38:42"/>
  </r>
  <r>
    <x v="15"/>
    <x v="0"/>
    <n v="32.82"/>
    <x v="0"/>
    <x v="2"/>
    <x v="1"/>
    <x v="5"/>
    <n v="6"/>
    <n v="8"/>
    <x v="152"/>
    <d v="1899-12-30T00:30:49"/>
  </r>
  <r>
    <x v="15"/>
    <x v="0"/>
    <n v="32.82"/>
    <x v="0"/>
    <x v="2"/>
    <x v="1"/>
    <x v="5"/>
    <n v="6"/>
    <n v="8"/>
    <x v="152"/>
    <d v="1899-12-30T00:33:06"/>
  </r>
  <r>
    <x v="12"/>
    <x v="0"/>
    <n v="32.82"/>
    <x v="7"/>
    <x v="0"/>
    <x v="2"/>
    <x v="5"/>
    <n v="7"/>
    <n v="8"/>
    <x v="153"/>
    <d v="1899-12-30T00:18:37"/>
  </r>
  <r>
    <x v="0"/>
    <x v="0"/>
    <n v="27.92"/>
    <x v="3"/>
    <x v="0"/>
    <x v="2"/>
    <x v="5"/>
    <n v="7"/>
    <n v="8"/>
    <x v="153"/>
    <d v="1899-12-30T00:37:51"/>
  </r>
  <r>
    <x v="7"/>
    <x v="0"/>
    <n v="32.82"/>
    <x v="7"/>
    <x v="0"/>
    <x v="2"/>
    <x v="5"/>
    <n v="7"/>
    <n v="8"/>
    <x v="153"/>
    <d v="1899-12-30T00:50:55"/>
  </r>
  <r>
    <x v="7"/>
    <x v="0"/>
    <n v="27.92"/>
    <x v="3"/>
    <x v="0"/>
    <x v="2"/>
    <x v="5"/>
    <n v="7"/>
    <n v="8"/>
    <x v="153"/>
    <d v="1899-12-30T00:52:33"/>
  </r>
  <r>
    <x v="3"/>
    <x v="0"/>
    <n v="32.82"/>
    <x v="7"/>
    <x v="1"/>
    <x v="2"/>
    <x v="5"/>
    <n v="7"/>
    <n v="8"/>
    <x v="153"/>
    <d v="1899-12-30T00:33:52"/>
  </r>
  <r>
    <x v="3"/>
    <x v="0"/>
    <n v="32.82"/>
    <x v="7"/>
    <x v="1"/>
    <x v="2"/>
    <x v="5"/>
    <n v="7"/>
    <n v="8"/>
    <x v="153"/>
    <d v="1899-12-30T00:35:06"/>
  </r>
  <r>
    <x v="12"/>
    <x v="0"/>
    <n v="23.02"/>
    <x v="5"/>
    <x v="0"/>
    <x v="3"/>
    <x v="5"/>
    <n v="1"/>
    <n v="8"/>
    <x v="154"/>
    <d v="1899-12-30T00:50:06"/>
  </r>
  <r>
    <x v="10"/>
    <x v="0"/>
    <n v="27.92"/>
    <x v="3"/>
    <x v="0"/>
    <x v="3"/>
    <x v="5"/>
    <n v="1"/>
    <n v="8"/>
    <x v="154"/>
    <d v="1899-12-30T00:19:19"/>
  </r>
  <r>
    <x v="7"/>
    <x v="0"/>
    <n v="23.02"/>
    <x v="5"/>
    <x v="0"/>
    <x v="3"/>
    <x v="5"/>
    <n v="1"/>
    <n v="8"/>
    <x v="154"/>
    <d v="1899-12-30T00:20:47"/>
  </r>
  <r>
    <x v="2"/>
    <x v="0"/>
    <n v="32.82"/>
    <x v="7"/>
    <x v="1"/>
    <x v="3"/>
    <x v="5"/>
    <n v="1"/>
    <n v="8"/>
    <x v="154"/>
    <d v="1899-12-30T00:45:23"/>
  </r>
  <r>
    <x v="4"/>
    <x v="0"/>
    <n v="32.82"/>
    <x v="0"/>
    <x v="1"/>
    <x v="3"/>
    <x v="5"/>
    <n v="1"/>
    <n v="8"/>
    <x v="154"/>
    <d v="1899-12-30T00:05:58"/>
  </r>
  <r>
    <x v="4"/>
    <x v="0"/>
    <n v="32.82"/>
    <x v="0"/>
    <x v="1"/>
    <x v="3"/>
    <x v="5"/>
    <n v="1"/>
    <n v="8"/>
    <x v="154"/>
    <d v="1899-12-30T00:07:19"/>
  </r>
  <r>
    <x v="9"/>
    <x v="0"/>
    <n v="32.82"/>
    <x v="0"/>
    <x v="2"/>
    <x v="3"/>
    <x v="5"/>
    <n v="1"/>
    <n v="8"/>
    <x v="154"/>
    <d v="1899-12-30T00:44:25"/>
  </r>
  <r>
    <x v="9"/>
    <x v="0"/>
    <n v="27.92"/>
    <x v="3"/>
    <x v="2"/>
    <x v="3"/>
    <x v="5"/>
    <n v="1"/>
    <n v="8"/>
    <x v="154"/>
    <d v="1899-12-30T00:45:32"/>
  </r>
  <r>
    <x v="6"/>
    <x v="0"/>
    <n v="32.82"/>
    <x v="0"/>
    <x v="2"/>
    <x v="3"/>
    <x v="5"/>
    <n v="1"/>
    <n v="8"/>
    <x v="154"/>
    <d v="1899-12-30T00:20:03"/>
  </r>
  <r>
    <x v="6"/>
    <x v="0"/>
    <n v="32.82"/>
    <x v="0"/>
    <x v="2"/>
    <x v="3"/>
    <x v="5"/>
    <n v="1"/>
    <n v="8"/>
    <x v="154"/>
    <d v="1899-12-30T00:34:52"/>
  </r>
  <r>
    <x v="11"/>
    <x v="0"/>
    <n v="32.82"/>
    <x v="4"/>
    <x v="2"/>
    <x v="3"/>
    <x v="5"/>
    <n v="1"/>
    <n v="8"/>
    <x v="154"/>
    <d v="1899-12-30T00:49:31"/>
  </r>
  <r>
    <x v="11"/>
    <x v="0"/>
    <n v="32.82"/>
    <x v="4"/>
    <x v="2"/>
    <x v="3"/>
    <x v="5"/>
    <n v="1"/>
    <n v="8"/>
    <x v="154"/>
    <d v="1899-12-30T00:50:22"/>
  </r>
  <r>
    <x v="13"/>
    <x v="0"/>
    <n v="27.92"/>
    <x v="3"/>
    <x v="2"/>
    <x v="3"/>
    <x v="5"/>
    <n v="1"/>
    <n v="8"/>
    <x v="154"/>
    <d v="1899-12-30T00:43:48"/>
  </r>
  <r>
    <x v="0"/>
    <x v="0"/>
    <n v="23.02"/>
    <x v="5"/>
    <x v="0"/>
    <x v="4"/>
    <x v="5"/>
    <n v="2"/>
    <n v="8"/>
    <x v="155"/>
    <d v="1899-12-30T00:21:03"/>
  </r>
  <r>
    <x v="0"/>
    <x v="0"/>
    <n v="32.82"/>
    <x v="1"/>
    <x v="0"/>
    <x v="4"/>
    <x v="5"/>
    <n v="2"/>
    <n v="8"/>
    <x v="155"/>
    <d v="1899-12-30T00:32:32"/>
  </r>
  <r>
    <x v="9"/>
    <x v="0"/>
    <n v="32.82"/>
    <x v="7"/>
    <x v="2"/>
    <x v="4"/>
    <x v="5"/>
    <n v="2"/>
    <n v="8"/>
    <x v="155"/>
    <d v="1899-12-30T00:40:49"/>
  </r>
  <r>
    <x v="9"/>
    <x v="0"/>
    <n v="32.82"/>
    <x v="0"/>
    <x v="2"/>
    <x v="4"/>
    <x v="5"/>
    <n v="2"/>
    <n v="8"/>
    <x v="155"/>
    <d v="1899-12-30T00:42:53"/>
  </r>
  <r>
    <x v="9"/>
    <x v="0"/>
    <n v="32.82"/>
    <x v="4"/>
    <x v="2"/>
    <x v="4"/>
    <x v="5"/>
    <n v="2"/>
    <n v="8"/>
    <x v="155"/>
    <d v="1899-12-30T00:44:05"/>
  </r>
  <r>
    <x v="6"/>
    <x v="0"/>
    <n v="32.82"/>
    <x v="0"/>
    <x v="2"/>
    <x v="4"/>
    <x v="5"/>
    <n v="2"/>
    <n v="8"/>
    <x v="155"/>
    <d v="1899-12-30T00:04:05"/>
  </r>
  <r>
    <x v="6"/>
    <x v="0"/>
    <n v="27.92"/>
    <x v="3"/>
    <x v="2"/>
    <x v="4"/>
    <x v="5"/>
    <n v="2"/>
    <n v="8"/>
    <x v="155"/>
    <d v="1899-12-30T00:05:23"/>
  </r>
  <r>
    <x v="11"/>
    <x v="0"/>
    <n v="32.82"/>
    <x v="0"/>
    <x v="2"/>
    <x v="4"/>
    <x v="5"/>
    <n v="2"/>
    <n v="8"/>
    <x v="155"/>
    <d v="1899-12-30T00:04:27"/>
  </r>
  <r>
    <x v="12"/>
    <x v="0"/>
    <n v="27.92"/>
    <x v="3"/>
    <x v="0"/>
    <x v="5"/>
    <x v="5"/>
    <n v="3"/>
    <n v="8"/>
    <x v="156"/>
    <d v="1899-12-30T00:55:49"/>
  </r>
  <r>
    <x v="1"/>
    <x v="0"/>
    <n v="23.02"/>
    <x v="2"/>
    <x v="1"/>
    <x v="5"/>
    <x v="5"/>
    <n v="3"/>
    <n v="8"/>
    <x v="156"/>
    <d v="1899-12-30T00:12:27"/>
  </r>
  <r>
    <x v="1"/>
    <x v="0"/>
    <n v="23.02"/>
    <x v="2"/>
    <x v="1"/>
    <x v="5"/>
    <x v="5"/>
    <n v="3"/>
    <n v="8"/>
    <x v="156"/>
    <d v="1899-12-30T00:13:41"/>
  </r>
  <r>
    <x v="2"/>
    <x v="0"/>
    <n v="18.12"/>
    <x v="6"/>
    <x v="1"/>
    <x v="5"/>
    <x v="5"/>
    <n v="3"/>
    <n v="8"/>
    <x v="156"/>
    <d v="1899-12-30T00:11:16"/>
  </r>
  <r>
    <x v="4"/>
    <x v="0"/>
    <n v="23.02"/>
    <x v="2"/>
    <x v="1"/>
    <x v="5"/>
    <x v="5"/>
    <n v="3"/>
    <n v="8"/>
    <x v="156"/>
    <d v="1899-12-30T00:19:02"/>
  </r>
  <r>
    <x v="6"/>
    <x v="0"/>
    <n v="32.82"/>
    <x v="0"/>
    <x v="2"/>
    <x v="5"/>
    <x v="5"/>
    <n v="3"/>
    <n v="8"/>
    <x v="156"/>
    <d v="1899-12-30T00:36:23"/>
  </r>
  <r>
    <x v="11"/>
    <x v="0"/>
    <n v="32.82"/>
    <x v="4"/>
    <x v="2"/>
    <x v="5"/>
    <x v="5"/>
    <n v="3"/>
    <n v="8"/>
    <x v="156"/>
    <d v="1899-12-30T00:40:09"/>
  </r>
  <r>
    <x v="15"/>
    <x v="0"/>
    <n v="32.82"/>
    <x v="7"/>
    <x v="2"/>
    <x v="5"/>
    <x v="5"/>
    <n v="3"/>
    <n v="8"/>
    <x v="156"/>
    <d v="1899-12-30T00:18:12"/>
  </r>
  <r>
    <x v="13"/>
    <x v="0"/>
    <n v="32.82"/>
    <x v="0"/>
    <x v="2"/>
    <x v="5"/>
    <x v="5"/>
    <n v="3"/>
    <n v="8"/>
    <x v="156"/>
    <d v="1899-12-30T00:28:57"/>
  </r>
  <r>
    <x v="13"/>
    <x v="0"/>
    <n v="32.82"/>
    <x v="0"/>
    <x v="2"/>
    <x v="5"/>
    <x v="5"/>
    <n v="3"/>
    <n v="8"/>
    <x v="156"/>
    <d v="1899-12-30T00:32:16"/>
  </r>
  <r>
    <x v="12"/>
    <x v="0"/>
    <n v="18.12"/>
    <x v="6"/>
    <x v="0"/>
    <x v="6"/>
    <x v="5"/>
    <n v="4"/>
    <n v="8"/>
    <x v="157"/>
    <d v="1899-12-30T00:46:36"/>
  </r>
  <r>
    <x v="12"/>
    <x v="0"/>
    <n v="23.02"/>
    <x v="5"/>
    <x v="0"/>
    <x v="6"/>
    <x v="5"/>
    <n v="4"/>
    <n v="8"/>
    <x v="157"/>
    <d v="1899-12-30T00:47:29"/>
  </r>
  <r>
    <x v="1"/>
    <x v="0"/>
    <n v="27.92"/>
    <x v="3"/>
    <x v="1"/>
    <x v="6"/>
    <x v="5"/>
    <n v="4"/>
    <n v="8"/>
    <x v="157"/>
    <d v="1899-12-30T00:27:05"/>
  </r>
  <r>
    <x v="1"/>
    <x v="0"/>
    <n v="23.02"/>
    <x v="5"/>
    <x v="1"/>
    <x v="6"/>
    <x v="5"/>
    <n v="4"/>
    <n v="8"/>
    <x v="157"/>
    <d v="1899-12-30T00:43:20"/>
  </r>
  <r>
    <x v="1"/>
    <x v="0"/>
    <n v="23.02"/>
    <x v="5"/>
    <x v="1"/>
    <x v="6"/>
    <x v="5"/>
    <n v="4"/>
    <n v="8"/>
    <x v="157"/>
    <d v="1899-12-30T00:44:15"/>
  </r>
  <r>
    <x v="4"/>
    <x v="0"/>
    <n v="32.82"/>
    <x v="7"/>
    <x v="1"/>
    <x v="6"/>
    <x v="5"/>
    <n v="4"/>
    <n v="8"/>
    <x v="157"/>
    <d v="1899-12-30T00:57:53"/>
  </r>
  <r>
    <x v="9"/>
    <x v="0"/>
    <n v="32.82"/>
    <x v="7"/>
    <x v="2"/>
    <x v="6"/>
    <x v="5"/>
    <n v="4"/>
    <n v="8"/>
    <x v="157"/>
    <d v="1899-12-30T00:17:52"/>
  </r>
  <r>
    <x v="15"/>
    <x v="0"/>
    <n v="27.92"/>
    <x v="3"/>
    <x v="2"/>
    <x v="6"/>
    <x v="5"/>
    <n v="4"/>
    <n v="8"/>
    <x v="157"/>
    <d v="1899-12-30T00:25:59"/>
  </r>
  <r>
    <x v="14"/>
    <x v="0"/>
    <n v="32.82"/>
    <x v="0"/>
    <x v="0"/>
    <x v="0"/>
    <x v="5"/>
    <n v="5"/>
    <n v="8"/>
    <x v="158"/>
    <d v="1899-12-30T00:35:22"/>
  </r>
  <r>
    <x v="10"/>
    <x v="0"/>
    <n v="23.02"/>
    <x v="2"/>
    <x v="0"/>
    <x v="0"/>
    <x v="5"/>
    <n v="5"/>
    <n v="8"/>
    <x v="158"/>
    <d v="1899-12-30T00:53:35"/>
  </r>
  <r>
    <x v="0"/>
    <x v="0"/>
    <n v="23.02"/>
    <x v="5"/>
    <x v="0"/>
    <x v="0"/>
    <x v="5"/>
    <n v="5"/>
    <n v="8"/>
    <x v="158"/>
    <d v="1899-12-30T00:13:08"/>
  </r>
  <r>
    <x v="0"/>
    <x v="0"/>
    <n v="27.92"/>
    <x v="3"/>
    <x v="0"/>
    <x v="0"/>
    <x v="5"/>
    <n v="5"/>
    <n v="8"/>
    <x v="158"/>
    <d v="1899-12-30T00:26:47"/>
  </r>
  <r>
    <x v="7"/>
    <x v="0"/>
    <n v="32.82"/>
    <x v="0"/>
    <x v="0"/>
    <x v="0"/>
    <x v="5"/>
    <n v="5"/>
    <n v="8"/>
    <x v="158"/>
    <d v="1899-12-30T00:28:09"/>
  </r>
  <r>
    <x v="7"/>
    <x v="0"/>
    <n v="23.02"/>
    <x v="2"/>
    <x v="0"/>
    <x v="0"/>
    <x v="5"/>
    <n v="5"/>
    <n v="8"/>
    <x v="158"/>
    <d v="1899-12-30T00:29:49"/>
  </r>
  <r>
    <x v="5"/>
    <x v="0"/>
    <n v="23.02"/>
    <x v="2"/>
    <x v="2"/>
    <x v="0"/>
    <x v="5"/>
    <n v="5"/>
    <n v="8"/>
    <x v="158"/>
    <d v="1899-12-30T00:56:28"/>
  </r>
  <r>
    <x v="6"/>
    <x v="0"/>
    <n v="32.82"/>
    <x v="1"/>
    <x v="2"/>
    <x v="0"/>
    <x v="5"/>
    <n v="5"/>
    <n v="8"/>
    <x v="158"/>
    <d v="1899-12-30T00:03:07"/>
  </r>
  <r>
    <x v="12"/>
    <x v="0"/>
    <n v="32.82"/>
    <x v="7"/>
    <x v="0"/>
    <x v="1"/>
    <x v="5"/>
    <n v="6"/>
    <n v="8"/>
    <x v="159"/>
    <d v="1899-12-30T00:36:45"/>
  </r>
  <r>
    <x v="12"/>
    <x v="0"/>
    <n v="27.92"/>
    <x v="3"/>
    <x v="0"/>
    <x v="1"/>
    <x v="5"/>
    <n v="6"/>
    <n v="8"/>
    <x v="159"/>
    <d v="1899-12-30T00:37:57"/>
  </r>
  <r>
    <x v="12"/>
    <x v="0"/>
    <n v="23.02"/>
    <x v="5"/>
    <x v="0"/>
    <x v="1"/>
    <x v="5"/>
    <n v="6"/>
    <n v="8"/>
    <x v="159"/>
    <d v="1899-12-30T00:45:09"/>
  </r>
  <r>
    <x v="7"/>
    <x v="0"/>
    <n v="23.02"/>
    <x v="5"/>
    <x v="0"/>
    <x v="1"/>
    <x v="5"/>
    <n v="6"/>
    <n v="8"/>
    <x v="159"/>
    <d v="1899-12-30T00:52:34"/>
  </r>
  <r>
    <x v="7"/>
    <x v="0"/>
    <n v="23.02"/>
    <x v="2"/>
    <x v="0"/>
    <x v="1"/>
    <x v="5"/>
    <n v="6"/>
    <n v="8"/>
    <x v="159"/>
    <d v="1899-12-30T00:54:24"/>
  </r>
  <r>
    <x v="1"/>
    <x v="0"/>
    <n v="32.82"/>
    <x v="0"/>
    <x v="1"/>
    <x v="1"/>
    <x v="5"/>
    <n v="6"/>
    <n v="8"/>
    <x v="159"/>
    <d v="1899-12-30T00:15:11"/>
  </r>
  <r>
    <x v="1"/>
    <x v="0"/>
    <n v="27.92"/>
    <x v="3"/>
    <x v="1"/>
    <x v="1"/>
    <x v="5"/>
    <n v="6"/>
    <n v="8"/>
    <x v="159"/>
    <d v="1899-12-30T00:33:13"/>
  </r>
  <r>
    <x v="4"/>
    <x v="0"/>
    <n v="32.82"/>
    <x v="0"/>
    <x v="1"/>
    <x v="1"/>
    <x v="5"/>
    <n v="6"/>
    <n v="8"/>
    <x v="159"/>
    <d v="1899-12-30T00:06:12"/>
  </r>
  <r>
    <x v="15"/>
    <x v="0"/>
    <n v="32.82"/>
    <x v="4"/>
    <x v="2"/>
    <x v="1"/>
    <x v="5"/>
    <n v="6"/>
    <n v="8"/>
    <x v="159"/>
    <d v="1899-12-30T00:16:49"/>
  </r>
  <r>
    <x v="15"/>
    <x v="0"/>
    <n v="32.82"/>
    <x v="4"/>
    <x v="2"/>
    <x v="1"/>
    <x v="5"/>
    <n v="6"/>
    <n v="8"/>
    <x v="159"/>
    <d v="1899-12-30T00:17:41"/>
  </r>
  <r>
    <x v="15"/>
    <x v="0"/>
    <n v="32.82"/>
    <x v="4"/>
    <x v="2"/>
    <x v="1"/>
    <x v="5"/>
    <n v="6"/>
    <n v="8"/>
    <x v="159"/>
    <d v="1899-12-30T00:37:42"/>
  </r>
  <r>
    <x v="10"/>
    <x v="0"/>
    <n v="32.82"/>
    <x v="0"/>
    <x v="0"/>
    <x v="2"/>
    <x v="5"/>
    <n v="7"/>
    <n v="8"/>
    <x v="160"/>
    <d v="1899-12-30T00:52:37"/>
  </r>
  <r>
    <x v="10"/>
    <x v="0"/>
    <n v="32.82"/>
    <x v="0"/>
    <x v="0"/>
    <x v="2"/>
    <x v="5"/>
    <n v="7"/>
    <n v="8"/>
    <x v="160"/>
    <d v="1899-12-30T00:53:44"/>
  </r>
  <r>
    <x v="0"/>
    <x v="0"/>
    <n v="27.92"/>
    <x v="3"/>
    <x v="0"/>
    <x v="2"/>
    <x v="5"/>
    <n v="7"/>
    <n v="8"/>
    <x v="160"/>
    <d v="1899-12-30T00:17:24"/>
  </r>
  <r>
    <x v="7"/>
    <x v="0"/>
    <n v="32.82"/>
    <x v="7"/>
    <x v="0"/>
    <x v="2"/>
    <x v="5"/>
    <n v="7"/>
    <n v="8"/>
    <x v="160"/>
    <d v="1899-12-30T00:56:41"/>
  </r>
  <r>
    <x v="7"/>
    <x v="0"/>
    <n v="27.92"/>
    <x v="3"/>
    <x v="0"/>
    <x v="2"/>
    <x v="5"/>
    <n v="7"/>
    <n v="8"/>
    <x v="160"/>
    <d v="1899-12-30T00:57:41"/>
  </r>
  <r>
    <x v="1"/>
    <x v="0"/>
    <n v="23.02"/>
    <x v="5"/>
    <x v="1"/>
    <x v="2"/>
    <x v="5"/>
    <n v="7"/>
    <n v="8"/>
    <x v="160"/>
    <d v="1899-12-30T00:20:20"/>
  </r>
  <r>
    <x v="3"/>
    <x v="0"/>
    <n v="32.82"/>
    <x v="0"/>
    <x v="1"/>
    <x v="2"/>
    <x v="5"/>
    <n v="7"/>
    <n v="8"/>
    <x v="160"/>
    <d v="1899-12-30T00:53:52"/>
  </r>
  <r>
    <x v="3"/>
    <x v="0"/>
    <n v="27.92"/>
    <x v="3"/>
    <x v="1"/>
    <x v="2"/>
    <x v="5"/>
    <n v="7"/>
    <n v="8"/>
    <x v="160"/>
    <d v="1899-12-30T00:55:15"/>
  </r>
  <r>
    <x v="3"/>
    <x v="0"/>
    <n v="32.82"/>
    <x v="4"/>
    <x v="1"/>
    <x v="2"/>
    <x v="5"/>
    <n v="7"/>
    <n v="8"/>
    <x v="160"/>
    <d v="1899-12-30T00:56:28"/>
  </r>
  <r>
    <x v="4"/>
    <x v="0"/>
    <n v="32.82"/>
    <x v="7"/>
    <x v="1"/>
    <x v="2"/>
    <x v="5"/>
    <n v="7"/>
    <n v="8"/>
    <x v="160"/>
    <d v="1899-12-30T00:27:35"/>
  </r>
  <r>
    <x v="4"/>
    <x v="0"/>
    <n v="18.12"/>
    <x v="6"/>
    <x v="1"/>
    <x v="2"/>
    <x v="5"/>
    <n v="7"/>
    <n v="8"/>
    <x v="160"/>
    <d v="1899-12-30T00:28:38"/>
  </r>
  <r>
    <x v="15"/>
    <x v="0"/>
    <n v="23.02"/>
    <x v="5"/>
    <x v="2"/>
    <x v="2"/>
    <x v="5"/>
    <n v="7"/>
    <n v="8"/>
    <x v="160"/>
    <d v="1899-12-30T00:30:33"/>
  </r>
  <r>
    <x v="15"/>
    <x v="0"/>
    <n v="32.82"/>
    <x v="0"/>
    <x v="2"/>
    <x v="2"/>
    <x v="5"/>
    <n v="7"/>
    <n v="8"/>
    <x v="160"/>
    <d v="1899-12-30T00:41:09"/>
  </r>
  <r>
    <x v="15"/>
    <x v="0"/>
    <n v="32.82"/>
    <x v="0"/>
    <x v="2"/>
    <x v="2"/>
    <x v="5"/>
    <n v="7"/>
    <n v="8"/>
    <x v="160"/>
    <d v="1899-12-30T00:43:10"/>
  </r>
  <r>
    <x v="13"/>
    <x v="0"/>
    <n v="32.82"/>
    <x v="7"/>
    <x v="2"/>
    <x v="2"/>
    <x v="5"/>
    <n v="7"/>
    <n v="8"/>
    <x v="160"/>
    <d v="1899-12-30T00:39:30"/>
  </r>
  <r>
    <x v="12"/>
    <x v="0"/>
    <n v="32.82"/>
    <x v="1"/>
    <x v="0"/>
    <x v="3"/>
    <x v="5"/>
    <n v="1"/>
    <n v="8"/>
    <x v="161"/>
    <d v="1899-12-30T00:26:20"/>
  </r>
  <r>
    <x v="7"/>
    <x v="0"/>
    <n v="27.92"/>
    <x v="3"/>
    <x v="0"/>
    <x v="3"/>
    <x v="5"/>
    <n v="1"/>
    <n v="8"/>
    <x v="161"/>
    <d v="1899-12-30T00:15:05"/>
  </r>
  <r>
    <x v="7"/>
    <x v="0"/>
    <n v="23.02"/>
    <x v="2"/>
    <x v="0"/>
    <x v="3"/>
    <x v="5"/>
    <n v="1"/>
    <n v="8"/>
    <x v="161"/>
    <d v="1899-12-30T00:19:30"/>
  </r>
  <r>
    <x v="7"/>
    <x v="0"/>
    <n v="32.82"/>
    <x v="0"/>
    <x v="0"/>
    <x v="3"/>
    <x v="5"/>
    <n v="1"/>
    <n v="8"/>
    <x v="161"/>
    <d v="1899-12-30T00:20:24"/>
  </r>
  <r>
    <x v="7"/>
    <x v="0"/>
    <n v="32.82"/>
    <x v="0"/>
    <x v="0"/>
    <x v="3"/>
    <x v="5"/>
    <n v="1"/>
    <n v="8"/>
    <x v="161"/>
    <d v="1899-12-30T00:44:28"/>
  </r>
  <r>
    <x v="8"/>
    <x v="0"/>
    <n v="18.12"/>
    <x v="6"/>
    <x v="1"/>
    <x v="3"/>
    <x v="5"/>
    <n v="1"/>
    <n v="8"/>
    <x v="161"/>
    <d v="1899-12-30T00:04:03"/>
  </r>
  <r>
    <x v="8"/>
    <x v="0"/>
    <n v="27.92"/>
    <x v="3"/>
    <x v="1"/>
    <x v="3"/>
    <x v="5"/>
    <n v="1"/>
    <n v="8"/>
    <x v="161"/>
    <d v="1899-12-30T00:05:07"/>
  </r>
  <r>
    <x v="3"/>
    <x v="0"/>
    <n v="27.92"/>
    <x v="3"/>
    <x v="1"/>
    <x v="3"/>
    <x v="5"/>
    <n v="1"/>
    <n v="8"/>
    <x v="161"/>
    <d v="1899-12-30T00:33:33"/>
  </r>
  <r>
    <x v="5"/>
    <x v="0"/>
    <n v="27.92"/>
    <x v="3"/>
    <x v="2"/>
    <x v="3"/>
    <x v="5"/>
    <n v="1"/>
    <n v="8"/>
    <x v="161"/>
    <d v="1899-12-30T00:05:05"/>
  </r>
  <r>
    <x v="15"/>
    <x v="0"/>
    <n v="27.92"/>
    <x v="3"/>
    <x v="2"/>
    <x v="3"/>
    <x v="5"/>
    <n v="1"/>
    <n v="8"/>
    <x v="161"/>
    <d v="1899-12-30T00:25:49"/>
  </r>
  <r>
    <x v="15"/>
    <x v="0"/>
    <n v="32.82"/>
    <x v="0"/>
    <x v="2"/>
    <x v="3"/>
    <x v="5"/>
    <n v="1"/>
    <n v="8"/>
    <x v="161"/>
    <d v="1899-12-30T00:37:38"/>
  </r>
  <r>
    <x v="13"/>
    <x v="0"/>
    <n v="32.82"/>
    <x v="7"/>
    <x v="2"/>
    <x v="3"/>
    <x v="5"/>
    <n v="1"/>
    <n v="8"/>
    <x v="161"/>
    <d v="1899-12-30T00:58:20"/>
  </r>
  <r>
    <x v="13"/>
    <x v="0"/>
    <n v="32.82"/>
    <x v="7"/>
    <x v="2"/>
    <x v="3"/>
    <x v="5"/>
    <n v="1"/>
    <n v="8"/>
    <x v="161"/>
    <d v="1899-12-30T00:59:19"/>
  </r>
  <r>
    <x v="12"/>
    <x v="0"/>
    <n v="27.92"/>
    <x v="3"/>
    <x v="0"/>
    <x v="4"/>
    <x v="5"/>
    <n v="2"/>
    <n v="8"/>
    <x v="162"/>
    <d v="1899-12-30T00:44:30"/>
  </r>
  <r>
    <x v="10"/>
    <x v="0"/>
    <n v="27.92"/>
    <x v="3"/>
    <x v="0"/>
    <x v="4"/>
    <x v="5"/>
    <n v="2"/>
    <n v="8"/>
    <x v="162"/>
    <d v="1899-12-30T00:14:22"/>
  </r>
  <r>
    <x v="10"/>
    <x v="0"/>
    <n v="27.92"/>
    <x v="3"/>
    <x v="0"/>
    <x v="4"/>
    <x v="5"/>
    <n v="2"/>
    <n v="8"/>
    <x v="162"/>
    <d v="1899-12-30T00:45:56"/>
  </r>
  <r>
    <x v="0"/>
    <x v="0"/>
    <n v="23.02"/>
    <x v="5"/>
    <x v="0"/>
    <x v="4"/>
    <x v="5"/>
    <n v="2"/>
    <n v="8"/>
    <x v="162"/>
    <d v="1899-12-30T00:42:09"/>
  </r>
  <r>
    <x v="7"/>
    <x v="0"/>
    <n v="32.82"/>
    <x v="0"/>
    <x v="0"/>
    <x v="4"/>
    <x v="5"/>
    <n v="2"/>
    <n v="8"/>
    <x v="162"/>
    <d v="1899-12-30T00:59:48"/>
  </r>
  <r>
    <x v="2"/>
    <x v="0"/>
    <n v="27.92"/>
    <x v="3"/>
    <x v="1"/>
    <x v="4"/>
    <x v="5"/>
    <n v="2"/>
    <n v="8"/>
    <x v="162"/>
    <d v="1899-12-30T00:01:42"/>
  </r>
  <r>
    <x v="8"/>
    <x v="0"/>
    <n v="32.82"/>
    <x v="0"/>
    <x v="1"/>
    <x v="4"/>
    <x v="5"/>
    <n v="2"/>
    <n v="8"/>
    <x v="162"/>
    <d v="1899-12-30T00:45:40"/>
  </r>
  <r>
    <x v="3"/>
    <x v="0"/>
    <n v="32.82"/>
    <x v="7"/>
    <x v="1"/>
    <x v="4"/>
    <x v="5"/>
    <n v="2"/>
    <n v="8"/>
    <x v="162"/>
    <d v="1899-12-30T00:47:57"/>
  </r>
  <r>
    <x v="3"/>
    <x v="0"/>
    <n v="27.92"/>
    <x v="3"/>
    <x v="1"/>
    <x v="4"/>
    <x v="5"/>
    <n v="2"/>
    <n v="8"/>
    <x v="162"/>
    <d v="1899-12-30T00:55:30"/>
  </r>
  <r>
    <x v="11"/>
    <x v="0"/>
    <n v="32.82"/>
    <x v="0"/>
    <x v="2"/>
    <x v="4"/>
    <x v="5"/>
    <n v="2"/>
    <n v="8"/>
    <x v="162"/>
    <d v="1899-12-30T00:29:35"/>
  </r>
  <r>
    <x v="11"/>
    <x v="0"/>
    <n v="32.82"/>
    <x v="4"/>
    <x v="2"/>
    <x v="4"/>
    <x v="5"/>
    <n v="2"/>
    <n v="8"/>
    <x v="162"/>
    <d v="1899-12-30T00:30:37"/>
  </r>
  <r>
    <x v="11"/>
    <x v="0"/>
    <n v="32.82"/>
    <x v="7"/>
    <x v="2"/>
    <x v="4"/>
    <x v="5"/>
    <n v="2"/>
    <n v="8"/>
    <x v="162"/>
    <d v="1899-12-30T00:44:23"/>
  </r>
  <r>
    <x v="15"/>
    <x v="0"/>
    <n v="23.02"/>
    <x v="5"/>
    <x v="2"/>
    <x v="4"/>
    <x v="5"/>
    <n v="2"/>
    <n v="8"/>
    <x v="162"/>
    <d v="1899-12-30T00:00:45"/>
  </r>
  <r>
    <x v="14"/>
    <x v="0"/>
    <n v="32.82"/>
    <x v="0"/>
    <x v="0"/>
    <x v="5"/>
    <x v="5"/>
    <n v="3"/>
    <n v="8"/>
    <x v="163"/>
    <d v="1899-12-30T00:35:48"/>
  </r>
  <r>
    <x v="14"/>
    <x v="0"/>
    <n v="32.82"/>
    <x v="7"/>
    <x v="0"/>
    <x v="5"/>
    <x v="5"/>
    <n v="3"/>
    <n v="8"/>
    <x v="163"/>
    <d v="1899-12-30T00:36:56"/>
  </r>
  <r>
    <x v="0"/>
    <x v="0"/>
    <n v="23.02"/>
    <x v="5"/>
    <x v="0"/>
    <x v="5"/>
    <x v="5"/>
    <n v="3"/>
    <n v="8"/>
    <x v="163"/>
    <d v="1899-12-30T00:09:29"/>
  </r>
  <r>
    <x v="7"/>
    <x v="0"/>
    <n v="18.12"/>
    <x v="6"/>
    <x v="0"/>
    <x v="5"/>
    <x v="5"/>
    <n v="3"/>
    <n v="8"/>
    <x v="163"/>
    <d v="1899-12-30T00:39:08"/>
  </r>
  <r>
    <x v="1"/>
    <x v="0"/>
    <n v="23.02"/>
    <x v="2"/>
    <x v="1"/>
    <x v="5"/>
    <x v="5"/>
    <n v="3"/>
    <n v="8"/>
    <x v="163"/>
    <d v="1899-12-30T00:49:17"/>
  </r>
  <r>
    <x v="1"/>
    <x v="0"/>
    <n v="23.02"/>
    <x v="2"/>
    <x v="1"/>
    <x v="5"/>
    <x v="5"/>
    <n v="3"/>
    <n v="8"/>
    <x v="163"/>
    <d v="1899-12-30T00:51:05"/>
  </r>
  <r>
    <x v="3"/>
    <x v="0"/>
    <n v="32.82"/>
    <x v="0"/>
    <x v="1"/>
    <x v="5"/>
    <x v="5"/>
    <n v="3"/>
    <n v="8"/>
    <x v="163"/>
    <d v="1899-12-30T00:21:27"/>
  </r>
  <r>
    <x v="9"/>
    <x v="0"/>
    <n v="23.02"/>
    <x v="2"/>
    <x v="2"/>
    <x v="5"/>
    <x v="5"/>
    <n v="3"/>
    <n v="8"/>
    <x v="163"/>
    <d v="1899-12-30T00:24:23"/>
  </r>
  <r>
    <x v="5"/>
    <x v="0"/>
    <n v="23.02"/>
    <x v="5"/>
    <x v="2"/>
    <x v="5"/>
    <x v="5"/>
    <n v="3"/>
    <n v="8"/>
    <x v="163"/>
    <d v="1899-12-30T00:10:04"/>
  </r>
  <r>
    <x v="5"/>
    <x v="0"/>
    <n v="27.92"/>
    <x v="3"/>
    <x v="2"/>
    <x v="5"/>
    <x v="5"/>
    <n v="3"/>
    <n v="8"/>
    <x v="163"/>
    <d v="1899-12-30T00:59:18"/>
  </r>
  <r>
    <x v="6"/>
    <x v="0"/>
    <n v="32.82"/>
    <x v="0"/>
    <x v="2"/>
    <x v="5"/>
    <x v="5"/>
    <n v="3"/>
    <n v="8"/>
    <x v="163"/>
    <d v="1899-12-30T00:34:52"/>
  </r>
  <r>
    <x v="6"/>
    <x v="0"/>
    <n v="23.02"/>
    <x v="5"/>
    <x v="2"/>
    <x v="5"/>
    <x v="5"/>
    <n v="3"/>
    <n v="8"/>
    <x v="163"/>
    <d v="1899-12-30T00:35:49"/>
  </r>
  <r>
    <x v="15"/>
    <x v="0"/>
    <n v="32.82"/>
    <x v="0"/>
    <x v="2"/>
    <x v="5"/>
    <x v="5"/>
    <n v="3"/>
    <n v="8"/>
    <x v="163"/>
    <d v="1899-12-30T00:41:33"/>
  </r>
  <r>
    <x v="10"/>
    <x v="0"/>
    <n v="23.02"/>
    <x v="5"/>
    <x v="0"/>
    <x v="6"/>
    <x v="5"/>
    <n v="4"/>
    <n v="8"/>
    <x v="164"/>
    <d v="1899-12-30T00:36:11"/>
  </r>
  <r>
    <x v="10"/>
    <x v="0"/>
    <n v="32.82"/>
    <x v="7"/>
    <x v="0"/>
    <x v="6"/>
    <x v="5"/>
    <n v="4"/>
    <n v="8"/>
    <x v="164"/>
    <d v="1899-12-30T00:37:02"/>
  </r>
  <r>
    <x v="10"/>
    <x v="0"/>
    <n v="32.82"/>
    <x v="1"/>
    <x v="0"/>
    <x v="6"/>
    <x v="5"/>
    <n v="4"/>
    <n v="8"/>
    <x v="164"/>
    <d v="1899-12-30T00:38:05"/>
  </r>
  <r>
    <x v="10"/>
    <x v="0"/>
    <n v="32.82"/>
    <x v="0"/>
    <x v="0"/>
    <x v="6"/>
    <x v="5"/>
    <n v="4"/>
    <n v="8"/>
    <x v="164"/>
    <d v="1899-12-30T00:38:50"/>
  </r>
  <r>
    <x v="1"/>
    <x v="0"/>
    <n v="32.82"/>
    <x v="0"/>
    <x v="1"/>
    <x v="6"/>
    <x v="5"/>
    <n v="4"/>
    <n v="8"/>
    <x v="164"/>
    <d v="1899-12-30T00:38:38"/>
  </r>
  <r>
    <x v="2"/>
    <x v="0"/>
    <n v="32.82"/>
    <x v="0"/>
    <x v="1"/>
    <x v="6"/>
    <x v="5"/>
    <n v="4"/>
    <n v="8"/>
    <x v="164"/>
    <d v="1899-12-30T00:48:14"/>
  </r>
  <r>
    <x v="8"/>
    <x v="0"/>
    <n v="23.02"/>
    <x v="2"/>
    <x v="1"/>
    <x v="6"/>
    <x v="5"/>
    <n v="4"/>
    <n v="8"/>
    <x v="164"/>
    <d v="1899-12-30T00:17:48"/>
  </r>
  <r>
    <x v="8"/>
    <x v="0"/>
    <n v="18.12"/>
    <x v="6"/>
    <x v="1"/>
    <x v="6"/>
    <x v="5"/>
    <n v="4"/>
    <n v="8"/>
    <x v="164"/>
    <d v="1899-12-30T00:18:51"/>
  </r>
  <r>
    <x v="9"/>
    <x v="0"/>
    <n v="27.92"/>
    <x v="3"/>
    <x v="2"/>
    <x v="6"/>
    <x v="5"/>
    <n v="4"/>
    <n v="8"/>
    <x v="164"/>
    <d v="1899-12-30T00:53:52"/>
  </r>
  <r>
    <x v="6"/>
    <x v="0"/>
    <n v="32.82"/>
    <x v="1"/>
    <x v="2"/>
    <x v="6"/>
    <x v="5"/>
    <n v="4"/>
    <n v="8"/>
    <x v="164"/>
    <d v="1899-12-30T00:10:58"/>
  </r>
  <r>
    <x v="6"/>
    <x v="0"/>
    <n v="27.92"/>
    <x v="3"/>
    <x v="2"/>
    <x v="6"/>
    <x v="5"/>
    <n v="4"/>
    <n v="8"/>
    <x v="164"/>
    <d v="1899-12-30T00:11:54"/>
  </r>
  <r>
    <x v="6"/>
    <x v="0"/>
    <n v="27.92"/>
    <x v="3"/>
    <x v="2"/>
    <x v="6"/>
    <x v="5"/>
    <n v="4"/>
    <n v="8"/>
    <x v="164"/>
    <d v="1899-12-30T00:41:30"/>
  </r>
  <r>
    <x v="6"/>
    <x v="0"/>
    <n v="23.02"/>
    <x v="2"/>
    <x v="2"/>
    <x v="6"/>
    <x v="5"/>
    <n v="4"/>
    <n v="8"/>
    <x v="164"/>
    <d v="1899-12-30T00:42:38"/>
  </r>
  <r>
    <x v="11"/>
    <x v="0"/>
    <n v="32.82"/>
    <x v="7"/>
    <x v="2"/>
    <x v="6"/>
    <x v="5"/>
    <n v="4"/>
    <n v="8"/>
    <x v="164"/>
    <d v="1899-12-30T00:40:42"/>
  </r>
  <r>
    <x v="15"/>
    <x v="0"/>
    <n v="18.12"/>
    <x v="6"/>
    <x v="2"/>
    <x v="6"/>
    <x v="5"/>
    <n v="4"/>
    <n v="8"/>
    <x v="164"/>
    <d v="1899-12-30T00:35:20"/>
  </r>
  <r>
    <x v="15"/>
    <x v="0"/>
    <n v="27.92"/>
    <x v="3"/>
    <x v="2"/>
    <x v="6"/>
    <x v="5"/>
    <n v="4"/>
    <n v="8"/>
    <x v="164"/>
    <d v="1899-12-30T00:36:11"/>
  </r>
  <r>
    <x v="1"/>
    <x v="0"/>
    <n v="32.82"/>
    <x v="0"/>
    <x v="1"/>
    <x v="0"/>
    <x v="5"/>
    <n v="5"/>
    <n v="8"/>
    <x v="165"/>
    <d v="1899-12-30T00:29:17"/>
  </r>
  <r>
    <x v="1"/>
    <x v="0"/>
    <n v="23.02"/>
    <x v="2"/>
    <x v="1"/>
    <x v="0"/>
    <x v="5"/>
    <n v="5"/>
    <n v="8"/>
    <x v="165"/>
    <d v="1899-12-30T00:54:18"/>
  </r>
  <r>
    <x v="2"/>
    <x v="0"/>
    <n v="27.92"/>
    <x v="3"/>
    <x v="1"/>
    <x v="0"/>
    <x v="5"/>
    <n v="5"/>
    <n v="8"/>
    <x v="165"/>
    <d v="1899-12-30T00:36:13"/>
  </r>
  <r>
    <x v="3"/>
    <x v="0"/>
    <n v="18.12"/>
    <x v="6"/>
    <x v="1"/>
    <x v="0"/>
    <x v="5"/>
    <n v="5"/>
    <n v="8"/>
    <x v="165"/>
    <d v="1899-12-30T00:18:52"/>
  </r>
  <r>
    <x v="3"/>
    <x v="0"/>
    <n v="18.12"/>
    <x v="6"/>
    <x v="1"/>
    <x v="0"/>
    <x v="5"/>
    <n v="5"/>
    <n v="8"/>
    <x v="165"/>
    <d v="1899-12-30T00:19:39"/>
  </r>
  <r>
    <x v="10"/>
    <x v="0"/>
    <n v="27.92"/>
    <x v="3"/>
    <x v="0"/>
    <x v="1"/>
    <x v="5"/>
    <n v="6"/>
    <n v="8"/>
    <x v="166"/>
    <d v="1899-12-30T00:16:54"/>
  </r>
  <r>
    <x v="10"/>
    <x v="0"/>
    <n v="32.82"/>
    <x v="7"/>
    <x v="0"/>
    <x v="1"/>
    <x v="5"/>
    <n v="6"/>
    <n v="8"/>
    <x v="166"/>
    <d v="1899-12-30T00:18:09"/>
  </r>
  <r>
    <x v="0"/>
    <x v="0"/>
    <n v="27.92"/>
    <x v="3"/>
    <x v="0"/>
    <x v="1"/>
    <x v="5"/>
    <n v="6"/>
    <n v="8"/>
    <x v="166"/>
    <d v="1899-12-30T00:53:41"/>
  </r>
  <r>
    <x v="7"/>
    <x v="0"/>
    <n v="23.02"/>
    <x v="5"/>
    <x v="0"/>
    <x v="1"/>
    <x v="5"/>
    <n v="6"/>
    <n v="8"/>
    <x v="166"/>
    <d v="1899-12-30T00:58:42"/>
  </r>
  <r>
    <x v="7"/>
    <x v="0"/>
    <n v="23.02"/>
    <x v="5"/>
    <x v="0"/>
    <x v="1"/>
    <x v="5"/>
    <n v="6"/>
    <n v="8"/>
    <x v="166"/>
    <d v="1899-12-30T00:59:28"/>
  </r>
  <r>
    <x v="2"/>
    <x v="0"/>
    <n v="27.92"/>
    <x v="3"/>
    <x v="1"/>
    <x v="1"/>
    <x v="5"/>
    <n v="6"/>
    <n v="8"/>
    <x v="166"/>
    <d v="1899-12-30T00:18:40"/>
  </r>
  <r>
    <x v="4"/>
    <x v="0"/>
    <n v="23.02"/>
    <x v="5"/>
    <x v="1"/>
    <x v="1"/>
    <x v="5"/>
    <n v="6"/>
    <n v="8"/>
    <x v="166"/>
    <d v="1899-12-30T00:31:55"/>
  </r>
  <r>
    <x v="4"/>
    <x v="0"/>
    <n v="32.82"/>
    <x v="0"/>
    <x v="1"/>
    <x v="1"/>
    <x v="5"/>
    <n v="6"/>
    <n v="8"/>
    <x v="166"/>
    <d v="1899-12-30T00:33:49"/>
  </r>
  <r>
    <x v="5"/>
    <x v="0"/>
    <n v="32.82"/>
    <x v="7"/>
    <x v="2"/>
    <x v="1"/>
    <x v="5"/>
    <n v="6"/>
    <n v="8"/>
    <x v="166"/>
    <d v="1899-12-30T00:48:59"/>
  </r>
  <r>
    <x v="15"/>
    <x v="0"/>
    <n v="27.92"/>
    <x v="3"/>
    <x v="2"/>
    <x v="1"/>
    <x v="5"/>
    <n v="6"/>
    <n v="8"/>
    <x v="166"/>
    <d v="1899-12-30T00:18:57"/>
  </r>
  <r>
    <x v="13"/>
    <x v="0"/>
    <n v="32.82"/>
    <x v="0"/>
    <x v="2"/>
    <x v="1"/>
    <x v="5"/>
    <n v="6"/>
    <n v="8"/>
    <x v="166"/>
    <d v="1899-12-30T00:42:39"/>
  </r>
  <r>
    <x v="12"/>
    <x v="0"/>
    <n v="32.82"/>
    <x v="7"/>
    <x v="0"/>
    <x v="2"/>
    <x v="5"/>
    <n v="7"/>
    <n v="8"/>
    <x v="167"/>
    <d v="1899-12-30T00:09:43"/>
  </r>
  <r>
    <x v="12"/>
    <x v="0"/>
    <n v="32.82"/>
    <x v="7"/>
    <x v="0"/>
    <x v="2"/>
    <x v="5"/>
    <n v="7"/>
    <n v="8"/>
    <x v="167"/>
    <d v="1899-12-30T00:32:06"/>
  </r>
  <r>
    <x v="12"/>
    <x v="0"/>
    <n v="23.02"/>
    <x v="5"/>
    <x v="0"/>
    <x v="2"/>
    <x v="5"/>
    <n v="7"/>
    <n v="8"/>
    <x v="167"/>
    <d v="1899-12-30T00:41:06"/>
  </r>
  <r>
    <x v="12"/>
    <x v="0"/>
    <n v="27.92"/>
    <x v="3"/>
    <x v="0"/>
    <x v="2"/>
    <x v="5"/>
    <n v="7"/>
    <n v="8"/>
    <x v="167"/>
    <d v="1899-12-30T00:56:01"/>
  </r>
  <r>
    <x v="1"/>
    <x v="0"/>
    <n v="32.82"/>
    <x v="7"/>
    <x v="1"/>
    <x v="2"/>
    <x v="5"/>
    <n v="7"/>
    <n v="8"/>
    <x v="167"/>
    <d v="1899-12-30T00:31:41"/>
  </r>
  <r>
    <x v="8"/>
    <x v="0"/>
    <n v="27.92"/>
    <x v="3"/>
    <x v="1"/>
    <x v="2"/>
    <x v="5"/>
    <n v="7"/>
    <n v="8"/>
    <x v="167"/>
    <d v="1899-12-30T00:30:22"/>
  </r>
  <r>
    <x v="5"/>
    <x v="0"/>
    <n v="27.92"/>
    <x v="3"/>
    <x v="2"/>
    <x v="2"/>
    <x v="5"/>
    <n v="7"/>
    <n v="8"/>
    <x v="167"/>
    <d v="1899-12-30T00:24:11"/>
  </r>
  <r>
    <x v="5"/>
    <x v="0"/>
    <n v="27.92"/>
    <x v="3"/>
    <x v="2"/>
    <x v="2"/>
    <x v="5"/>
    <n v="7"/>
    <n v="8"/>
    <x v="167"/>
    <d v="1899-12-30T00:26:04"/>
  </r>
  <r>
    <x v="5"/>
    <x v="0"/>
    <n v="23.02"/>
    <x v="2"/>
    <x v="2"/>
    <x v="2"/>
    <x v="5"/>
    <n v="7"/>
    <n v="8"/>
    <x v="167"/>
    <d v="1899-12-30T00:27:18"/>
  </r>
  <r>
    <x v="5"/>
    <x v="0"/>
    <n v="23.02"/>
    <x v="2"/>
    <x v="2"/>
    <x v="2"/>
    <x v="5"/>
    <n v="7"/>
    <n v="8"/>
    <x v="167"/>
    <d v="1899-12-30T00:28:13"/>
  </r>
  <r>
    <x v="3"/>
    <x v="0"/>
    <n v="27.92"/>
    <x v="3"/>
    <x v="1"/>
    <x v="3"/>
    <x v="5"/>
    <n v="1"/>
    <n v="8"/>
    <x v="168"/>
    <d v="1899-12-30T00:09:49"/>
  </r>
  <r>
    <x v="3"/>
    <x v="0"/>
    <n v="27.92"/>
    <x v="3"/>
    <x v="1"/>
    <x v="3"/>
    <x v="5"/>
    <n v="1"/>
    <n v="8"/>
    <x v="168"/>
    <d v="1899-12-30T00:10:51"/>
  </r>
  <r>
    <x v="15"/>
    <x v="0"/>
    <n v="32.82"/>
    <x v="0"/>
    <x v="2"/>
    <x v="3"/>
    <x v="5"/>
    <n v="1"/>
    <n v="8"/>
    <x v="168"/>
    <d v="1899-12-30T00:21:12"/>
  </r>
  <r>
    <x v="15"/>
    <x v="0"/>
    <n v="32.82"/>
    <x v="4"/>
    <x v="2"/>
    <x v="3"/>
    <x v="5"/>
    <n v="1"/>
    <n v="8"/>
    <x v="168"/>
    <d v="1899-12-30T00:31:57"/>
  </r>
  <r>
    <x v="12"/>
    <x v="0"/>
    <n v="23.02"/>
    <x v="5"/>
    <x v="0"/>
    <x v="4"/>
    <x v="5"/>
    <n v="2"/>
    <n v="8"/>
    <x v="169"/>
    <d v="1899-12-30T00:27:16"/>
  </r>
  <r>
    <x v="12"/>
    <x v="0"/>
    <n v="32.82"/>
    <x v="0"/>
    <x v="0"/>
    <x v="4"/>
    <x v="5"/>
    <n v="2"/>
    <n v="8"/>
    <x v="169"/>
    <d v="1899-12-30T00:29:15"/>
  </r>
  <r>
    <x v="12"/>
    <x v="0"/>
    <n v="18.12"/>
    <x v="6"/>
    <x v="0"/>
    <x v="4"/>
    <x v="5"/>
    <n v="2"/>
    <n v="8"/>
    <x v="169"/>
    <d v="1899-12-30T00:49:48"/>
  </r>
  <r>
    <x v="12"/>
    <x v="0"/>
    <n v="23.02"/>
    <x v="5"/>
    <x v="0"/>
    <x v="4"/>
    <x v="5"/>
    <n v="2"/>
    <n v="8"/>
    <x v="169"/>
    <d v="1899-12-30T00:50:36"/>
  </r>
  <r>
    <x v="10"/>
    <x v="0"/>
    <n v="27.92"/>
    <x v="3"/>
    <x v="0"/>
    <x v="4"/>
    <x v="5"/>
    <n v="2"/>
    <n v="8"/>
    <x v="169"/>
    <d v="1899-12-30T00:14:55"/>
  </r>
  <r>
    <x v="7"/>
    <x v="0"/>
    <n v="23.02"/>
    <x v="2"/>
    <x v="0"/>
    <x v="4"/>
    <x v="5"/>
    <n v="2"/>
    <n v="8"/>
    <x v="169"/>
    <d v="1899-12-30T00:09:56"/>
  </r>
  <r>
    <x v="7"/>
    <x v="0"/>
    <n v="23.02"/>
    <x v="2"/>
    <x v="0"/>
    <x v="4"/>
    <x v="5"/>
    <n v="2"/>
    <n v="8"/>
    <x v="169"/>
    <d v="1899-12-30T00:11:39"/>
  </r>
  <r>
    <x v="7"/>
    <x v="0"/>
    <n v="23.02"/>
    <x v="2"/>
    <x v="0"/>
    <x v="4"/>
    <x v="5"/>
    <n v="2"/>
    <n v="8"/>
    <x v="169"/>
    <d v="1899-12-30T00:12:31"/>
  </r>
  <r>
    <x v="7"/>
    <x v="0"/>
    <n v="32.82"/>
    <x v="0"/>
    <x v="0"/>
    <x v="4"/>
    <x v="5"/>
    <n v="2"/>
    <n v="8"/>
    <x v="169"/>
    <d v="1899-12-30T11:42:20"/>
  </r>
  <r>
    <x v="11"/>
    <x v="0"/>
    <n v="32.82"/>
    <x v="0"/>
    <x v="2"/>
    <x v="4"/>
    <x v="5"/>
    <n v="2"/>
    <n v="8"/>
    <x v="169"/>
    <d v="1899-12-30T00:42:41"/>
  </r>
  <r>
    <x v="11"/>
    <x v="0"/>
    <n v="32.82"/>
    <x v="0"/>
    <x v="2"/>
    <x v="4"/>
    <x v="5"/>
    <n v="2"/>
    <n v="8"/>
    <x v="169"/>
    <d v="1899-12-30T00:44:15"/>
  </r>
  <r>
    <x v="11"/>
    <x v="0"/>
    <n v="32.82"/>
    <x v="0"/>
    <x v="2"/>
    <x v="4"/>
    <x v="5"/>
    <n v="2"/>
    <n v="8"/>
    <x v="169"/>
    <d v="1899-12-30T00:45:12"/>
  </r>
  <r>
    <x v="11"/>
    <x v="0"/>
    <n v="32.82"/>
    <x v="0"/>
    <x v="2"/>
    <x v="4"/>
    <x v="5"/>
    <n v="2"/>
    <n v="8"/>
    <x v="169"/>
    <d v="1899-12-30T00:46:04"/>
  </r>
  <r>
    <x v="14"/>
    <x v="0"/>
    <n v="27.92"/>
    <x v="3"/>
    <x v="0"/>
    <x v="5"/>
    <x v="5"/>
    <n v="3"/>
    <n v="8"/>
    <x v="170"/>
    <d v="1899-12-30T00:59:13"/>
  </r>
  <r>
    <x v="12"/>
    <x v="0"/>
    <n v="23.02"/>
    <x v="5"/>
    <x v="0"/>
    <x v="5"/>
    <x v="5"/>
    <n v="3"/>
    <n v="8"/>
    <x v="170"/>
    <d v="1899-12-30T00:40:27"/>
  </r>
  <r>
    <x v="0"/>
    <x v="0"/>
    <n v="23.02"/>
    <x v="2"/>
    <x v="0"/>
    <x v="5"/>
    <x v="5"/>
    <n v="3"/>
    <n v="8"/>
    <x v="170"/>
    <d v="1899-12-30T00:13:32"/>
  </r>
  <r>
    <x v="0"/>
    <x v="0"/>
    <n v="27.92"/>
    <x v="3"/>
    <x v="0"/>
    <x v="5"/>
    <x v="5"/>
    <n v="3"/>
    <n v="8"/>
    <x v="170"/>
    <d v="1899-12-30T00:38:45"/>
  </r>
  <r>
    <x v="7"/>
    <x v="0"/>
    <n v="23.02"/>
    <x v="5"/>
    <x v="0"/>
    <x v="5"/>
    <x v="5"/>
    <n v="3"/>
    <n v="8"/>
    <x v="170"/>
    <d v="1899-12-30T00:51:41"/>
  </r>
  <r>
    <x v="2"/>
    <x v="0"/>
    <n v="32.82"/>
    <x v="0"/>
    <x v="1"/>
    <x v="5"/>
    <x v="5"/>
    <n v="3"/>
    <n v="8"/>
    <x v="170"/>
    <d v="1899-12-30T00:17:11"/>
  </r>
  <r>
    <x v="6"/>
    <x v="0"/>
    <n v="32.82"/>
    <x v="0"/>
    <x v="2"/>
    <x v="5"/>
    <x v="5"/>
    <n v="3"/>
    <n v="8"/>
    <x v="170"/>
    <d v="1899-12-30T00:42:04"/>
  </r>
  <r>
    <x v="10"/>
    <x v="0"/>
    <n v="23.02"/>
    <x v="5"/>
    <x v="0"/>
    <x v="6"/>
    <x v="5"/>
    <n v="4"/>
    <n v="8"/>
    <x v="171"/>
    <d v="1899-12-30T00:22:26"/>
  </r>
  <r>
    <x v="0"/>
    <x v="0"/>
    <n v="27.92"/>
    <x v="3"/>
    <x v="0"/>
    <x v="6"/>
    <x v="5"/>
    <n v="4"/>
    <n v="8"/>
    <x v="171"/>
    <d v="1899-12-30T00:09:24"/>
  </r>
  <r>
    <x v="0"/>
    <x v="0"/>
    <n v="27.92"/>
    <x v="3"/>
    <x v="0"/>
    <x v="6"/>
    <x v="5"/>
    <n v="4"/>
    <n v="8"/>
    <x v="171"/>
    <d v="1899-12-30T00:47:59"/>
  </r>
  <r>
    <x v="8"/>
    <x v="0"/>
    <n v="32.82"/>
    <x v="0"/>
    <x v="1"/>
    <x v="6"/>
    <x v="5"/>
    <n v="4"/>
    <n v="8"/>
    <x v="171"/>
    <d v="1899-12-30T00:16:12"/>
  </r>
  <r>
    <x v="8"/>
    <x v="0"/>
    <n v="32.82"/>
    <x v="0"/>
    <x v="1"/>
    <x v="6"/>
    <x v="5"/>
    <n v="4"/>
    <n v="8"/>
    <x v="171"/>
    <d v="1899-12-30T00:26:58"/>
  </r>
  <r>
    <x v="3"/>
    <x v="0"/>
    <n v="32.82"/>
    <x v="7"/>
    <x v="1"/>
    <x v="6"/>
    <x v="5"/>
    <n v="4"/>
    <n v="8"/>
    <x v="171"/>
    <d v="1899-12-30T00:07:07"/>
  </r>
  <r>
    <x v="3"/>
    <x v="0"/>
    <n v="23.02"/>
    <x v="2"/>
    <x v="1"/>
    <x v="6"/>
    <x v="5"/>
    <n v="4"/>
    <n v="8"/>
    <x v="171"/>
    <d v="1899-12-30T00:27:27"/>
  </r>
  <r>
    <x v="14"/>
    <x v="0"/>
    <n v="32.82"/>
    <x v="0"/>
    <x v="0"/>
    <x v="0"/>
    <x v="5"/>
    <n v="5"/>
    <n v="8"/>
    <x v="172"/>
    <d v="1899-12-30T00:43:16"/>
  </r>
  <r>
    <x v="12"/>
    <x v="0"/>
    <n v="23.02"/>
    <x v="5"/>
    <x v="0"/>
    <x v="0"/>
    <x v="5"/>
    <n v="5"/>
    <n v="8"/>
    <x v="172"/>
    <d v="1899-12-30T00:21:48"/>
  </r>
  <r>
    <x v="12"/>
    <x v="0"/>
    <n v="32.82"/>
    <x v="0"/>
    <x v="0"/>
    <x v="0"/>
    <x v="5"/>
    <n v="5"/>
    <n v="8"/>
    <x v="172"/>
    <d v="1899-12-30T00:22:57"/>
  </r>
  <r>
    <x v="12"/>
    <x v="0"/>
    <n v="23.02"/>
    <x v="2"/>
    <x v="0"/>
    <x v="0"/>
    <x v="5"/>
    <n v="5"/>
    <n v="8"/>
    <x v="172"/>
    <d v="1899-12-30T00:33:39"/>
  </r>
  <r>
    <x v="12"/>
    <x v="0"/>
    <n v="23.02"/>
    <x v="2"/>
    <x v="0"/>
    <x v="0"/>
    <x v="5"/>
    <n v="5"/>
    <n v="8"/>
    <x v="172"/>
    <d v="1899-12-30T00:34:35"/>
  </r>
  <r>
    <x v="10"/>
    <x v="0"/>
    <n v="27.92"/>
    <x v="3"/>
    <x v="0"/>
    <x v="0"/>
    <x v="5"/>
    <n v="5"/>
    <n v="8"/>
    <x v="172"/>
    <d v="1899-12-30T00:14:52"/>
  </r>
  <r>
    <x v="0"/>
    <x v="0"/>
    <n v="32.82"/>
    <x v="4"/>
    <x v="0"/>
    <x v="0"/>
    <x v="5"/>
    <n v="5"/>
    <n v="8"/>
    <x v="172"/>
    <d v="1899-12-30T00:10:59"/>
  </r>
  <r>
    <x v="0"/>
    <x v="0"/>
    <n v="23.02"/>
    <x v="2"/>
    <x v="0"/>
    <x v="0"/>
    <x v="5"/>
    <n v="5"/>
    <n v="8"/>
    <x v="172"/>
    <d v="1899-12-30T00:11:56"/>
  </r>
  <r>
    <x v="0"/>
    <x v="0"/>
    <n v="23.02"/>
    <x v="5"/>
    <x v="0"/>
    <x v="0"/>
    <x v="5"/>
    <n v="5"/>
    <n v="8"/>
    <x v="172"/>
    <d v="1899-12-30T00:39:12"/>
  </r>
  <r>
    <x v="7"/>
    <x v="0"/>
    <n v="32.82"/>
    <x v="1"/>
    <x v="0"/>
    <x v="0"/>
    <x v="5"/>
    <n v="5"/>
    <n v="8"/>
    <x v="172"/>
    <d v="1899-12-30T00:12:59"/>
  </r>
  <r>
    <x v="2"/>
    <x v="0"/>
    <n v="23.02"/>
    <x v="2"/>
    <x v="1"/>
    <x v="0"/>
    <x v="5"/>
    <n v="5"/>
    <n v="8"/>
    <x v="172"/>
    <d v="1899-12-30T00:24:55"/>
  </r>
  <r>
    <x v="3"/>
    <x v="0"/>
    <n v="23.02"/>
    <x v="2"/>
    <x v="1"/>
    <x v="0"/>
    <x v="5"/>
    <n v="5"/>
    <n v="8"/>
    <x v="172"/>
    <d v="1899-12-30T00:28:53"/>
  </r>
  <r>
    <x v="6"/>
    <x v="0"/>
    <n v="32.82"/>
    <x v="0"/>
    <x v="2"/>
    <x v="0"/>
    <x v="5"/>
    <n v="5"/>
    <n v="8"/>
    <x v="172"/>
    <d v="1899-12-30T00:48:03"/>
  </r>
  <r>
    <x v="12"/>
    <x v="0"/>
    <n v="23.02"/>
    <x v="5"/>
    <x v="0"/>
    <x v="1"/>
    <x v="5"/>
    <n v="6"/>
    <n v="8"/>
    <x v="173"/>
    <d v="1899-12-30T00:13:42"/>
  </r>
  <r>
    <x v="12"/>
    <x v="0"/>
    <n v="23.02"/>
    <x v="5"/>
    <x v="0"/>
    <x v="1"/>
    <x v="5"/>
    <n v="6"/>
    <n v="8"/>
    <x v="173"/>
    <d v="1899-12-30T00:14:48"/>
  </r>
  <r>
    <x v="12"/>
    <x v="0"/>
    <n v="23.02"/>
    <x v="5"/>
    <x v="0"/>
    <x v="1"/>
    <x v="5"/>
    <n v="6"/>
    <n v="8"/>
    <x v="173"/>
    <d v="1899-12-30T00:44:12"/>
  </r>
  <r>
    <x v="0"/>
    <x v="0"/>
    <n v="18.12"/>
    <x v="6"/>
    <x v="0"/>
    <x v="1"/>
    <x v="5"/>
    <n v="6"/>
    <n v="8"/>
    <x v="173"/>
    <d v="1899-12-30T00:18:10"/>
  </r>
  <r>
    <x v="0"/>
    <x v="0"/>
    <n v="18.12"/>
    <x v="6"/>
    <x v="0"/>
    <x v="1"/>
    <x v="5"/>
    <n v="6"/>
    <n v="8"/>
    <x v="173"/>
    <d v="1899-12-30T00:18:52"/>
  </r>
  <r>
    <x v="0"/>
    <x v="0"/>
    <n v="23.02"/>
    <x v="2"/>
    <x v="0"/>
    <x v="1"/>
    <x v="5"/>
    <n v="6"/>
    <n v="8"/>
    <x v="173"/>
    <d v="1899-12-30T00:19:49"/>
  </r>
  <r>
    <x v="12"/>
    <x v="0"/>
    <n v="23.02"/>
    <x v="5"/>
    <x v="0"/>
    <x v="2"/>
    <x v="5"/>
    <n v="7"/>
    <n v="8"/>
    <x v="174"/>
    <d v="1899-12-30T00:14:37"/>
  </r>
  <r>
    <x v="12"/>
    <x v="0"/>
    <n v="23.02"/>
    <x v="2"/>
    <x v="0"/>
    <x v="2"/>
    <x v="5"/>
    <n v="7"/>
    <n v="8"/>
    <x v="174"/>
    <d v="1899-12-30T00:26:28"/>
  </r>
  <r>
    <x v="12"/>
    <x v="0"/>
    <n v="23.02"/>
    <x v="2"/>
    <x v="0"/>
    <x v="2"/>
    <x v="5"/>
    <n v="7"/>
    <n v="8"/>
    <x v="174"/>
    <d v="1899-12-30T00:27:36"/>
  </r>
  <r>
    <x v="10"/>
    <x v="0"/>
    <n v="32.82"/>
    <x v="7"/>
    <x v="0"/>
    <x v="2"/>
    <x v="5"/>
    <n v="7"/>
    <n v="8"/>
    <x v="174"/>
    <d v="1899-12-30T00:24:22"/>
  </r>
  <r>
    <x v="1"/>
    <x v="0"/>
    <n v="32.82"/>
    <x v="7"/>
    <x v="1"/>
    <x v="2"/>
    <x v="5"/>
    <n v="7"/>
    <n v="8"/>
    <x v="174"/>
    <d v="1899-12-30T00:41:43"/>
  </r>
  <r>
    <x v="8"/>
    <x v="0"/>
    <n v="32.82"/>
    <x v="0"/>
    <x v="1"/>
    <x v="2"/>
    <x v="5"/>
    <n v="7"/>
    <n v="8"/>
    <x v="174"/>
    <d v="1899-12-30T00:53:03"/>
  </r>
  <r>
    <x v="12"/>
    <x v="0"/>
    <n v="23.02"/>
    <x v="5"/>
    <x v="0"/>
    <x v="3"/>
    <x v="5"/>
    <n v="1"/>
    <n v="8"/>
    <x v="175"/>
    <d v="1899-12-30T00:11:47"/>
  </r>
  <r>
    <x v="12"/>
    <x v="0"/>
    <n v="23.02"/>
    <x v="2"/>
    <x v="0"/>
    <x v="3"/>
    <x v="5"/>
    <n v="1"/>
    <n v="8"/>
    <x v="175"/>
    <d v="1899-12-30T00:16:10"/>
  </r>
  <r>
    <x v="12"/>
    <x v="0"/>
    <n v="23.02"/>
    <x v="2"/>
    <x v="0"/>
    <x v="3"/>
    <x v="5"/>
    <n v="1"/>
    <n v="8"/>
    <x v="175"/>
    <d v="1899-12-30T00:17:23"/>
  </r>
  <r>
    <x v="10"/>
    <x v="0"/>
    <n v="27.92"/>
    <x v="3"/>
    <x v="0"/>
    <x v="3"/>
    <x v="5"/>
    <n v="1"/>
    <n v="8"/>
    <x v="175"/>
    <d v="1899-12-30T00:21:37"/>
  </r>
  <r>
    <x v="0"/>
    <x v="0"/>
    <n v="32.82"/>
    <x v="0"/>
    <x v="0"/>
    <x v="3"/>
    <x v="5"/>
    <n v="1"/>
    <n v="8"/>
    <x v="175"/>
    <d v="1899-12-30T00:37:45"/>
  </r>
  <r>
    <x v="0"/>
    <x v="0"/>
    <n v="32.82"/>
    <x v="7"/>
    <x v="0"/>
    <x v="3"/>
    <x v="5"/>
    <n v="1"/>
    <n v="8"/>
    <x v="175"/>
    <d v="1899-12-30T00:38:49"/>
  </r>
  <r>
    <x v="1"/>
    <x v="0"/>
    <n v="23.02"/>
    <x v="2"/>
    <x v="1"/>
    <x v="3"/>
    <x v="5"/>
    <n v="1"/>
    <n v="8"/>
    <x v="175"/>
    <d v="1899-12-30T00:45:13"/>
  </r>
  <r>
    <x v="1"/>
    <x v="0"/>
    <n v="23.02"/>
    <x v="2"/>
    <x v="1"/>
    <x v="3"/>
    <x v="5"/>
    <n v="1"/>
    <n v="8"/>
    <x v="175"/>
    <d v="1899-12-30T00:46:24"/>
  </r>
  <r>
    <x v="5"/>
    <x v="0"/>
    <n v="27.92"/>
    <x v="3"/>
    <x v="2"/>
    <x v="3"/>
    <x v="5"/>
    <n v="1"/>
    <n v="8"/>
    <x v="175"/>
    <d v="1899-12-30T00:53:28"/>
  </r>
  <r>
    <x v="5"/>
    <x v="0"/>
    <n v="32.82"/>
    <x v="0"/>
    <x v="2"/>
    <x v="3"/>
    <x v="5"/>
    <n v="1"/>
    <n v="8"/>
    <x v="175"/>
    <d v="1899-12-30T00:54:31"/>
  </r>
  <r>
    <x v="13"/>
    <x v="0"/>
    <n v="27.92"/>
    <x v="3"/>
    <x v="2"/>
    <x v="3"/>
    <x v="5"/>
    <n v="1"/>
    <n v="8"/>
    <x v="175"/>
    <d v="1899-12-30T00:55:40"/>
  </r>
  <r>
    <x v="0"/>
    <x v="0"/>
    <n v="32.82"/>
    <x v="0"/>
    <x v="0"/>
    <x v="4"/>
    <x v="5"/>
    <n v="2"/>
    <n v="8"/>
    <x v="176"/>
    <d v="1899-12-30T00:04:05"/>
  </r>
  <r>
    <x v="1"/>
    <x v="0"/>
    <n v="27.92"/>
    <x v="3"/>
    <x v="1"/>
    <x v="5"/>
    <x v="5"/>
    <n v="3"/>
    <n v="8"/>
    <x v="177"/>
    <d v="1899-12-30T00:08:19"/>
  </r>
  <r>
    <x v="1"/>
    <x v="0"/>
    <n v="32.82"/>
    <x v="7"/>
    <x v="1"/>
    <x v="5"/>
    <x v="5"/>
    <n v="3"/>
    <n v="8"/>
    <x v="177"/>
    <d v="1899-12-30T00:10:04"/>
  </r>
  <r>
    <x v="1"/>
    <x v="0"/>
    <n v="23.02"/>
    <x v="2"/>
    <x v="1"/>
    <x v="5"/>
    <x v="5"/>
    <n v="3"/>
    <n v="8"/>
    <x v="177"/>
    <d v="1899-12-30T00:35:07"/>
  </r>
  <r>
    <x v="2"/>
    <x v="0"/>
    <n v="27.92"/>
    <x v="3"/>
    <x v="1"/>
    <x v="5"/>
    <x v="5"/>
    <n v="3"/>
    <n v="8"/>
    <x v="177"/>
    <d v="1899-12-30T00:48:35"/>
  </r>
  <r>
    <x v="14"/>
    <x v="0"/>
    <n v="23.02"/>
    <x v="2"/>
    <x v="0"/>
    <x v="6"/>
    <x v="5"/>
    <n v="4"/>
    <n v="8"/>
    <x v="178"/>
    <d v="1899-12-30T00:29:30"/>
  </r>
  <r>
    <x v="9"/>
    <x v="0"/>
    <n v="32.82"/>
    <x v="0"/>
    <x v="2"/>
    <x v="0"/>
    <x v="5"/>
    <n v="5"/>
    <n v="8"/>
    <x v="179"/>
    <d v="1899-12-30T00:13:31"/>
  </r>
  <r>
    <x v="9"/>
    <x v="0"/>
    <n v="27.92"/>
    <x v="3"/>
    <x v="2"/>
    <x v="0"/>
    <x v="5"/>
    <n v="5"/>
    <n v="8"/>
    <x v="179"/>
    <d v="1899-12-30T00:14:33"/>
  </r>
  <r>
    <x v="9"/>
    <x v="0"/>
    <n v="27.92"/>
    <x v="3"/>
    <x v="2"/>
    <x v="0"/>
    <x v="5"/>
    <n v="5"/>
    <n v="8"/>
    <x v="179"/>
    <d v="1899-12-30T00:15:35"/>
  </r>
  <r>
    <x v="10"/>
    <x v="0"/>
    <n v="23.02"/>
    <x v="5"/>
    <x v="0"/>
    <x v="1"/>
    <x v="5"/>
    <n v="6"/>
    <n v="8"/>
    <x v="180"/>
    <d v="1899-12-30T00:08:33"/>
  </r>
  <r>
    <x v="0"/>
    <x v="0"/>
    <n v="27.92"/>
    <x v="3"/>
    <x v="0"/>
    <x v="1"/>
    <x v="5"/>
    <n v="6"/>
    <n v="8"/>
    <x v="180"/>
    <d v="1899-12-30T00:02:08"/>
  </r>
  <r>
    <x v="0"/>
    <x v="0"/>
    <n v="18.12"/>
    <x v="6"/>
    <x v="0"/>
    <x v="1"/>
    <x v="5"/>
    <n v="6"/>
    <n v="8"/>
    <x v="180"/>
    <d v="1899-12-30T00:22:27"/>
  </r>
  <r>
    <x v="7"/>
    <x v="0"/>
    <n v="27.92"/>
    <x v="3"/>
    <x v="0"/>
    <x v="1"/>
    <x v="5"/>
    <n v="6"/>
    <n v="8"/>
    <x v="180"/>
    <d v="1899-12-30T00:29:55"/>
  </r>
  <r>
    <x v="7"/>
    <x v="0"/>
    <n v="23.02"/>
    <x v="5"/>
    <x v="0"/>
    <x v="1"/>
    <x v="5"/>
    <n v="6"/>
    <n v="8"/>
    <x v="180"/>
    <d v="1899-12-30T00:33:40"/>
  </r>
  <r>
    <x v="7"/>
    <x v="0"/>
    <n v="23.02"/>
    <x v="5"/>
    <x v="0"/>
    <x v="1"/>
    <x v="5"/>
    <n v="6"/>
    <n v="8"/>
    <x v="180"/>
    <d v="1899-12-30T00:34:33"/>
  </r>
  <r>
    <x v="10"/>
    <x v="0"/>
    <n v="23.02"/>
    <x v="5"/>
    <x v="0"/>
    <x v="2"/>
    <x v="6"/>
    <n v="7"/>
    <n v="9"/>
    <x v="181"/>
    <d v="1899-12-30T00:34:15"/>
  </r>
  <r>
    <x v="1"/>
    <x v="0"/>
    <n v="32.82"/>
    <x v="7"/>
    <x v="1"/>
    <x v="2"/>
    <x v="6"/>
    <n v="7"/>
    <n v="9"/>
    <x v="181"/>
    <d v="1899-12-30T00:11:25"/>
  </r>
  <r>
    <x v="1"/>
    <x v="0"/>
    <n v="27.92"/>
    <x v="3"/>
    <x v="1"/>
    <x v="2"/>
    <x v="6"/>
    <n v="7"/>
    <n v="9"/>
    <x v="181"/>
    <d v="1899-12-30T00:30:09"/>
  </r>
  <r>
    <x v="1"/>
    <x v="0"/>
    <n v="23.02"/>
    <x v="2"/>
    <x v="1"/>
    <x v="2"/>
    <x v="6"/>
    <n v="7"/>
    <n v="9"/>
    <x v="181"/>
    <d v="1899-12-30T00:32:22"/>
  </r>
  <r>
    <x v="1"/>
    <x v="0"/>
    <n v="27.92"/>
    <x v="3"/>
    <x v="1"/>
    <x v="2"/>
    <x v="6"/>
    <n v="7"/>
    <n v="9"/>
    <x v="181"/>
    <d v="1899-12-30T00:50:17"/>
  </r>
  <r>
    <x v="2"/>
    <x v="0"/>
    <n v="32.82"/>
    <x v="0"/>
    <x v="1"/>
    <x v="2"/>
    <x v="6"/>
    <n v="7"/>
    <n v="9"/>
    <x v="181"/>
    <d v="1899-12-30T00:57:34"/>
  </r>
  <r>
    <x v="8"/>
    <x v="0"/>
    <n v="27.92"/>
    <x v="3"/>
    <x v="1"/>
    <x v="2"/>
    <x v="6"/>
    <n v="7"/>
    <n v="9"/>
    <x v="181"/>
    <d v="1899-12-30T00:44:04"/>
  </r>
  <r>
    <x v="9"/>
    <x v="0"/>
    <n v="32.82"/>
    <x v="0"/>
    <x v="2"/>
    <x v="2"/>
    <x v="6"/>
    <n v="7"/>
    <n v="9"/>
    <x v="181"/>
    <d v="1899-12-30T00:20:46"/>
  </r>
  <r>
    <x v="9"/>
    <x v="0"/>
    <n v="32.82"/>
    <x v="0"/>
    <x v="2"/>
    <x v="2"/>
    <x v="6"/>
    <n v="7"/>
    <n v="9"/>
    <x v="181"/>
    <d v="1899-12-30T00:23:14"/>
  </r>
  <r>
    <x v="9"/>
    <x v="0"/>
    <n v="32.82"/>
    <x v="0"/>
    <x v="2"/>
    <x v="2"/>
    <x v="6"/>
    <n v="7"/>
    <n v="9"/>
    <x v="181"/>
    <d v="1899-12-30T00:24:50"/>
  </r>
  <r>
    <x v="12"/>
    <x v="0"/>
    <n v="32.82"/>
    <x v="0"/>
    <x v="0"/>
    <x v="3"/>
    <x v="6"/>
    <n v="1"/>
    <n v="9"/>
    <x v="182"/>
    <d v="1899-12-30T00:24:40"/>
  </r>
  <r>
    <x v="12"/>
    <x v="0"/>
    <n v="27.92"/>
    <x v="3"/>
    <x v="0"/>
    <x v="3"/>
    <x v="6"/>
    <n v="1"/>
    <n v="9"/>
    <x v="182"/>
    <d v="1899-12-30T00:50:18"/>
  </r>
  <r>
    <x v="12"/>
    <x v="0"/>
    <n v="32.82"/>
    <x v="0"/>
    <x v="0"/>
    <x v="3"/>
    <x v="6"/>
    <n v="1"/>
    <n v="9"/>
    <x v="182"/>
    <d v="1899-12-30T00:51:33"/>
  </r>
  <r>
    <x v="8"/>
    <x v="0"/>
    <n v="27.92"/>
    <x v="3"/>
    <x v="1"/>
    <x v="3"/>
    <x v="6"/>
    <n v="1"/>
    <n v="9"/>
    <x v="182"/>
    <d v="1899-12-30T00:58:47"/>
  </r>
  <r>
    <x v="11"/>
    <x v="0"/>
    <n v="32.82"/>
    <x v="7"/>
    <x v="2"/>
    <x v="3"/>
    <x v="6"/>
    <n v="1"/>
    <n v="9"/>
    <x v="182"/>
    <d v="1899-12-30T00:09:44"/>
  </r>
  <r>
    <x v="11"/>
    <x v="0"/>
    <n v="32.82"/>
    <x v="4"/>
    <x v="2"/>
    <x v="3"/>
    <x v="6"/>
    <n v="1"/>
    <n v="9"/>
    <x v="182"/>
    <d v="1899-12-30T00:11:18"/>
  </r>
  <r>
    <x v="11"/>
    <x v="0"/>
    <n v="23.02"/>
    <x v="2"/>
    <x v="2"/>
    <x v="3"/>
    <x v="6"/>
    <n v="1"/>
    <n v="9"/>
    <x v="182"/>
    <d v="1899-12-30T00:52:32"/>
  </r>
  <r>
    <x v="11"/>
    <x v="0"/>
    <n v="23.02"/>
    <x v="2"/>
    <x v="2"/>
    <x v="3"/>
    <x v="6"/>
    <n v="1"/>
    <n v="9"/>
    <x v="182"/>
    <d v="1899-12-30T00:53:29"/>
  </r>
  <r>
    <x v="12"/>
    <x v="0"/>
    <n v="32.82"/>
    <x v="4"/>
    <x v="0"/>
    <x v="4"/>
    <x v="6"/>
    <n v="2"/>
    <n v="9"/>
    <x v="183"/>
    <d v="1899-12-30T00:22:15"/>
  </r>
  <r>
    <x v="12"/>
    <x v="0"/>
    <n v="32.82"/>
    <x v="7"/>
    <x v="0"/>
    <x v="4"/>
    <x v="6"/>
    <n v="2"/>
    <n v="9"/>
    <x v="183"/>
    <d v="1899-12-30T00:28:12"/>
  </r>
  <r>
    <x v="12"/>
    <x v="0"/>
    <n v="32.82"/>
    <x v="0"/>
    <x v="0"/>
    <x v="4"/>
    <x v="6"/>
    <n v="2"/>
    <n v="9"/>
    <x v="183"/>
    <d v="1899-12-30T00:41:12"/>
  </r>
  <r>
    <x v="10"/>
    <x v="0"/>
    <n v="27.92"/>
    <x v="3"/>
    <x v="0"/>
    <x v="4"/>
    <x v="6"/>
    <n v="2"/>
    <n v="9"/>
    <x v="183"/>
    <d v="1899-12-30T00:03:13"/>
  </r>
  <r>
    <x v="10"/>
    <x v="0"/>
    <n v="32.82"/>
    <x v="7"/>
    <x v="0"/>
    <x v="4"/>
    <x v="6"/>
    <n v="2"/>
    <n v="9"/>
    <x v="183"/>
    <d v="1899-12-30T00:04:12"/>
  </r>
  <r>
    <x v="10"/>
    <x v="0"/>
    <n v="32.82"/>
    <x v="4"/>
    <x v="0"/>
    <x v="4"/>
    <x v="6"/>
    <n v="2"/>
    <n v="9"/>
    <x v="183"/>
    <d v="1899-12-30T00:12:48"/>
  </r>
  <r>
    <x v="10"/>
    <x v="0"/>
    <n v="32.82"/>
    <x v="4"/>
    <x v="0"/>
    <x v="4"/>
    <x v="6"/>
    <n v="2"/>
    <n v="9"/>
    <x v="183"/>
    <d v="1899-12-30T00:13:34"/>
  </r>
  <r>
    <x v="10"/>
    <x v="0"/>
    <n v="27.92"/>
    <x v="3"/>
    <x v="0"/>
    <x v="4"/>
    <x v="6"/>
    <n v="2"/>
    <n v="9"/>
    <x v="183"/>
    <d v="1899-12-30T00:17:02"/>
  </r>
  <r>
    <x v="10"/>
    <x v="0"/>
    <n v="27.92"/>
    <x v="3"/>
    <x v="0"/>
    <x v="4"/>
    <x v="6"/>
    <n v="2"/>
    <n v="9"/>
    <x v="183"/>
    <d v="1899-12-30T00:20:17"/>
  </r>
  <r>
    <x v="10"/>
    <x v="0"/>
    <n v="32.82"/>
    <x v="0"/>
    <x v="0"/>
    <x v="4"/>
    <x v="6"/>
    <n v="2"/>
    <n v="9"/>
    <x v="183"/>
    <d v="1899-12-30T00:37:52"/>
  </r>
  <r>
    <x v="10"/>
    <x v="0"/>
    <n v="32.82"/>
    <x v="4"/>
    <x v="0"/>
    <x v="4"/>
    <x v="6"/>
    <n v="2"/>
    <n v="9"/>
    <x v="183"/>
    <d v="1899-12-30T00:38:56"/>
  </r>
  <r>
    <x v="1"/>
    <x v="0"/>
    <n v="23.02"/>
    <x v="5"/>
    <x v="1"/>
    <x v="4"/>
    <x v="6"/>
    <n v="2"/>
    <n v="9"/>
    <x v="183"/>
    <d v="1899-12-30T00:56:53"/>
  </r>
  <r>
    <x v="8"/>
    <x v="0"/>
    <n v="27.92"/>
    <x v="3"/>
    <x v="1"/>
    <x v="4"/>
    <x v="6"/>
    <n v="2"/>
    <n v="9"/>
    <x v="183"/>
    <d v="1899-12-30T00:14:52"/>
  </r>
  <r>
    <x v="8"/>
    <x v="0"/>
    <n v="27.92"/>
    <x v="3"/>
    <x v="1"/>
    <x v="4"/>
    <x v="6"/>
    <n v="2"/>
    <n v="9"/>
    <x v="183"/>
    <d v="1899-12-30T00:16:17"/>
  </r>
  <r>
    <x v="5"/>
    <x v="0"/>
    <n v="27.92"/>
    <x v="3"/>
    <x v="2"/>
    <x v="4"/>
    <x v="6"/>
    <n v="2"/>
    <n v="9"/>
    <x v="183"/>
    <d v="1899-12-30T00:48:35"/>
  </r>
  <r>
    <x v="6"/>
    <x v="0"/>
    <n v="32.82"/>
    <x v="0"/>
    <x v="2"/>
    <x v="4"/>
    <x v="6"/>
    <n v="2"/>
    <n v="9"/>
    <x v="183"/>
    <d v="1899-12-30T00:11:12"/>
  </r>
  <r>
    <x v="6"/>
    <x v="0"/>
    <n v="27.92"/>
    <x v="3"/>
    <x v="2"/>
    <x v="4"/>
    <x v="6"/>
    <n v="2"/>
    <n v="9"/>
    <x v="183"/>
    <d v="1899-12-30T00:17:14"/>
  </r>
  <r>
    <x v="7"/>
    <x v="0"/>
    <n v="27.92"/>
    <x v="3"/>
    <x v="0"/>
    <x v="5"/>
    <x v="6"/>
    <n v="3"/>
    <n v="9"/>
    <x v="184"/>
    <d v="1899-12-30T00:11:22"/>
  </r>
  <r>
    <x v="7"/>
    <x v="0"/>
    <n v="32.82"/>
    <x v="0"/>
    <x v="0"/>
    <x v="5"/>
    <x v="6"/>
    <n v="3"/>
    <n v="9"/>
    <x v="184"/>
    <d v="1899-12-30T00:33:37"/>
  </r>
  <r>
    <x v="7"/>
    <x v="0"/>
    <n v="23.02"/>
    <x v="2"/>
    <x v="0"/>
    <x v="5"/>
    <x v="6"/>
    <n v="3"/>
    <n v="9"/>
    <x v="184"/>
    <d v="1899-12-30T00:48:04"/>
  </r>
  <r>
    <x v="7"/>
    <x v="0"/>
    <n v="27.92"/>
    <x v="3"/>
    <x v="0"/>
    <x v="5"/>
    <x v="6"/>
    <n v="3"/>
    <n v="9"/>
    <x v="184"/>
    <d v="1899-12-30T00:55:35"/>
  </r>
  <r>
    <x v="1"/>
    <x v="0"/>
    <n v="32.82"/>
    <x v="0"/>
    <x v="1"/>
    <x v="5"/>
    <x v="6"/>
    <n v="3"/>
    <n v="9"/>
    <x v="184"/>
    <d v="1899-12-30T00:53:31"/>
  </r>
  <r>
    <x v="2"/>
    <x v="0"/>
    <n v="32.82"/>
    <x v="0"/>
    <x v="1"/>
    <x v="5"/>
    <x v="6"/>
    <n v="3"/>
    <n v="9"/>
    <x v="184"/>
    <d v="1899-12-30T00:03:51"/>
  </r>
  <r>
    <x v="2"/>
    <x v="0"/>
    <n v="27.92"/>
    <x v="3"/>
    <x v="1"/>
    <x v="5"/>
    <x v="6"/>
    <n v="3"/>
    <n v="9"/>
    <x v="184"/>
    <d v="1899-12-30T00:05:16"/>
  </r>
  <r>
    <x v="5"/>
    <x v="0"/>
    <n v="32.82"/>
    <x v="7"/>
    <x v="2"/>
    <x v="5"/>
    <x v="6"/>
    <n v="3"/>
    <n v="9"/>
    <x v="184"/>
    <d v="1899-12-30T00:03:47"/>
  </r>
  <r>
    <x v="6"/>
    <x v="0"/>
    <n v="27.92"/>
    <x v="3"/>
    <x v="2"/>
    <x v="5"/>
    <x v="6"/>
    <n v="3"/>
    <n v="9"/>
    <x v="184"/>
    <d v="1899-12-30T00:41:42"/>
  </r>
  <r>
    <x v="15"/>
    <x v="0"/>
    <n v="32.82"/>
    <x v="0"/>
    <x v="2"/>
    <x v="5"/>
    <x v="6"/>
    <n v="3"/>
    <n v="9"/>
    <x v="184"/>
    <d v="1899-12-30T00:19:36"/>
  </r>
  <r>
    <x v="10"/>
    <x v="0"/>
    <n v="27.92"/>
    <x v="3"/>
    <x v="0"/>
    <x v="6"/>
    <x v="6"/>
    <n v="4"/>
    <n v="9"/>
    <x v="185"/>
    <d v="1899-12-30T00:31:17"/>
  </r>
  <r>
    <x v="0"/>
    <x v="0"/>
    <n v="27.92"/>
    <x v="3"/>
    <x v="0"/>
    <x v="6"/>
    <x v="6"/>
    <n v="4"/>
    <n v="9"/>
    <x v="185"/>
    <d v="1899-12-30T00:28:56"/>
  </r>
  <r>
    <x v="7"/>
    <x v="0"/>
    <n v="23.02"/>
    <x v="2"/>
    <x v="0"/>
    <x v="6"/>
    <x v="6"/>
    <n v="4"/>
    <n v="9"/>
    <x v="185"/>
    <d v="1899-12-30T00:06:31"/>
  </r>
  <r>
    <x v="8"/>
    <x v="0"/>
    <n v="32.82"/>
    <x v="0"/>
    <x v="1"/>
    <x v="6"/>
    <x v="6"/>
    <n v="4"/>
    <n v="9"/>
    <x v="185"/>
    <d v="1899-12-30T00:00:28"/>
  </r>
  <r>
    <x v="3"/>
    <x v="0"/>
    <n v="32.82"/>
    <x v="0"/>
    <x v="1"/>
    <x v="6"/>
    <x v="6"/>
    <n v="4"/>
    <n v="9"/>
    <x v="185"/>
    <d v="1899-12-30T00:25:12"/>
  </r>
  <r>
    <x v="4"/>
    <x v="0"/>
    <n v="23.02"/>
    <x v="2"/>
    <x v="1"/>
    <x v="6"/>
    <x v="6"/>
    <n v="4"/>
    <n v="9"/>
    <x v="185"/>
    <d v="1899-12-30T00:38:50"/>
  </r>
  <r>
    <x v="4"/>
    <x v="0"/>
    <n v="27.92"/>
    <x v="3"/>
    <x v="1"/>
    <x v="6"/>
    <x v="6"/>
    <n v="4"/>
    <n v="9"/>
    <x v="185"/>
    <d v="1899-12-30T00:40:00"/>
  </r>
  <r>
    <x v="9"/>
    <x v="0"/>
    <n v="32.82"/>
    <x v="7"/>
    <x v="2"/>
    <x v="6"/>
    <x v="6"/>
    <n v="4"/>
    <n v="9"/>
    <x v="185"/>
    <d v="1899-12-30T00:04:29"/>
  </r>
  <r>
    <x v="9"/>
    <x v="0"/>
    <n v="32.82"/>
    <x v="7"/>
    <x v="2"/>
    <x v="6"/>
    <x v="6"/>
    <n v="4"/>
    <n v="9"/>
    <x v="185"/>
    <d v="1899-12-30T00:05:32"/>
  </r>
  <r>
    <x v="11"/>
    <x v="0"/>
    <n v="32.82"/>
    <x v="7"/>
    <x v="2"/>
    <x v="6"/>
    <x v="6"/>
    <n v="4"/>
    <n v="9"/>
    <x v="185"/>
    <d v="1899-12-30T00:30:15"/>
  </r>
  <r>
    <x v="11"/>
    <x v="0"/>
    <n v="23.02"/>
    <x v="2"/>
    <x v="2"/>
    <x v="6"/>
    <x v="6"/>
    <n v="4"/>
    <n v="9"/>
    <x v="185"/>
    <d v="1899-12-30T00:54:24"/>
  </r>
  <r>
    <x v="11"/>
    <x v="0"/>
    <n v="32.82"/>
    <x v="7"/>
    <x v="2"/>
    <x v="6"/>
    <x v="6"/>
    <n v="4"/>
    <n v="9"/>
    <x v="185"/>
    <d v="1899-12-30T00:55:31"/>
  </r>
  <r>
    <x v="15"/>
    <x v="0"/>
    <n v="27.92"/>
    <x v="3"/>
    <x v="2"/>
    <x v="6"/>
    <x v="6"/>
    <n v="4"/>
    <n v="9"/>
    <x v="185"/>
    <d v="1899-12-30T00:26:29"/>
  </r>
  <r>
    <x v="15"/>
    <x v="0"/>
    <n v="27.92"/>
    <x v="3"/>
    <x v="2"/>
    <x v="6"/>
    <x v="6"/>
    <n v="4"/>
    <n v="9"/>
    <x v="185"/>
    <d v="1899-12-30T00:27:30"/>
  </r>
  <r>
    <x v="12"/>
    <x v="0"/>
    <n v="32.82"/>
    <x v="7"/>
    <x v="0"/>
    <x v="0"/>
    <x v="6"/>
    <n v="5"/>
    <n v="9"/>
    <x v="186"/>
    <d v="1899-12-30T00:25:34"/>
  </r>
  <r>
    <x v="12"/>
    <x v="0"/>
    <n v="32.82"/>
    <x v="0"/>
    <x v="0"/>
    <x v="0"/>
    <x v="6"/>
    <n v="5"/>
    <n v="9"/>
    <x v="186"/>
    <d v="1899-12-30T00:34:47"/>
  </r>
  <r>
    <x v="12"/>
    <x v="0"/>
    <n v="23.02"/>
    <x v="2"/>
    <x v="0"/>
    <x v="0"/>
    <x v="6"/>
    <n v="5"/>
    <n v="9"/>
    <x v="186"/>
    <d v="1899-12-30T00:54:42"/>
  </r>
  <r>
    <x v="10"/>
    <x v="0"/>
    <n v="18.12"/>
    <x v="6"/>
    <x v="0"/>
    <x v="0"/>
    <x v="6"/>
    <n v="5"/>
    <n v="9"/>
    <x v="186"/>
    <d v="1899-12-30T00:50:40"/>
  </r>
  <r>
    <x v="10"/>
    <x v="0"/>
    <n v="32.82"/>
    <x v="0"/>
    <x v="0"/>
    <x v="0"/>
    <x v="6"/>
    <n v="5"/>
    <n v="9"/>
    <x v="186"/>
    <d v="1899-12-30T00:51:52"/>
  </r>
  <r>
    <x v="0"/>
    <x v="0"/>
    <n v="32.82"/>
    <x v="1"/>
    <x v="0"/>
    <x v="0"/>
    <x v="6"/>
    <n v="5"/>
    <n v="9"/>
    <x v="186"/>
    <d v="1899-12-30T00:30:06"/>
  </r>
  <r>
    <x v="7"/>
    <x v="0"/>
    <n v="18.12"/>
    <x v="6"/>
    <x v="0"/>
    <x v="0"/>
    <x v="6"/>
    <n v="5"/>
    <n v="9"/>
    <x v="186"/>
    <d v="1899-12-30T00:23:25"/>
  </r>
  <r>
    <x v="7"/>
    <x v="0"/>
    <n v="18.12"/>
    <x v="6"/>
    <x v="0"/>
    <x v="0"/>
    <x v="6"/>
    <n v="5"/>
    <n v="9"/>
    <x v="186"/>
    <d v="1899-12-30T00:24:29"/>
  </r>
  <r>
    <x v="11"/>
    <x v="0"/>
    <n v="32.82"/>
    <x v="0"/>
    <x v="2"/>
    <x v="0"/>
    <x v="6"/>
    <n v="5"/>
    <n v="9"/>
    <x v="186"/>
    <d v="1899-12-30T00:00:12"/>
  </r>
  <r>
    <x v="15"/>
    <x v="0"/>
    <n v="32.82"/>
    <x v="0"/>
    <x v="2"/>
    <x v="0"/>
    <x v="6"/>
    <n v="5"/>
    <n v="9"/>
    <x v="186"/>
    <d v="1899-12-30T00:09:31"/>
  </r>
  <r>
    <x v="12"/>
    <x v="0"/>
    <n v="32.82"/>
    <x v="0"/>
    <x v="0"/>
    <x v="1"/>
    <x v="6"/>
    <n v="6"/>
    <n v="9"/>
    <x v="187"/>
    <d v="1899-12-30T00:48:57"/>
  </r>
  <r>
    <x v="10"/>
    <x v="0"/>
    <n v="23.02"/>
    <x v="5"/>
    <x v="0"/>
    <x v="1"/>
    <x v="6"/>
    <n v="6"/>
    <n v="9"/>
    <x v="187"/>
    <d v="1899-12-30T00:52:03"/>
  </r>
  <r>
    <x v="10"/>
    <x v="0"/>
    <n v="23.02"/>
    <x v="5"/>
    <x v="0"/>
    <x v="1"/>
    <x v="6"/>
    <n v="6"/>
    <n v="9"/>
    <x v="187"/>
    <d v="1899-12-30T00:53:04"/>
  </r>
  <r>
    <x v="10"/>
    <x v="0"/>
    <n v="23.02"/>
    <x v="5"/>
    <x v="0"/>
    <x v="1"/>
    <x v="6"/>
    <n v="6"/>
    <n v="9"/>
    <x v="187"/>
    <d v="1899-12-30T00:54:42"/>
  </r>
  <r>
    <x v="10"/>
    <x v="0"/>
    <n v="27.92"/>
    <x v="3"/>
    <x v="0"/>
    <x v="1"/>
    <x v="6"/>
    <n v="6"/>
    <n v="9"/>
    <x v="187"/>
    <d v="1899-12-30T00:57:48"/>
  </r>
  <r>
    <x v="10"/>
    <x v="0"/>
    <n v="27.92"/>
    <x v="3"/>
    <x v="0"/>
    <x v="1"/>
    <x v="6"/>
    <n v="6"/>
    <n v="9"/>
    <x v="187"/>
    <d v="1899-12-30T00:59:02"/>
  </r>
  <r>
    <x v="0"/>
    <x v="0"/>
    <n v="23.02"/>
    <x v="5"/>
    <x v="0"/>
    <x v="1"/>
    <x v="6"/>
    <n v="6"/>
    <n v="9"/>
    <x v="187"/>
    <d v="1899-12-30T00:00:20"/>
  </r>
  <r>
    <x v="0"/>
    <x v="0"/>
    <n v="23.02"/>
    <x v="2"/>
    <x v="0"/>
    <x v="1"/>
    <x v="6"/>
    <n v="6"/>
    <n v="9"/>
    <x v="187"/>
    <d v="1899-12-30T00:22:45"/>
  </r>
  <r>
    <x v="0"/>
    <x v="0"/>
    <n v="18.12"/>
    <x v="6"/>
    <x v="0"/>
    <x v="1"/>
    <x v="6"/>
    <n v="6"/>
    <n v="9"/>
    <x v="187"/>
    <d v="1899-12-30T00:37:52"/>
  </r>
  <r>
    <x v="0"/>
    <x v="0"/>
    <n v="18.12"/>
    <x v="6"/>
    <x v="0"/>
    <x v="1"/>
    <x v="6"/>
    <n v="6"/>
    <n v="9"/>
    <x v="187"/>
    <d v="1899-12-30T00:40:13"/>
  </r>
  <r>
    <x v="0"/>
    <x v="0"/>
    <n v="32.82"/>
    <x v="0"/>
    <x v="0"/>
    <x v="1"/>
    <x v="6"/>
    <n v="6"/>
    <n v="9"/>
    <x v="187"/>
    <d v="1899-12-30T00:53:32"/>
  </r>
  <r>
    <x v="7"/>
    <x v="0"/>
    <n v="27.92"/>
    <x v="3"/>
    <x v="0"/>
    <x v="1"/>
    <x v="6"/>
    <n v="6"/>
    <n v="9"/>
    <x v="187"/>
    <d v="1899-12-30T00:18:57"/>
  </r>
  <r>
    <x v="7"/>
    <x v="0"/>
    <n v="23.02"/>
    <x v="2"/>
    <x v="0"/>
    <x v="1"/>
    <x v="6"/>
    <n v="6"/>
    <n v="9"/>
    <x v="187"/>
    <d v="1899-12-30T00:20:00"/>
  </r>
  <r>
    <x v="7"/>
    <x v="0"/>
    <n v="18.12"/>
    <x v="6"/>
    <x v="0"/>
    <x v="1"/>
    <x v="6"/>
    <n v="6"/>
    <n v="9"/>
    <x v="187"/>
    <d v="1899-12-30T00:20:57"/>
  </r>
  <r>
    <x v="3"/>
    <x v="0"/>
    <n v="32.82"/>
    <x v="0"/>
    <x v="1"/>
    <x v="1"/>
    <x v="6"/>
    <n v="6"/>
    <n v="9"/>
    <x v="187"/>
    <d v="1899-12-30T00:55:09"/>
  </r>
  <r>
    <x v="4"/>
    <x v="0"/>
    <n v="23.02"/>
    <x v="2"/>
    <x v="1"/>
    <x v="1"/>
    <x v="6"/>
    <n v="6"/>
    <n v="9"/>
    <x v="187"/>
    <d v="1899-12-30T00:20:01"/>
  </r>
  <r>
    <x v="4"/>
    <x v="0"/>
    <n v="18.12"/>
    <x v="6"/>
    <x v="1"/>
    <x v="1"/>
    <x v="6"/>
    <n v="6"/>
    <n v="9"/>
    <x v="187"/>
    <d v="1899-12-30T00:20:59"/>
  </r>
  <r>
    <x v="6"/>
    <x v="0"/>
    <n v="32.82"/>
    <x v="4"/>
    <x v="2"/>
    <x v="1"/>
    <x v="6"/>
    <n v="6"/>
    <n v="9"/>
    <x v="187"/>
    <d v="1899-12-30T00:35:05"/>
  </r>
  <r>
    <x v="6"/>
    <x v="0"/>
    <n v="32.82"/>
    <x v="0"/>
    <x v="2"/>
    <x v="1"/>
    <x v="6"/>
    <n v="6"/>
    <n v="9"/>
    <x v="187"/>
    <d v="1899-12-30T00:36:05"/>
  </r>
  <r>
    <x v="6"/>
    <x v="0"/>
    <n v="32.82"/>
    <x v="0"/>
    <x v="2"/>
    <x v="1"/>
    <x v="6"/>
    <n v="6"/>
    <n v="9"/>
    <x v="187"/>
    <d v="1899-12-30T00:37:16"/>
  </r>
  <r>
    <x v="11"/>
    <x v="0"/>
    <n v="32.82"/>
    <x v="0"/>
    <x v="2"/>
    <x v="1"/>
    <x v="6"/>
    <n v="6"/>
    <n v="9"/>
    <x v="187"/>
    <d v="1899-12-30T00:13:52"/>
  </r>
  <r>
    <x v="11"/>
    <x v="0"/>
    <n v="32.82"/>
    <x v="0"/>
    <x v="2"/>
    <x v="1"/>
    <x v="6"/>
    <n v="6"/>
    <n v="9"/>
    <x v="187"/>
    <d v="1899-12-30T00:14:59"/>
  </r>
  <r>
    <x v="12"/>
    <x v="0"/>
    <n v="23.02"/>
    <x v="5"/>
    <x v="0"/>
    <x v="2"/>
    <x v="6"/>
    <n v="7"/>
    <n v="9"/>
    <x v="188"/>
    <d v="1899-12-30T00:15:41"/>
  </r>
  <r>
    <x v="10"/>
    <x v="0"/>
    <n v="23.02"/>
    <x v="5"/>
    <x v="0"/>
    <x v="2"/>
    <x v="6"/>
    <n v="7"/>
    <n v="9"/>
    <x v="188"/>
    <d v="1899-12-30T00:18:17"/>
  </r>
  <r>
    <x v="10"/>
    <x v="0"/>
    <n v="23.02"/>
    <x v="5"/>
    <x v="0"/>
    <x v="2"/>
    <x v="6"/>
    <n v="7"/>
    <n v="9"/>
    <x v="188"/>
    <d v="1899-12-30T00:19:12"/>
  </r>
  <r>
    <x v="0"/>
    <x v="0"/>
    <n v="23.02"/>
    <x v="5"/>
    <x v="0"/>
    <x v="2"/>
    <x v="6"/>
    <n v="7"/>
    <n v="9"/>
    <x v="188"/>
    <d v="1899-12-30T00:05:56"/>
  </r>
  <r>
    <x v="1"/>
    <x v="0"/>
    <n v="23.02"/>
    <x v="5"/>
    <x v="1"/>
    <x v="2"/>
    <x v="6"/>
    <n v="7"/>
    <n v="9"/>
    <x v="188"/>
    <d v="1899-12-30T00:43:28"/>
  </r>
  <r>
    <x v="11"/>
    <x v="0"/>
    <n v="23.02"/>
    <x v="2"/>
    <x v="2"/>
    <x v="2"/>
    <x v="6"/>
    <n v="7"/>
    <n v="9"/>
    <x v="188"/>
    <d v="1899-12-30T00:13:33"/>
  </r>
  <r>
    <x v="14"/>
    <x v="0"/>
    <n v="32.82"/>
    <x v="0"/>
    <x v="0"/>
    <x v="3"/>
    <x v="6"/>
    <n v="1"/>
    <n v="9"/>
    <x v="189"/>
    <d v="1899-12-30T00:51:14"/>
  </r>
  <r>
    <x v="14"/>
    <x v="0"/>
    <n v="32.82"/>
    <x v="7"/>
    <x v="0"/>
    <x v="3"/>
    <x v="6"/>
    <n v="1"/>
    <n v="9"/>
    <x v="189"/>
    <d v="1899-12-30T00:53:52"/>
  </r>
  <r>
    <x v="14"/>
    <x v="0"/>
    <n v="27.92"/>
    <x v="3"/>
    <x v="0"/>
    <x v="3"/>
    <x v="6"/>
    <n v="1"/>
    <n v="9"/>
    <x v="189"/>
    <d v="1899-12-30T00:55:22"/>
  </r>
  <r>
    <x v="14"/>
    <x v="0"/>
    <n v="32.82"/>
    <x v="0"/>
    <x v="0"/>
    <x v="3"/>
    <x v="6"/>
    <n v="1"/>
    <n v="9"/>
    <x v="189"/>
    <d v="1899-12-30T00:56:38"/>
  </r>
  <r>
    <x v="10"/>
    <x v="0"/>
    <n v="32.82"/>
    <x v="0"/>
    <x v="0"/>
    <x v="3"/>
    <x v="6"/>
    <n v="1"/>
    <n v="9"/>
    <x v="189"/>
    <d v="1899-12-30T00:49:51"/>
  </r>
  <r>
    <x v="10"/>
    <x v="0"/>
    <n v="32.82"/>
    <x v="1"/>
    <x v="0"/>
    <x v="3"/>
    <x v="6"/>
    <n v="1"/>
    <n v="9"/>
    <x v="189"/>
    <d v="1899-12-30T00:50:52"/>
  </r>
  <r>
    <x v="10"/>
    <x v="0"/>
    <n v="32.82"/>
    <x v="0"/>
    <x v="0"/>
    <x v="3"/>
    <x v="6"/>
    <n v="1"/>
    <n v="9"/>
    <x v="189"/>
    <d v="1899-12-30T00:59:11"/>
  </r>
  <r>
    <x v="7"/>
    <x v="0"/>
    <n v="27.92"/>
    <x v="3"/>
    <x v="0"/>
    <x v="3"/>
    <x v="6"/>
    <n v="1"/>
    <n v="9"/>
    <x v="189"/>
    <d v="1899-12-30T00:11:36"/>
  </r>
  <r>
    <x v="7"/>
    <x v="0"/>
    <n v="27.92"/>
    <x v="3"/>
    <x v="0"/>
    <x v="3"/>
    <x v="6"/>
    <n v="1"/>
    <n v="9"/>
    <x v="189"/>
    <d v="1899-12-30T00:12:51"/>
  </r>
  <r>
    <x v="7"/>
    <x v="0"/>
    <n v="32.82"/>
    <x v="0"/>
    <x v="0"/>
    <x v="3"/>
    <x v="6"/>
    <n v="1"/>
    <n v="9"/>
    <x v="189"/>
    <d v="1899-12-30T00:29:49"/>
  </r>
  <r>
    <x v="1"/>
    <x v="0"/>
    <n v="18.12"/>
    <x v="6"/>
    <x v="1"/>
    <x v="3"/>
    <x v="6"/>
    <n v="1"/>
    <n v="9"/>
    <x v="189"/>
    <d v="1899-12-30T00:07:00"/>
  </r>
  <r>
    <x v="3"/>
    <x v="0"/>
    <n v="32.82"/>
    <x v="0"/>
    <x v="1"/>
    <x v="3"/>
    <x v="6"/>
    <n v="1"/>
    <n v="9"/>
    <x v="189"/>
    <d v="1899-12-30T00:12:14"/>
  </r>
  <r>
    <x v="3"/>
    <x v="0"/>
    <n v="23.02"/>
    <x v="2"/>
    <x v="1"/>
    <x v="3"/>
    <x v="6"/>
    <n v="1"/>
    <n v="9"/>
    <x v="189"/>
    <d v="1899-12-30T00:13:25"/>
  </r>
  <r>
    <x v="9"/>
    <x v="0"/>
    <n v="32.82"/>
    <x v="0"/>
    <x v="2"/>
    <x v="3"/>
    <x v="6"/>
    <n v="1"/>
    <n v="9"/>
    <x v="189"/>
    <d v="1899-12-30T00:24:10"/>
  </r>
  <r>
    <x v="5"/>
    <x v="0"/>
    <n v="32.82"/>
    <x v="0"/>
    <x v="2"/>
    <x v="3"/>
    <x v="6"/>
    <n v="1"/>
    <n v="9"/>
    <x v="189"/>
    <d v="1899-12-30T00:13:46"/>
  </r>
  <r>
    <x v="11"/>
    <x v="0"/>
    <n v="32.82"/>
    <x v="7"/>
    <x v="2"/>
    <x v="3"/>
    <x v="6"/>
    <n v="1"/>
    <n v="9"/>
    <x v="189"/>
    <d v="1899-12-30T00:07:36"/>
  </r>
  <r>
    <x v="11"/>
    <x v="0"/>
    <n v="32.82"/>
    <x v="0"/>
    <x v="2"/>
    <x v="3"/>
    <x v="6"/>
    <n v="1"/>
    <n v="9"/>
    <x v="189"/>
    <d v="1899-12-30T00:13:44"/>
  </r>
  <r>
    <x v="12"/>
    <x v="0"/>
    <n v="32.82"/>
    <x v="1"/>
    <x v="0"/>
    <x v="4"/>
    <x v="6"/>
    <n v="2"/>
    <n v="9"/>
    <x v="190"/>
    <d v="1899-12-30T00:12:02"/>
  </r>
  <r>
    <x v="10"/>
    <x v="0"/>
    <n v="32.82"/>
    <x v="7"/>
    <x v="0"/>
    <x v="4"/>
    <x v="6"/>
    <n v="2"/>
    <n v="9"/>
    <x v="190"/>
    <d v="1899-12-30T00:32:47"/>
  </r>
  <r>
    <x v="3"/>
    <x v="0"/>
    <n v="23.02"/>
    <x v="5"/>
    <x v="1"/>
    <x v="4"/>
    <x v="6"/>
    <n v="2"/>
    <n v="9"/>
    <x v="190"/>
    <d v="1899-12-30T00:21:54"/>
  </r>
  <r>
    <x v="3"/>
    <x v="0"/>
    <n v="23.02"/>
    <x v="5"/>
    <x v="1"/>
    <x v="4"/>
    <x v="6"/>
    <n v="2"/>
    <n v="9"/>
    <x v="190"/>
    <d v="1899-12-30T00:23:06"/>
  </r>
  <r>
    <x v="5"/>
    <x v="0"/>
    <n v="32.82"/>
    <x v="7"/>
    <x v="2"/>
    <x v="4"/>
    <x v="6"/>
    <n v="2"/>
    <n v="9"/>
    <x v="190"/>
    <d v="1899-12-30T00:43:42"/>
  </r>
  <r>
    <x v="5"/>
    <x v="0"/>
    <n v="27.92"/>
    <x v="3"/>
    <x v="2"/>
    <x v="4"/>
    <x v="6"/>
    <n v="2"/>
    <n v="9"/>
    <x v="190"/>
    <d v="1899-12-30T00:45:23"/>
  </r>
  <r>
    <x v="6"/>
    <x v="0"/>
    <n v="32.82"/>
    <x v="0"/>
    <x v="2"/>
    <x v="4"/>
    <x v="6"/>
    <n v="2"/>
    <n v="9"/>
    <x v="190"/>
    <d v="1899-12-30T00:02:43"/>
  </r>
  <r>
    <x v="6"/>
    <x v="0"/>
    <n v="32.82"/>
    <x v="0"/>
    <x v="2"/>
    <x v="4"/>
    <x v="6"/>
    <n v="2"/>
    <n v="9"/>
    <x v="190"/>
    <d v="1899-12-30T00:03:53"/>
  </r>
  <r>
    <x v="15"/>
    <x v="0"/>
    <n v="27.92"/>
    <x v="3"/>
    <x v="2"/>
    <x v="4"/>
    <x v="6"/>
    <n v="2"/>
    <n v="9"/>
    <x v="190"/>
    <d v="1899-12-30T00:29:35"/>
  </r>
  <r>
    <x v="15"/>
    <x v="0"/>
    <n v="23.02"/>
    <x v="2"/>
    <x v="2"/>
    <x v="4"/>
    <x v="6"/>
    <n v="2"/>
    <n v="9"/>
    <x v="190"/>
    <d v="1899-12-30T00:30:27"/>
  </r>
  <r>
    <x v="12"/>
    <x v="0"/>
    <n v="32.82"/>
    <x v="0"/>
    <x v="0"/>
    <x v="5"/>
    <x v="6"/>
    <n v="3"/>
    <n v="9"/>
    <x v="191"/>
    <d v="1899-12-30T00:47:22"/>
  </r>
  <r>
    <x v="10"/>
    <x v="0"/>
    <n v="27.92"/>
    <x v="3"/>
    <x v="0"/>
    <x v="5"/>
    <x v="6"/>
    <n v="3"/>
    <n v="9"/>
    <x v="191"/>
    <d v="1899-12-30T00:28:47"/>
  </r>
  <r>
    <x v="0"/>
    <x v="0"/>
    <n v="32.82"/>
    <x v="0"/>
    <x v="0"/>
    <x v="5"/>
    <x v="6"/>
    <n v="3"/>
    <n v="9"/>
    <x v="191"/>
    <d v="1899-12-30T00:52:09"/>
  </r>
  <r>
    <x v="6"/>
    <x v="0"/>
    <n v="32.82"/>
    <x v="7"/>
    <x v="2"/>
    <x v="5"/>
    <x v="6"/>
    <n v="3"/>
    <n v="9"/>
    <x v="191"/>
    <d v="1899-12-30T00:53:13"/>
  </r>
  <r>
    <x v="11"/>
    <x v="0"/>
    <n v="27.92"/>
    <x v="3"/>
    <x v="2"/>
    <x v="5"/>
    <x v="6"/>
    <n v="3"/>
    <n v="9"/>
    <x v="191"/>
    <d v="1899-12-30T00:13:15"/>
  </r>
  <r>
    <x v="11"/>
    <x v="0"/>
    <n v="32.82"/>
    <x v="0"/>
    <x v="2"/>
    <x v="5"/>
    <x v="6"/>
    <n v="3"/>
    <n v="9"/>
    <x v="191"/>
    <d v="1899-12-30T00:14:19"/>
  </r>
  <r>
    <x v="11"/>
    <x v="0"/>
    <n v="32.82"/>
    <x v="0"/>
    <x v="2"/>
    <x v="5"/>
    <x v="6"/>
    <n v="3"/>
    <n v="9"/>
    <x v="191"/>
    <d v="1899-12-30T00:15:19"/>
  </r>
  <r>
    <x v="15"/>
    <x v="0"/>
    <n v="23.02"/>
    <x v="5"/>
    <x v="2"/>
    <x v="5"/>
    <x v="6"/>
    <n v="3"/>
    <n v="9"/>
    <x v="191"/>
    <d v="1899-12-30T00:01:34"/>
  </r>
  <r>
    <x v="0"/>
    <x v="0"/>
    <n v="18.12"/>
    <x v="6"/>
    <x v="0"/>
    <x v="6"/>
    <x v="6"/>
    <n v="4"/>
    <n v="9"/>
    <x v="192"/>
    <d v="1899-12-30T00:57:26"/>
  </r>
  <r>
    <x v="0"/>
    <x v="0"/>
    <n v="27.92"/>
    <x v="3"/>
    <x v="0"/>
    <x v="6"/>
    <x v="6"/>
    <n v="4"/>
    <n v="9"/>
    <x v="192"/>
    <d v="1899-12-30T00:58:20"/>
  </r>
  <r>
    <x v="7"/>
    <x v="0"/>
    <n v="27.92"/>
    <x v="3"/>
    <x v="0"/>
    <x v="6"/>
    <x v="6"/>
    <n v="4"/>
    <n v="9"/>
    <x v="192"/>
    <d v="1899-12-30T00:27:36"/>
  </r>
  <r>
    <x v="1"/>
    <x v="0"/>
    <n v="32.82"/>
    <x v="7"/>
    <x v="1"/>
    <x v="6"/>
    <x v="6"/>
    <n v="4"/>
    <n v="9"/>
    <x v="192"/>
    <d v="1899-12-30T00:08:22"/>
  </r>
  <r>
    <x v="1"/>
    <x v="0"/>
    <n v="23.02"/>
    <x v="5"/>
    <x v="1"/>
    <x v="6"/>
    <x v="6"/>
    <n v="4"/>
    <n v="9"/>
    <x v="192"/>
    <d v="1899-12-30T00:31:07"/>
  </r>
  <r>
    <x v="1"/>
    <x v="0"/>
    <n v="23.02"/>
    <x v="5"/>
    <x v="1"/>
    <x v="6"/>
    <x v="6"/>
    <n v="4"/>
    <n v="9"/>
    <x v="192"/>
    <d v="1899-12-30T00:32:23"/>
  </r>
  <r>
    <x v="1"/>
    <x v="0"/>
    <n v="23.02"/>
    <x v="5"/>
    <x v="1"/>
    <x v="6"/>
    <x v="6"/>
    <n v="4"/>
    <n v="9"/>
    <x v="192"/>
    <d v="1899-12-30T00:37:20"/>
  </r>
  <r>
    <x v="1"/>
    <x v="0"/>
    <n v="23.02"/>
    <x v="5"/>
    <x v="1"/>
    <x v="6"/>
    <x v="6"/>
    <n v="4"/>
    <n v="9"/>
    <x v="192"/>
    <d v="1899-12-30T00:38:10"/>
  </r>
  <r>
    <x v="9"/>
    <x v="0"/>
    <n v="32.82"/>
    <x v="0"/>
    <x v="2"/>
    <x v="6"/>
    <x v="6"/>
    <n v="4"/>
    <n v="9"/>
    <x v="192"/>
    <d v="1899-12-30T00:01:25"/>
  </r>
  <r>
    <x v="15"/>
    <x v="0"/>
    <n v="23.02"/>
    <x v="2"/>
    <x v="2"/>
    <x v="6"/>
    <x v="6"/>
    <n v="4"/>
    <n v="9"/>
    <x v="192"/>
    <d v="1899-12-30T00:09:10"/>
  </r>
  <r>
    <x v="15"/>
    <x v="0"/>
    <n v="32.82"/>
    <x v="7"/>
    <x v="2"/>
    <x v="6"/>
    <x v="6"/>
    <n v="4"/>
    <n v="9"/>
    <x v="192"/>
    <d v="1899-12-30T00:10:21"/>
  </r>
  <r>
    <x v="15"/>
    <x v="0"/>
    <n v="23.02"/>
    <x v="5"/>
    <x v="2"/>
    <x v="6"/>
    <x v="6"/>
    <n v="4"/>
    <n v="9"/>
    <x v="192"/>
    <d v="1899-12-30T00:13:17"/>
  </r>
  <r>
    <x v="14"/>
    <x v="0"/>
    <n v="32.82"/>
    <x v="0"/>
    <x v="0"/>
    <x v="0"/>
    <x v="6"/>
    <n v="5"/>
    <n v="9"/>
    <x v="193"/>
    <d v="1899-12-30T00:56:54"/>
  </r>
  <r>
    <x v="12"/>
    <x v="0"/>
    <n v="32.82"/>
    <x v="0"/>
    <x v="0"/>
    <x v="0"/>
    <x v="6"/>
    <n v="5"/>
    <n v="9"/>
    <x v="193"/>
    <d v="1899-12-30T00:41:03"/>
  </r>
  <r>
    <x v="12"/>
    <x v="0"/>
    <n v="32.82"/>
    <x v="0"/>
    <x v="0"/>
    <x v="0"/>
    <x v="6"/>
    <n v="5"/>
    <n v="9"/>
    <x v="193"/>
    <d v="1899-12-30T00:54:16"/>
  </r>
  <r>
    <x v="10"/>
    <x v="0"/>
    <n v="32.82"/>
    <x v="0"/>
    <x v="0"/>
    <x v="0"/>
    <x v="6"/>
    <n v="5"/>
    <n v="9"/>
    <x v="193"/>
    <d v="1899-12-30T00:51:19"/>
  </r>
  <r>
    <x v="3"/>
    <x v="0"/>
    <n v="27.92"/>
    <x v="3"/>
    <x v="1"/>
    <x v="0"/>
    <x v="6"/>
    <n v="5"/>
    <n v="9"/>
    <x v="193"/>
    <d v="1899-12-30T00:38:19"/>
  </r>
  <r>
    <x v="3"/>
    <x v="0"/>
    <n v="27.92"/>
    <x v="3"/>
    <x v="1"/>
    <x v="0"/>
    <x v="6"/>
    <n v="5"/>
    <n v="9"/>
    <x v="193"/>
    <d v="1899-12-30T00:50:54"/>
  </r>
  <r>
    <x v="4"/>
    <x v="0"/>
    <n v="32.82"/>
    <x v="7"/>
    <x v="1"/>
    <x v="1"/>
    <x v="6"/>
    <n v="6"/>
    <n v="9"/>
    <x v="194"/>
    <d v="1899-12-30T00:29:19"/>
  </r>
  <r>
    <x v="4"/>
    <x v="0"/>
    <n v="32.82"/>
    <x v="7"/>
    <x v="1"/>
    <x v="1"/>
    <x v="6"/>
    <n v="6"/>
    <n v="9"/>
    <x v="194"/>
    <d v="1899-12-30T00:30:17"/>
  </r>
  <r>
    <x v="12"/>
    <x v="0"/>
    <n v="18.12"/>
    <x v="6"/>
    <x v="0"/>
    <x v="2"/>
    <x v="6"/>
    <n v="7"/>
    <n v="9"/>
    <x v="195"/>
    <d v="1899-12-30T00:42:41"/>
  </r>
  <r>
    <x v="10"/>
    <x v="0"/>
    <n v="27.92"/>
    <x v="3"/>
    <x v="0"/>
    <x v="2"/>
    <x v="6"/>
    <n v="7"/>
    <n v="9"/>
    <x v="195"/>
    <d v="1899-12-30T00:49:39"/>
  </r>
  <r>
    <x v="2"/>
    <x v="0"/>
    <n v="23.02"/>
    <x v="2"/>
    <x v="1"/>
    <x v="2"/>
    <x v="6"/>
    <n v="7"/>
    <n v="9"/>
    <x v="195"/>
    <d v="1899-12-30T00:49:37"/>
  </r>
  <r>
    <x v="8"/>
    <x v="0"/>
    <n v="23.02"/>
    <x v="5"/>
    <x v="1"/>
    <x v="2"/>
    <x v="6"/>
    <n v="7"/>
    <n v="9"/>
    <x v="195"/>
    <d v="1899-12-30T00:36:19"/>
  </r>
  <r>
    <x v="8"/>
    <x v="0"/>
    <n v="23.02"/>
    <x v="5"/>
    <x v="1"/>
    <x v="2"/>
    <x v="6"/>
    <n v="7"/>
    <n v="9"/>
    <x v="195"/>
    <d v="1899-12-30T00:37:21"/>
  </r>
  <r>
    <x v="8"/>
    <x v="0"/>
    <n v="32.82"/>
    <x v="7"/>
    <x v="1"/>
    <x v="2"/>
    <x v="6"/>
    <n v="7"/>
    <n v="9"/>
    <x v="195"/>
    <d v="1899-12-30T00:53:19"/>
  </r>
  <r>
    <x v="2"/>
    <x v="0"/>
    <n v="32.82"/>
    <x v="0"/>
    <x v="1"/>
    <x v="3"/>
    <x v="6"/>
    <n v="1"/>
    <n v="9"/>
    <x v="196"/>
    <d v="1899-12-30T00:32:23"/>
  </r>
  <r>
    <x v="2"/>
    <x v="0"/>
    <n v="27.92"/>
    <x v="3"/>
    <x v="1"/>
    <x v="3"/>
    <x v="6"/>
    <n v="1"/>
    <n v="9"/>
    <x v="196"/>
    <d v="1899-12-30T00:33:37"/>
  </r>
  <r>
    <x v="3"/>
    <x v="0"/>
    <n v="32.82"/>
    <x v="0"/>
    <x v="1"/>
    <x v="3"/>
    <x v="6"/>
    <n v="1"/>
    <n v="9"/>
    <x v="196"/>
    <d v="1899-12-30T00:23:19"/>
  </r>
  <r>
    <x v="9"/>
    <x v="0"/>
    <n v="27.92"/>
    <x v="3"/>
    <x v="2"/>
    <x v="3"/>
    <x v="6"/>
    <n v="1"/>
    <n v="9"/>
    <x v="196"/>
    <d v="1899-12-30T00:16:06"/>
  </r>
  <r>
    <x v="9"/>
    <x v="0"/>
    <n v="32.82"/>
    <x v="0"/>
    <x v="2"/>
    <x v="3"/>
    <x v="6"/>
    <n v="1"/>
    <n v="9"/>
    <x v="196"/>
    <d v="1899-12-30T00:18:03"/>
  </r>
  <r>
    <x v="5"/>
    <x v="0"/>
    <n v="32.82"/>
    <x v="0"/>
    <x v="2"/>
    <x v="3"/>
    <x v="6"/>
    <n v="1"/>
    <n v="9"/>
    <x v="196"/>
    <d v="1899-12-30T00:54:45"/>
  </r>
  <r>
    <x v="5"/>
    <x v="0"/>
    <n v="32.82"/>
    <x v="0"/>
    <x v="2"/>
    <x v="3"/>
    <x v="6"/>
    <n v="1"/>
    <n v="9"/>
    <x v="196"/>
    <d v="1899-12-30T00:56:05"/>
  </r>
  <r>
    <x v="15"/>
    <x v="0"/>
    <n v="27.92"/>
    <x v="3"/>
    <x v="2"/>
    <x v="3"/>
    <x v="6"/>
    <n v="1"/>
    <n v="9"/>
    <x v="196"/>
    <d v="1899-12-30T00:10:19"/>
  </r>
  <r>
    <x v="15"/>
    <x v="0"/>
    <n v="32.82"/>
    <x v="0"/>
    <x v="2"/>
    <x v="3"/>
    <x v="6"/>
    <n v="1"/>
    <n v="9"/>
    <x v="196"/>
    <d v="1899-12-30T00:11:33"/>
  </r>
  <r>
    <x v="15"/>
    <x v="0"/>
    <n v="27.92"/>
    <x v="3"/>
    <x v="2"/>
    <x v="3"/>
    <x v="6"/>
    <n v="1"/>
    <n v="9"/>
    <x v="196"/>
    <d v="1899-12-30T00:37:47"/>
  </r>
  <r>
    <x v="15"/>
    <x v="0"/>
    <n v="27.92"/>
    <x v="3"/>
    <x v="2"/>
    <x v="3"/>
    <x v="6"/>
    <n v="1"/>
    <n v="9"/>
    <x v="196"/>
    <d v="1899-12-30T00:38:49"/>
  </r>
  <r>
    <x v="14"/>
    <x v="0"/>
    <n v="23.02"/>
    <x v="5"/>
    <x v="0"/>
    <x v="4"/>
    <x v="6"/>
    <n v="2"/>
    <n v="9"/>
    <x v="197"/>
    <d v="1899-12-30T00:54:58"/>
  </r>
  <r>
    <x v="12"/>
    <x v="0"/>
    <n v="32.82"/>
    <x v="0"/>
    <x v="0"/>
    <x v="4"/>
    <x v="6"/>
    <n v="2"/>
    <n v="9"/>
    <x v="197"/>
    <d v="1899-12-30T00:09:01"/>
  </r>
  <r>
    <x v="12"/>
    <x v="0"/>
    <n v="27.92"/>
    <x v="3"/>
    <x v="0"/>
    <x v="4"/>
    <x v="6"/>
    <n v="2"/>
    <n v="9"/>
    <x v="197"/>
    <d v="1899-12-30T00:37:38"/>
  </r>
  <r>
    <x v="12"/>
    <x v="0"/>
    <n v="23.02"/>
    <x v="5"/>
    <x v="0"/>
    <x v="4"/>
    <x v="6"/>
    <n v="2"/>
    <n v="9"/>
    <x v="197"/>
    <d v="1899-12-30T00:42:32"/>
  </r>
  <r>
    <x v="10"/>
    <x v="0"/>
    <n v="32.82"/>
    <x v="7"/>
    <x v="0"/>
    <x v="4"/>
    <x v="6"/>
    <n v="2"/>
    <n v="9"/>
    <x v="197"/>
    <d v="1899-12-30T00:10:04"/>
  </r>
  <r>
    <x v="10"/>
    <x v="0"/>
    <n v="27.92"/>
    <x v="3"/>
    <x v="0"/>
    <x v="4"/>
    <x v="6"/>
    <n v="2"/>
    <n v="9"/>
    <x v="197"/>
    <d v="1899-12-30T00:11:08"/>
  </r>
  <r>
    <x v="10"/>
    <x v="0"/>
    <n v="27.92"/>
    <x v="3"/>
    <x v="0"/>
    <x v="4"/>
    <x v="6"/>
    <n v="2"/>
    <n v="9"/>
    <x v="197"/>
    <d v="1899-12-30T00:34:57"/>
  </r>
  <r>
    <x v="1"/>
    <x v="0"/>
    <n v="18.12"/>
    <x v="6"/>
    <x v="1"/>
    <x v="4"/>
    <x v="6"/>
    <n v="2"/>
    <n v="9"/>
    <x v="197"/>
    <d v="1899-12-30T00:38:34"/>
  </r>
  <r>
    <x v="1"/>
    <x v="0"/>
    <n v="27.92"/>
    <x v="3"/>
    <x v="1"/>
    <x v="4"/>
    <x v="6"/>
    <n v="2"/>
    <n v="9"/>
    <x v="197"/>
    <d v="1899-12-30T00:39:34"/>
  </r>
  <r>
    <x v="1"/>
    <x v="0"/>
    <n v="32.82"/>
    <x v="0"/>
    <x v="1"/>
    <x v="4"/>
    <x v="6"/>
    <n v="2"/>
    <n v="9"/>
    <x v="197"/>
    <d v="1899-12-30T00:44:15"/>
  </r>
  <r>
    <x v="2"/>
    <x v="0"/>
    <n v="27.92"/>
    <x v="3"/>
    <x v="1"/>
    <x v="4"/>
    <x v="6"/>
    <n v="2"/>
    <n v="9"/>
    <x v="197"/>
    <d v="1899-12-30T00:54:23"/>
  </r>
  <r>
    <x v="2"/>
    <x v="0"/>
    <n v="23.02"/>
    <x v="5"/>
    <x v="1"/>
    <x v="4"/>
    <x v="6"/>
    <n v="2"/>
    <n v="9"/>
    <x v="197"/>
    <d v="1899-12-30T00:55:31"/>
  </r>
  <r>
    <x v="4"/>
    <x v="0"/>
    <n v="32.82"/>
    <x v="7"/>
    <x v="1"/>
    <x v="4"/>
    <x v="6"/>
    <n v="2"/>
    <n v="9"/>
    <x v="197"/>
    <d v="1899-12-30T00:29:37"/>
  </r>
  <r>
    <x v="4"/>
    <x v="0"/>
    <n v="32.82"/>
    <x v="0"/>
    <x v="1"/>
    <x v="4"/>
    <x v="6"/>
    <n v="2"/>
    <n v="9"/>
    <x v="197"/>
    <d v="1899-12-30T00:31:01"/>
  </r>
  <r>
    <x v="5"/>
    <x v="0"/>
    <n v="32.82"/>
    <x v="1"/>
    <x v="2"/>
    <x v="4"/>
    <x v="6"/>
    <n v="2"/>
    <n v="9"/>
    <x v="197"/>
    <d v="1899-12-30T00:54:24"/>
  </r>
  <r>
    <x v="6"/>
    <x v="0"/>
    <n v="27.92"/>
    <x v="3"/>
    <x v="2"/>
    <x v="4"/>
    <x v="6"/>
    <n v="2"/>
    <n v="9"/>
    <x v="197"/>
    <d v="1899-12-30T00:00:46"/>
  </r>
  <r>
    <x v="6"/>
    <x v="0"/>
    <n v="27.92"/>
    <x v="3"/>
    <x v="2"/>
    <x v="4"/>
    <x v="6"/>
    <n v="2"/>
    <n v="9"/>
    <x v="197"/>
    <d v="1899-12-30T00:03:53"/>
  </r>
  <r>
    <x v="6"/>
    <x v="0"/>
    <n v="32.82"/>
    <x v="0"/>
    <x v="2"/>
    <x v="4"/>
    <x v="6"/>
    <n v="2"/>
    <n v="9"/>
    <x v="197"/>
    <d v="1899-12-30T00:12:48"/>
  </r>
  <r>
    <x v="6"/>
    <x v="0"/>
    <n v="27.92"/>
    <x v="3"/>
    <x v="2"/>
    <x v="4"/>
    <x v="6"/>
    <n v="2"/>
    <n v="9"/>
    <x v="197"/>
    <d v="1899-12-30T00:14:00"/>
  </r>
  <r>
    <x v="6"/>
    <x v="0"/>
    <n v="27.92"/>
    <x v="3"/>
    <x v="2"/>
    <x v="4"/>
    <x v="6"/>
    <n v="2"/>
    <n v="9"/>
    <x v="197"/>
    <d v="1899-12-30T00:15:00"/>
  </r>
  <r>
    <x v="6"/>
    <x v="0"/>
    <n v="27.92"/>
    <x v="3"/>
    <x v="2"/>
    <x v="4"/>
    <x v="6"/>
    <n v="2"/>
    <n v="9"/>
    <x v="197"/>
    <d v="1899-12-30T00:31:57"/>
  </r>
  <r>
    <x v="13"/>
    <x v="0"/>
    <n v="32.82"/>
    <x v="1"/>
    <x v="2"/>
    <x v="4"/>
    <x v="6"/>
    <n v="2"/>
    <n v="9"/>
    <x v="197"/>
    <d v="1899-12-30T00:19:36"/>
  </r>
  <r>
    <x v="13"/>
    <x v="0"/>
    <n v="32.82"/>
    <x v="1"/>
    <x v="2"/>
    <x v="4"/>
    <x v="6"/>
    <n v="2"/>
    <n v="9"/>
    <x v="197"/>
    <d v="1899-12-30T00:20:20"/>
  </r>
  <r>
    <x v="8"/>
    <x v="0"/>
    <n v="32.82"/>
    <x v="0"/>
    <x v="1"/>
    <x v="5"/>
    <x v="6"/>
    <n v="3"/>
    <n v="9"/>
    <x v="198"/>
    <d v="1899-12-30T00:29:49"/>
  </r>
  <r>
    <x v="9"/>
    <x v="0"/>
    <n v="32.82"/>
    <x v="0"/>
    <x v="2"/>
    <x v="5"/>
    <x v="6"/>
    <n v="3"/>
    <n v="9"/>
    <x v="198"/>
    <d v="1899-12-30T00:34:20"/>
  </r>
  <r>
    <x v="15"/>
    <x v="0"/>
    <n v="27.92"/>
    <x v="3"/>
    <x v="2"/>
    <x v="5"/>
    <x v="6"/>
    <n v="3"/>
    <n v="9"/>
    <x v="198"/>
    <d v="1899-12-30T00:15:39"/>
  </r>
  <r>
    <x v="15"/>
    <x v="0"/>
    <n v="27.92"/>
    <x v="3"/>
    <x v="2"/>
    <x v="5"/>
    <x v="6"/>
    <n v="3"/>
    <n v="9"/>
    <x v="198"/>
    <d v="1899-12-30T00:18:22"/>
  </r>
  <r>
    <x v="12"/>
    <x v="0"/>
    <n v="27.92"/>
    <x v="3"/>
    <x v="0"/>
    <x v="6"/>
    <x v="6"/>
    <n v="4"/>
    <n v="9"/>
    <x v="199"/>
    <d v="1899-12-30T00:17:19"/>
  </r>
  <r>
    <x v="12"/>
    <x v="0"/>
    <n v="23.02"/>
    <x v="5"/>
    <x v="0"/>
    <x v="6"/>
    <x v="6"/>
    <n v="4"/>
    <n v="9"/>
    <x v="199"/>
    <d v="1899-12-30T00:30:29"/>
  </r>
  <r>
    <x v="0"/>
    <x v="0"/>
    <n v="32.82"/>
    <x v="0"/>
    <x v="0"/>
    <x v="6"/>
    <x v="6"/>
    <n v="4"/>
    <n v="9"/>
    <x v="199"/>
    <d v="1899-12-30T00:01:31"/>
  </r>
  <r>
    <x v="1"/>
    <x v="0"/>
    <n v="23.02"/>
    <x v="2"/>
    <x v="1"/>
    <x v="6"/>
    <x v="6"/>
    <n v="4"/>
    <n v="9"/>
    <x v="199"/>
    <d v="1899-12-30T00:59:34"/>
  </r>
  <r>
    <x v="2"/>
    <x v="0"/>
    <n v="27.92"/>
    <x v="3"/>
    <x v="1"/>
    <x v="6"/>
    <x v="6"/>
    <n v="4"/>
    <n v="9"/>
    <x v="199"/>
    <d v="1899-12-30T00:00:34"/>
  </r>
  <r>
    <x v="2"/>
    <x v="0"/>
    <n v="23.02"/>
    <x v="5"/>
    <x v="1"/>
    <x v="6"/>
    <x v="6"/>
    <n v="4"/>
    <n v="9"/>
    <x v="199"/>
    <d v="1899-12-30T00:45:42"/>
  </r>
  <r>
    <x v="12"/>
    <x v="0"/>
    <n v="27.92"/>
    <x v="3"/>
    <x v="0"/>
    <x v="0"/>
    <x v="6"/>
    <n v="5"/>
    <n v="9"/>
    <x v="200"/>
    <d v="1899-12-30T00:34:57"/>
  </r>
  <r>
    <x v="10"/>
    <x v="0"/>
    <n v="27.92"/>
    <x v="3"/>
    <x v="0"/>
    <x v="0"/>
    <x v="6"/>
    <n v="5"/>
    <n v="9"/>
    <x v="200"/>
    <d v="1899-12-30T00:46:15"/>
  </r>
  <r>
    <x v="2"/>
    <x v="0"/>
    <n v="27.92"/>
    <x v="3"/>
    <x v="1"/>
    <x v="0"/>
    <x v="6"/>
    <n v="5"/>
    <n v="9"/>
    <x v="200"/>
    <d v="1899-12-30T00:39:56"/>
  </r>
  <r>
    <x v="4"/>
    <x v="0"/>
    <n v="32.82"/>
    <x v="0"/>
    <x v="1"/>
    <x v="0"/>
    <x v="6"/>
    <n v="5"/>
    <n v="9"/>
    <x v="200"/>
    <d v="1899-12-30T00:03:30"/>
  </r>
  <r>
    <x v="11"/>
    <x v="0"/>
    <n v="23.02"/>
    <x v="2"/>
    <x v="2"/>
    <x v="0"/>
    <x v="6"/>
    <n v="5"/>
    <n v="9"/>
    <x v="200"/>
    <d v="1899-12-30T00:39:23"/>
  </r>
  <r>
    <x v="15"/>
    <x v="0"/>
    <n v="27.92"/>
    <x v="3"/>
    <x v="2"/>
    <x v="0"/>
    <x v="6"/>
    <n v="5"/>
    <n v="9"/>
    <x v="200"/>
    <d v="1899-12-30T00:31:37"/>
  </r>
  <r>
    <x v="15"/>
    <x v="0"/>
    <n v="27.92"/>
    <x v="3"/>
    <x v="2"/>
    <x v="0"/>
    <x v="6"/>
    <n v="5"/>
    <n v="9"/>
    <x v="200"/>
    <d v="1899-12-30T00:32:43"/>
  </r>
  <r>
    <x v="7"/>
    <x v="0"/>
    <n v="32.82"/>
    <x v="0"/>
    <x v="0"/>
    <x v="1"/>
    <x v="6"/>
    <n v="6"/>
    <n v="9"/>
    <x v="201"/>
    <d v="1899-12-30T00:01:15"/>
  </r>
  <r>
    <x v="7"/>
    <x v="0"/>
    <n v="32.82"/>
    <x v="4"/>
    <x v="0"/>
    <x v="1"/>
    <x v="6"/>
    <n v="6"/>
    <n v="9"/>
    <x v="201"/>
    <d v="1899-12-30T00:02:14"/>
  </r>
  <r>
    <x v="7"/>
    <x v="0"/>
    <n v="23.02"/>
    <x v="5"/>
    <x v="0"/>
    <x v="1"/>
    <x v="6"/>
    <n v="6"/>
    <n v="9"/>
    <x v="201"/>
    <d v="1899-12-30T00:37:47"/>
  </r>
  <r>
    <x v="7"/>
    <x v="0"/>
    <n v="23.02"/>
    <x v="5"/>
    <x v="0"/>
    <x v="1"/>
    <x v="6"/>
    <n v="6"/>
    <n v="9"/>
    <x v="201"/>
    <d v="1899-12-30T00:38:45"/>
  </r>
  <r>
    <x v="3"/>
    <x v="0"/>
    <n v="32.82"/>
    <x v="7"/>
    <x v="1"/>
    <x v="1"/>
    <x v="6"/>
    <n v="6"/>
    <n v="9"/>
    <x v="201"/>
    <d v="1899-12-30T00:10:09"/>
  </r>
  <r>
    <x v="3"/>
    <x v="0"/>
    <n v="32.82"/>
    <x v="0"/>
    <x v="1"/>
    <x v="1"/>
    <x v="6"/>
    <n v="6"/>
    <n v="9"/>
    <x v="201"/>
    <d v="1899-12-30T00:36:14"/>
  </r>
  <r>
    <x v="5"/>
    <x v="0"/>
    <n v="32.82"/>
    <x v="0"/>
    <x v="2"/>
    <x v="1"/>
    <x v="6"/>
    <n v="6"/>
    <n v="9"/>
    <x v="201"/>
    <d v="1899-12-30T00:16:29"/>
  </r>
  <r>
    <x v="5"/>
    <x v="0"/>
    <n v="32.82"/>
    <x v="0"/>
    <x v="2"/>
    <x v="1"/>
    <x v="6"/>
    <n v="6"/>
    <n v="9"/>
    <x v="201"/>
    <d v="1899-12-30T00:17:31"/>
  </r>
  <r>
    <x v="11"/>
    <x v="0"/>
    <n v="23.02"/>
    <x v="2"/>
    <x v="2"/>
    <x v="1"/>
    <x v="6"/>
    <n v="6"/>
    <n v="9"/>
    <x v="201"/>
    <d v="1899-12-30T00:29:43"/>
  </r>
  <r>
    <x v="11"/>
    <x v="0"/>
    <n v="23.02"/>
    <x v="2"/>
    <x v="2"/>
    <x v="1"/>
    <x v="6"/>
    <n v="6"/>
    <n v="9"/>
    <x v="201"/>
    <d v="1899-12-30T00:30:39"/>
  </r>
  <r>
    <x v="11"/>
    <x v="0"/>
    <n v="32.82"/>
    <x v="0"/>
    <x v="2"/>
    <x v="1"/>
    <x v="6"/>
    <n v="6"/>
    <n v="9"/>
    <x v="201"/>
    <d v="1899-12-30T00:33:58"/>
  </r>
  <r>
    <x v="11"/>
    <x v="0"/>
    <n v="32.82"/>
    <x v="0"/>
    <x v="2"/>
    <x v="1"/>
    <x v="6"/>
    <n v="6"/>
    <n v="9"/>
    <x v="201"/>
    <d v="1899-12-30T00:35:30"/>
  </r>
  <r>
    <x v="13"/>
    <x v="0"/>
    <n v="27.92"/>
    <x v="3"/>
    <x v="2"/>
    <x v="1"/>
    <x v="6"/>
    <n v="6"/>
    <n v="9"/>
    <x v="201"/>
    <d v="1899-12-30T00:18:46"/>
  </r>
  <r>
    <x v="13"/>
    <x v="0"/>
    <n v="23.02"/>
    <x v="2"/>
    <x v="2"/>
    <x v="1"/>
    <x v="6"/>
    <n v="6"/>
    <n v="9"/>
    <x v="201"/>
    <d v="1899-12-30T00:19:50"/>
  </r>
  <r>
    <x v="13"/>
    <x v="0"/>
    <n v="23.02"/>
    <x v="2"/>
    <x v="2"/>
    <x v="1"/>
    <x v="6"/>
    <n v="6"/>
    <n v="9"/>
    <x v="201"/>
    <d v="1899-12-30T00:20:48"/>
  </r>
  <r>
    <x v="12"/>
    <x v="0"/>
    <n v="23.02"/>
    <x v="2"/>
    <x v="0"/>
    <x v="2"/>
    <x v="6"/>
    <n v="7"/>
    <n v="9"/>
    <x v="202"/>
    <d v="1899-12-30T00:32:54"/>
  </r>
  <r>
    <x v="0"/>
    <x v="0"/>
    <n v="27.92"/>
    <x v="3"/>
    <x v="0"/>
    <x v="2"/>
    <x v="6"/>
    <n v="7"/>
    <n v="9"/>
    <x v="202"/>
    <d v="1899-12-30T00:12:10"/>
  </r>
  <r>
    <x v="0"/>
    <x v="0"/>
    <n v="32.82"/>
    <x v="0"/>
    <x v="0"/>
    <x v="2"/>
    <x v="6"/>
    <n v="7"/>
    <n v="9"/>
    <x v="202"/>
    <d v="1899-12-30T00:13:09"/>
  </r>
  <r>
    <x v="7"/>
    <x v="0"/>
    <n v="23.02"/>
    <x v="5"/>
    <x v="0"/>
    <x v="2"/>
    <x v="6"/>
    <n v="7"/>
    <n v="9"/>
    <x v="202"/>
    <d v="1899-12-30T00:06:26"/>
  </r>
  <r>
    <x v="7"/>
    <x v="0"/>
    <n v="23.02"/>
    <x v="5"/>
    <x v="0"/>
    <x v="2"/>
    <x v="6"/>
    <n v="7"/>
    <n v="9"/>
    <x v="202"/>
    <d v="1899-12-30T00:07:36"/>
  </r>
  <r>
    <x v="7"/>
    <x v="0"/>
    <n v="27.92"/>
    <x v="3"/>
    <x v="0"/>
    <x v="2"/>
    <x v="6"/>
    <n v="7"/>
    <n v="9"/>
    <x v="202"/>
    <d v="1899-12-30T00:52:00"/>
  </r>
  <r>
    <x v="7"/>
    <x v="0"/>
    <n v="23.02"/>
    <x v="2"/>
    <x v="0"/>
    <x v="2"/>
    <x v="6"/>
    <n v="7"/>
    <n v="9"/>
    <x v="202"/>
    <d v="1899-12-30T00:55:13"/>
  </r>
  <r>
    <x v="1"/>
    <x v="0"/>
    <n v="27.92"/>
    <x v="3"/>
    <x v="1"/>
    <x v="2"/>
    <x v="6"/>
    <n v="7"/>
    <n v="9"/>
    <x v="202"/>
    <d v="1899-12-30T00:07:21"/>
  </r>
  <r>
    <x v="2"/>
    <x v="0"/>
    <n v="27.92"/>
    <x v="3"/>
    <x v="1"/>
    <x v="2"/>
    <x v="6"/>
    <n v="7"/>
    <n v="9"/>
    <x v="202"/>
    <d v="1899-12-30T00:28:15"/>
  </r>
  <r>
    <x v="2"/>
    <x v="0"/>
    <n v="27.92"/>
    <x v="3"/>
    <x v="1"/>
    <x v="2"/>
    <x v="6"/>
    <n v="7"/>
    <n v="9"/>
    <x v="202"/>
    <d v="1899-12-30T00:29:36"/>
  </r>
  <r>
    <x v="2"/>
    <x v="0"/>
    <n v="27.92"/>
    <x v="3"/>
    <x v="1"/>
    <x v="2"/>
    <x v="6"/>
    <n v="7"/>
    <n v="9"/>
    <x v="202"/>
    <d v="1899-12-30T00:33:35"/>
  </r>
  <r>
    <x v="3"/>
    <x v="0"/>
    <n v="32.82"/>
    <x v="0"/>
    <x v="1"/>
    <x v="2"/>
    <x v="6"/>
    <n v="7"/>
    <n v="9"/>
    <x v="202"/>
    <d v="1899-12-30T00:34:10"/>
  </r>
  <r>
    <x v="3"/>
    <x v="0"/>
    <n v="27.92"/>
    <x v="3"/>
    <x v="1"/>
    <x v="2"/>
    <x v="6"/>
    <n v="7"/>
    <n v="9"/>
    <x v="202"/>
    <d v="1899-12-30T00:35:24"/>
  </r>
  <r>
    <x v="4"/>
    <x v="0"/>
    <n v="32.82"/>
    <x v="4"/>
    <x v="1"/>
    <x v="2"/>
    <x v="6"/>
    <n v="7"/>
    <n v="9"/>
    <x v="202"/>
    <d v="1899-12-30T00:25:04"/>
  </r>
  <r>
    <x v="11"/>
    <x v="0"/>
    <n v="32.82"/>
    <x v="0"/>
    <x v="2"/>
    <x v="2"/>
    <x v="6"/>
    <n v="7"/>
    <n v="9"/>
    <x v="202"/>
    <d v="1899-12-30T00:19:10"/>
  </r>
  <r>
    <x v="11"/>
    <x v="0"/>
    <n v="32.82"/>
    <x v="7"/>
    <x v="2"/>
    <x v="2"/>
    <x v="6"/>
    <n v="7"/>
    <n v="9"/>
    <x v="202"/>
    <d v="1899-12-30T00:20:36"/>
  </r>
  <r>
    <x v="11"/>
    <x v="0"/>
    <n v="27.92"/>
    <x v="3"/>
    <x v="2"/>
    <x v="2"/>
    <x v="6"/>
    <n v="7"/>
    <n v="9"/>
    <x v="202"/>
    <d v="1899-12-30T00:46:26"/>
  </r>
  <r>
    <x v="11"/>
    <x v="0"/>
    <n v="27.92"/>
    <x v="3"/>
    <x v="2"/>
    <x v="2"/>
    <x v="6"/>
    <n v="7"/>
    <n v="9"/>
    <x v="202"/>
    <d v="1899-12-30T00:47:35"/>
  </r>
  <r>
    <x v="15"/>
    <x v="0"/>
    <n v="27.92"/>
    <x v="3"/>
    <x v="2"/>
    <x v="2"/>
    <x v="6"/>
    <n v="7"/>
    <n v="9"/>
    <x v="202"/>
    <d v="1899-12-30T00:07:05"/>
  </r>
  <r>
    <x v="15"/>
    <x v="0"/>
    <n v="27.92"/>
    <x v="3"/>
    <x v="2"/>
    <x v="2"/>
    <x v="6"/>
    <n v="7"/>
    <n v="9"/>
    <x v="202"/>
    <d v="1899-12-30T00:08:15"/>
  </r>
  <r>
    <x v="15"/>
    <x v="0"/>
    <n v="32.82"/>
    <x v="1"/>
    <x v="2"/>
    <x v="2"/>
    <x v="6"/>
    <n v="7"/>
    <n v="9"/>
    <x v="202"/>
    <d v="1899-12-30T00:54:04"/>
  </r>
  <r>
    <x v="15"/>
    <x v="0"/>
    <n v="32.82"/>
    <x v="1"/>
    <x v="2"/>
    <x v="2"/>
    <x v="6"/>
    <n v="7"/>
    <n v="9"/>
    <x v="202"/>
    <d v="1899-12-30T00:54:55"/>
  </r>
  <r>
    <x v="13"/>
    <x v="0"/>
    <n v="23.02"/>
    <x v="2"/>
    <x v="2"/>
    <x v="2"/>
    <x v="6"/>
    <n v="7"/>
    <n v="9"/>
    <x v="202"/>
    <d v="1899-12-30T00:37:02"/>
  </r>
  <r>
    <x v="13"/>
    <x v="0"/>
    <n v="27.92"/>
    <x v="3"/>
    <x v="2"/>
    <x v="2"/>
    <x v="6"/>
    <n v="7"/>
    <n v="9"/>
    <x v="202"/>
    <d v="1899-12-30T00:37:58"/>
  </r>
  <r>
    <x v="10"/>
    <x v="0"/>
    <n v="27.92"/>
    <x v="3"/>
    <x v="0"/>
    <x v="3"/>
    <x v="6"/>
    <n v="1"/>
    <n v="9"/>
    <x v="203"/>
    <d v="1899-12-30T00:03:37"/>
  </r>
  <r>
    <x v="0"/>
    <x v="0"/>
    <n v="23.02"/>
    <x v="5"/>
    <x v="0"/>
    <x v="3"/>
    <x v="6"/>
    <n v="1"/>
    <n v="9"/>
    <x v="203"/>
    <d v="1899-12-30T00:04:17"/>
  </r>
  <r>
    <x v="1"/>
    <x v="0"/>
    <n v="23.02"/>
    <x v="2"/>
    <x v="1"/>
    <x v="3"/>
    <x v="6"/>
    <n v="1"/>
    <n v="9"/>
    <x v="203"/>
    <d v="1899-12-30T00:11:04"/>
  </r>
  <r>
    <x v="8"/>
    <x v="0"/>
    <n v="27.92"/>
    <x v="3"/>
    <x v="1"/>
    <x v="3"/>
    <x v="6"/>
    <n v="1"/>
    <n v="9"/>
    <x v="203"/>
    <d v="1899-12-30T00:08:52"/>
  </r>
  <r>
    <x v="9"/>
    <x v="0"/>
    <n v="32.82"/>
    <x v="7"/>
    <x v="2"/>
    <x v="3"/>
    <x v="6"/>
    <n v="1"/>
    <n v="9"/>
    <x v="203"/>
    <d v="1899-12-30T00:27:48"/>
  </r>
  <r>
    <x v="5"/>
    <x v="0"/>
    <n v="23.02"/>
    <x v="2"/>
    <x v="2"/>
    <x v="3"/>
    <x v="6"/>
    <n v="1"/>
    <n v="9"/>
    <x v="203"/>
    <d v="1899-12-30T00:48:30"/>
  </r>
  <r>
    <x v="6"/>
    <x v="0"/>
    <n v="32.82"/>
    <x v="0"/>
    <x v="2"/>
    <x v="3"/>
    <x v="6"/>
    <n v="1"/>
    <n v="9"/>
    <x v="203"/>
    <d v="1899-12-30T00:47:22"/>
  </r>
  <r>
    <x v="11"/>
    <x v="0"/>
    <n v="32.82"/>
    <x v="7"/>
    <x v="2"/>
    <x v="3"/>
    <x v="6"/>
    <n v="1"/>
    <n v="9"/>
    <x v="203"/>
    <d v="1899-12-30T00:09:46"/>
  </r>
  <r>
    <x v="13"/>
    <x v="0"/>
    <n v="27.92"/>
    <x v="3"/>
    <x v="2"/>
    <x v="3"/>
    <x v="6"/>
    <n v="1"/>
    <n v="9"/>
    <x v="203"/>
    <d v="1899-12-30T00:13:31"/>
  </r>
  <r>
    <x v="13"/>
    <x v="0"/>
    <n v="27.92"/>
    <x v="3"/>
    <x v="2"/>
    <x v="3"/>
    <x v="6"/>
    <n v="1"/>
    <n v="9"/>
    <x v="203"/>
    <d v="1899-12-30T00:15:15"/>
  </r>
  <r>
    <x v="12"/>
    <x v="0"/>
    <n v="27.92"/>
    <x v="3"/>
    <x v="0"/>
    <x v="4"/>
    <x v="6"/>
    <n v="2"/>
    <n v="9"/>
    <x v="204"/>
    <d v="1899-12-30T00:33:33"/>
  </r>
  <r>
    <x v="1"/>
    <x v="0"/>
    <n v="32.82"/>
    <x v="0"/>
    <x v="1"/>
    <x v="4"/>
    <x v="6"/>
    <n v="2"/>
    <n v="9"/>
    <x v="204"/>
    <d v="1899-12-30T00:23:57"/>
  </r>
  <r>
    <x v="1"/>
    <x v="0"/>
    <n v="32.82"/>
    <x v="0"/>
    <x v="1"/>
    <x v="4"/>
    <x v="6"/>
    <n v="2"/>
    <n v="9"/>
    <x v="204"/>
    <d v="1899-12-30T00:24:55"/>
  </r>
  <r>
    <x v="1"/>
    <x v="0"/>
    <n v="32.82"/>
    <x v="0"/>
    <x v="1"/>
    <x v="4"/>
    <x v="6"/>
    <n v="2"/>
    <n v="9"/>
    <x v="204"/>
    <d v="1899-12-30T00:46:44"/>
  </r>
  <r>
    <x v="1"/>
    <x v="0"/>
    <n v="32.82"/>
    <x v="0"/>
    <x v="1"/>
    <x v="4"/>
    <x v="6"/>
    <n v="2"/>
    <n v="9"/>
    <x v="204"/>
    <d v="1899-12-30T00:47:49"/>
  </r>
  <r>
    <x v="8"/>
    <x v="0"/>
    <n v="32.82"/>
    <x v="0"/>
    <x v="1"/>
    <x v="4"/>
    <x v="6"/>
    <n v="2"/>
    <n v="9"/>
    <x v="204"/>
    <d v="1899-12-30T00:11:39"/>
  </r>
  <r>
    <x v="8"/>
    <x v="0"/>
    <n v="23.02"/>
    <x v="5"/>
    <x v="1"/>
    <x v="4"/>
    <x v="6"/>
    <n v="2"/>
    <n v="9"/>
    <x v="204"/>
    <d v="1899-12-30T00:31:29"/>
  </r>
  <r>
    <x v="3"/>
    <x v="0"/>
    <n v="32.82"/>
    <x v="7"/>
    <x v="1"/>
    <x v="4"/>
    <x v="6"/>
    <n v="2"/>
    <n v="9"/>
    <x v="204"/>
    <d v="1899-12-30T00:37:24"/>
  </r>
  <r>
    <x v="4"/>
    <x v="0"/>
    <n v="32.82"/>
    <x v="0"/>
    <x v="1"/>
    <x v="4"/>
    <x v="6"/>
    <n v="2"/>
    <n v="9"/>
    <x v="204"/>
    <d v="1899-12-30T00:38:48"/>
  </r>
  <r>
    <x v="5"/>
    <x v="0"/>
    <n v="23.02"/>
    <x v="2"/>
    <x v="2"/>
    <x v="4"/>
    <x v="6"/>
    <n v="2"/>
    <n v="9"/>
    <x v="204"/>
    <d v="1899-12-30T00:43:03"/>
  </r>
  <r>
    <x v="5"/>
    <x v="0"/>
    <n v="23.02"/>
    <x v="2"/>
    <x v="2"/>
    <x v="4"/>
    <x v="6"/>
    <n v="2"/>
    <n v="9"/>
    <x v="204"/>
    <d v="1899-12-30T00:43:54"/>
  </r>
  <r>
    <x v="11"/>
    <x v="0"/>
    <n v="32.82"/>
    <x v="1"/>
    <x v="2"/>
    <x v="4"/>
    <x v="6"/>
    <n v="2"/>
    <n v="9"/>
    <x v="204"/>
    <d v="1899-12-30T00:15:50"/>
  </r>
  <r>
    <x v="15"/>
    <x v="0"/>
    <n v="32.82"/>
    <x v="0"/>
    <x v="2"/>
    <x v="4"/>
    <x v="6"/>
    <n v="2"/>
    <n v="9"/>
    <x v="204"/>
    <d v="1899-12-30T00:05:14"/>
  </r>
  <r>
    <x v="15"/>
    <x v="0"/>
    <n v="27.92"/>
    <x v="3"/>
    <x v="2"/>
    <x v="4"/>
    <x v="6"/>
    <n v="2"/>
    <n v="9"/>
    <x v="204"/>
    <d v="1899-12-30T00:06:32"/>
  </r>
  <r>
    <x v="15"/>
    <x v="0"/>
    <n v="27.92"/>
    <x v="3"/>
    <x v="2"/>
    <x v="4"/>
    <x v="6"/>
    <n v="2"/>
    <n v="9"/>
    <x v="204"/>
    <d v="1899-12-30T00:07:35"/>
  </r>
  <r>
    <x v="14"/>
    <x v="0"/>
    <n v="32.82"/>
    <x v="7"/>
    <x v="0"/>
    <x v="5"/>
    <x v="6"/>
    <n v="3"/>
    <n v="9"/>
    <x v="205"/>
    <d v="1899-12-30T00:51:21"/>
  </r>
  <r>
    <x v="7"/>
    <x v="0"/>
    <n v="23.02"/>
    <x v="5"/>
    <x v="0"/>
    <x v="5"/>
    <x v="6"/>
    <n v="3"/>
    <n v="9"/>
    <x v="205"/>
    <d v="1899-12-30T00:35:33"/>
  </r>
  <r>
    <x v="7"/>
    <x v="0"/>
    <n v="27.92"/>
    <x v="3"/>
    <x v="0"/>
    <x v="5"/>
    <x v="6"/>
    <n v="3"/>
    <n v="9"/>
    <x v="205"/>
    <d v="1899-12-30T00:51:15"/>
  </r>
  <r>
    <x v="7"/>
    <x v="0"/>
    <n v="32.82"/>
    <x v="0"/>
    <x v="0"/>
    <x v="5"/>
    <x v="6"/>
    <n v="3"/>
    <n v="9"/>
    <x v="205"/>
    <d v="1899-12-30T00:52:53"/>
  </r>
  <r>
    <x v="2"/>
    <x v="0"/>
    <n v="27.92"/>
    <x v="3"/>
    <x v="1"/>
    <x v="5"/>
    <x v="6"/>
    <n v="3"/>
    <n v="9"/>
    <x v="205"/>
    <d v="1899-12-30T00:54:52"/>
  </r>
  <r>
    <x v="2"/>
    <x v="0"/>
    <n v="27.92"/>
    <x v="3"/>
    <x v="1"/>
    <x v="5"/>
    <x v="6"/>
    <n v="3"/>
    <n v="9"/>
    <x v="205"/>
    <d v="1899-12-30T00:55:59"/>
  </r>
  <r>
    <x v="9"/>
    <x v="0"/>
    <n v="27.92"/>
    <x v="3"/>
    <x v="2"/>
    <x v="5"/>
    <x v="6"/>
    <n v="3"/>
    <n v="9"/>
    <x v="205"/>
    <d v="1899-12-30T00:36:37"/>
  </r>
  <r>
    <x v="9"/>
    <x v="0"/>
    <n v="27.92"/>
    <x v="3"/>
    <x v="2"/>
    <x v="5"/>
    <x v="6"/>
    <n v="3"/>
    <n v="9"/>
    <x v="205"/>
    <d v="1899-12-30T00:37:32"/>
  </r>
  <r>
    <x v="15"/>
    <x v="0"/>
    <n v="23.02"/>
    <x v="2"/>
    <x v="2"/>
    <x v="5"/>
    <x v="6"/>
    <n v="3"/>
    <n v="9"/>
    <x v="205"/>
    <d v="1899-12-30T00:34:41"/>
  </r>
  <r>
    <x v="13"/>
    <x v="0"/>
    <n v="27.92"/>
    <x v="3"/>
    <x v="2"/>
    <x v="5"/>
    <x v="6"/>
    <n v="3"/>
    <n v="9"/>
    <x v="205"/>
    <d v="1899-12-30T00:18:52"/>
  </r>
  <r>
    <x v="12"/>
    <x v="0"/>
    <n v="32.82"/>
    <x v="0"/>
    <x v="0"/>
    <x v="6"/>
    <x v="6"/>
    <n v="4"/>
    <n v="9"/>
    <x v="206"/>
    <d v="1899-12-30T00:43:35"/>
  </r>
  <r>
    <x v="0"/>
    <x v="0"/>
    <n v="27.92"/>
    <x v="3"/>
    <x v="0"/>
    <x v="6"/>
    <x v="6"/>
    <n v="4"/>
    <n v="9"/>
    <x v="206"/>
    <d v="1899-12-30T00:37:07"/>
  </r>
  <r>
    <x v="0"/>
    <x v="0"/>
    <n v="18.12"/>
    <x v="6"/>
    <x v="0"/>
    <x v="6"/>
    <x v="6"/>
    <n v="4"/>
    <n v="9"/>
    <x v="206"/>
    <d v="1899-12-30T00:55:52"/>
  </r>
  <r>
    <x v="7"/>
    <x v="0"/>
    <n v="32.82"/>
    <x v="7"/>
    <x v="0"/>
    <x v="6"/>
    <x v="6"/>
    <n v="4"/>
    <n v="9"/>
    <x v="206"/>
    <d v="1899-12-30T00:34:49"/>
  </r>
  <r>
    <x v="1"/>
    <x v="0"/>
    <n v="32.82"/>
    <x v="0"/>
    <x v="1"/>
    <x v="6"/>
    <x v="6"/>
    <n v="4"/>
    <n v="9"/>
    <x v="206"/>
    <d v="1899-12-30T00:48:01"/>
  </r>
  <r>
    <x v="5"/>
    <x v="0"/>
    <n v="32.82"/>
    <x v="0"/>
    <x v="2"/>
    <x v="6"/>
    <x v="6"/>
    <n v="4"/>
    <n v="9"/>
    <x v="206"/>
    <d v="1899-12-30T00:21:56"/>
  </r>
  <r>
    <x v="13"/>
    <x v="0"/>
    <n v="32.82"/>
    <x v="0"/>
    <x v="2"/>
    <x v="6"/>
    <x v="6"/>
    <n v="4"/>
    <n v="9"/>
    <x v="206"/>
    <d v="1899-12-30T00:45:15"/>
  </r>
  <r>
    <x v="13"/>
    <x v="0"/>
    <n v="23.02"/>
    <x v="5"/>
    <x v="2"/>
    <x v="6"/>
    <x v="6"/>
    <n v="4"/>
    <n v="9"/>
    <x v="206"/>
    <d v="1899-12-30T00:46:18"/>
  </r>
  <r>
    <x v="13"/>
    <x v="0"/>
    <n v="27.92"/>
    <x v="3"/>
    <x v="2"/>
    <x v="6"/>
    <x v="6"/>
    <n v="4"/>
    <n v="9"/>
    <x v="206"/>
    <d v="1899-12-30T00:47:25"/>
  </r>
  <r>
    <x v="10"/>
    <x v="0"/>
    <n v="27.92"/>
    <x v="3"/>
    <x v="0"/>
    <x v="0"/>
    <x v="6"/>
    <n v="5"/>
    <n v="9"/>
    <x v="207"/>
    <d v="1899-12-30T00:29:46"/>
  </r>
  <r>
    <x v="10"/>
    <x v="0"/>
    <n v="23.02"/>
    <x v="5"/>
    <x v="0"/>
    <x v="0"/>
    <x v="6"/>
    <n v="5"/>
    <n v="9"/>
    <x v="207"/>
    <d v="1899-12-30T00:33:44"/>
  </r>
  <r>
    <x v="10"/>
    <x v="0"/>
    <n v="32.82"/>
    <x v="7"/>
    <x v="0"/>
    <x v="0"/>
    <x v="6"/>
    <n v="5"/>
    <n v="9"/>
    <x v="207"/>
    <d v="1899-12-30T00:41:05"/>
  </r>
  <r>
    <x v="0"/>
    <x v="0"/>
    <n v="27.92"/>
    <x v="3"/>
    <x v="0"/>
    <x v="0"/>
    <x v="6"/>
    <n v="5"/>
    <n v="9"/>
    <x v="207"/>
    <d v="1899-12-30T00:46:57"/>
  </r>
  <r>
    <x v="7"/>
    <x v="0"/>
    <n v="27.92"/>
    <x v="3"/>
    <x v="0"/>
    <x v="0"/>
    <x v="6"/>
    <n v="5"/>
    <n v="9"/>
    <x v="207"/>
    <d v="1899-12-30T00:35:00"/>
  </r>
  <r>
    <x v="2"/>
    <x v="0"/>
    <n v="32.82"/>
    <x v="7"/>
    <x v="1"/>
    <x v="0"/>
    <x v="6"/>
    <n v="5"/>
    <n v="9"/>
    <x v="207"/>
    <d v="1899-12-30T00:20:31"/>
  </r>
  <r>
    <x v="2"/>
    <x v="0"/>
    <n v="32.82"/>
    <x v="7"/>
    <x v="1"/>
    <x v="0"/>
    <x v="6"/>
    <n v="5"/>
    <n v="9"/>
    <x v="207"/>
    <d v="1899-12-30T00:25:05"/>
  </r>
  <r>
    <x v="2"/>
    <x v="0"/>
    <n v="23.02"/>
    <x v="2"/>
    <x v="1"/>
    <x v="0"/>
    <x v="6"/>
    <n v="5"/>
    <n v="9"/>
    <x v="207"/>
    <d v="1899-12-30T00:28:33"/>
  </r>
  <r>
    <x v="2"/>
    <x v="0"/>
    <n v="27.92"/>
    <x v="3"/>
    <x v="1"/>
    <x v="0"/>
    <x v="6"/>
    <n v="5"/>
    <n v="9"/>
    <x v="207"/>
    <d v="1899-12-30T00:33:53"/>
  </r>
  <r>
    <x v="5"/>
    <x v="0"/>
    <n v="32.82"/>
    <x v="0"/>
    <x v="2"/>
    <x v="0"/>
    <x v="6"/>
    <n v="5"/>
    <n v="9"/>
    <x v="207"/>
    <d v="1899-12-30T00:07:44"/>
  </r>
  <r>
    <x v="5"/>
    <x v="0"/>
    <n v="32.82"/>
    <x v="0"/>
    <x v="2"/>
    <x v="0"/>
    <x v="6"/>
    <n v="5"/>
    <n v="9"/>
    <x v="207"/>
    <d v="1899-12-30T00:08:58"/>
  </r>
  <r>
    <x v="5"/>
    <x v="0"/>
    <n v="32.82"/>
    <x v="7"/>
    <x v="2"/>
    <x v="0"/>
    <x v="6"/>
    <n v="5"/>
    <n v="9"/>
    <x v="207"/>
    <d v="1899-12-30T00:37:46"/>
  </r>
  <r>
    <x v="5"/>
    <x v="0"/>
    <n v="32.82"/>
    <x v="7"/>
    <x v="2"/>
    <x v="0"/>
    <x v="6"/>
    <n v="5"/>
    <n v="9"/>
    <x v="207"/>
    <d v="1899-12-30T00:40:54"/>
  </r>
  <r>
    <x v="11"/>
    <x v="0"/>
    <n v="32.82"/>
    <x v="7"/>
    <x v="2"/>
    <x v="0"/>
    <x v="6"/>
    <n v="5"/>
    <n v="9"/>
    <x v="207"/>
    <d v="1899-12-30T00:18:13"/>
  </r>
  <r>
    <x v="11"/>
    <x v="0"/>
    <n v="32.82"/>
    <x v="7"/>
    <x v="2"/>
    <x v="0"/>
    <x v="6"/>
    <n v="5"/>
    <n v="9"/>
    <x v="207"/>
    <d v="1899-12-30T00:19:14"/>
  </r>
  <r>
    <x v="11"/>
    <x v="0"/>
    <n v="27.92"/>
    <x v="3"/>
    <x v="2"/>
    <x v="0"/>
    <x v="6"/>
    <n v="5"/>
    <n v="9"/>
    <x v="207"/>
    <d v="1899-12-30T00:58:15"/>
  </r>
  <r>
    <x v="12"/>
    <x v="0"/>
    <n v="27.92"/>
    <x v="3"/>
    <x v="0"/>
    <x v="1"/>
    <x v="6"/>
    <n v="6"/>
    <n v="9"/>
    <x v="208"/>
    <d v="1899-12-30T00:06:46"/>
  </r>
  <r>
    <x v="10"/>
    <x v="0"/>
    <n v="27.92"/>
    <x v="3"/>
    <x v="0"/>
    <x v="1"/>
    <x v="6"/>
    <n v="6"/>
    <n v="9"/>
    <x v="208"/>
    <d v="1899-12-30T00:31:15"/>
  </r>
  <r>
    <x v="8"/>
    <x v="0"/>
    <n v="35.76"/>
    <x v="0"/>
    <x v="1"/>
    <x v="1"/>
    <x v="6"/>
    <n v="6"/>
    <n v="9"/>
    <x v="208"/>
    <d v="1899-12-30T00:25:47"/>
  </r>
  <r>
    <x v="4"/>
    <x v="0"/>
    <n v="35.76"/>
    <x v="0"/>
    <x v="1"/>
    <x v="1"/>
    <x v="6"/>
    <n v="6"/>
    <n v="9"/>
    <x v="208"/>
    <d v="1899-12-30T00:57:20"/>
  </r>
  <r>
    <x v="9"/>
    <x v="0"/>
    <n v="30.86"/>
    <x v="3"/>
    <x v="2"/>
    <x v="1"/>
    <x v="6"/>
    <n v="6"/>
    <n v="9"/>
    <x v="208"/>
    <d v="1899-12-30T00:26:17"/>
  </r>
  <r>
    <x v="11"/>
    <x v="0"/>
    <n v="35.76"/>
    <x v="0"/>
    <x v="2"/>
    <x v="1"/>
    <x v="6"/>
    <n v="6"/>
    <n v="9"/>
    <x v="208"/>
    <d v="1899-12-30T00:34:31"/>
  </r>
  <r>
    <x v="11"/>
    <x v="0"/>
    <n v="35.76"/>
    <x v="0"/>
    <x v="2"/>
    <x v="1"/>
    <x v="6"/>
    <n v="6"/>
    <n v="9"/>
    <x v="208"/>
    <d v="1899-12-30T00:38:37"/>
  </r>
  <r>
    <x v="13"/>
    <x v="0"/>
    <n v="35.76"/>
    <x v="7"/>
    <x v="2"/>
    <x v="1"/>
    <x v="6"/>
    <n v="6"/>
    <n v="9"/>
    <x v="208"/>
    <d v="1899-12-30T00:16:37"/>
  </r>
  <r>
    <x v="13"/>
    <x v="0"/>
    <n v="35.76"/>
    <x v="4"/>
    <x v="2"/>
    <x v="1"/>
    <x v="6"/>
    <n v="6"/>
    <n v="9"/>
    <x v="208"/>
    <d v="1899-12-30T00:17:30"/>
  </r>
  <r>
    <x v="13"/>
    <x v="0"/>
    <n v="25.96"/>
    <x v="5"/>
    <x v="2"/>
    <x v="1"/>
    <x v="6"/>
    <n v="6"/>
    <n v="9"/>
    <x v="208"/>
    <d v="1899-12-30T00:18:16"/>
  </r>
  <r>
    <x v="13"/>
    <x v="0"/>
    <n v="35.76"/>
    <x v="1"/>
    <x v="2"/>
    <x v="1"/>
    <x v="6"/>
    <n v="6"/>
    <n v="9"/>
    <x v="208"/>
    <d v="1899-12-30T00:19:13"/>
  </r>
  <r>
    <x v="0"/>
    <x v="0"/>
    <n v="25.96"/>
    <x v="2"/>
    <x v="0"/>
    <x v="2"/>
    <x v="6"/>
    <n v="7"/>
    <n v="9"/>
    <x v="209"/>
    <d v="1899-12-30T00:48:45"/>
  </r>
  <r>
    <x v="0"/>
    <x v="0"/>
    <n v="35.76"/>
    <x v="7"/>
    <x v="0"/>
    <x v="2"/>
    <x v="6"/>
    <n v="7"/>
    <n v="9"/>
    <x v="209"/>
    <d v="1899-12-30T00:50:05"/>
  </r>
  <r>
    <x v="0"/>
    <x v="0"/>
    <n v="35.76"/>
    <x v="7"/>
    <x v="0"/>
    <x v="2"/>
    <x v="6"/>
    <n v="7"/>
    <n v="9"/>
    <x v="209"/>
    <d v="1899-12-30T00:51:03"/>
  </r>
  <r>
    <x v="0"/>
    <x v="0"/>
    <n v="35.76"/>
    <x v="7"/>
    <x v="0"/>
    <x v="2"/>
    <x v="6"/>
    <n v="7"/>
    <n v="9"/>
    <x v="209"/>
    <d v="1899-12-30T00:52:23"/>
  </r>
  <r>
    <x v="0"/>
    <x v="0"/>
    <n v="30.86"/>
    <x v="3"/>
    <x v="0"/>
    <x v="2"/>
    <x v="6"/>
    <n v="7"/>
    <n v="9"/>
    <x v="209"/>
    <d v="1899-12-30T00:53:42"/>
  </r>
  <r>
    <x v="1"/>
    <x v="0"/>
    <n v="35.76"/>
    <x v="0"/>
    <x v="1"/>
    <x v="2"/>
    <x v="6"/>
    <n v="7"/>
    <n v="9"/>
    <x v="209"/>
    <d v="1899-12-30T00:35:43"/>
  </r>
  <r>
    <x v="1"/>
    <x v="0"/>
    <n v="25.96"/>
    <x v="5"/>
    <x v="1"/>
    <x v="2"/>
    <x v="6"/>
    <n v="7"/>
    <n v="9"/>
    <x v="209"/>
    <d v="1899-12-30T00:50:58"/>
  </r>
  <r>
    <x v="1"/>
    <x v="0"/>
    <n v="35.76"/>
    <x v="0"/>
    <x v="1"/>
    <x v="2"/>
    <x v="6"/>
    <n v="7"/>
    <n v="9"/>
    <x v="209"/>
    <d v="1899-12-30T00:54:15"/>
  </r>
  <r>
    <x v="1"/>
    <x v="0"/>
    <n v="35.76"/>
    <x v="0"/>
    <x v="1"/>
    <x v="2"/>
    <x v="6"/>
    <n v="7"/>
    <n v="9"/>
    <x v="209"/>
    <d v="1899-12-30T00:55:22"/>
  </r>
  <r>
    <x v="5"/>
    <x v="0"/>
    <n v="35.76"/>
    <x v="7"/>
    <x v="2"/>
    <x v="2"/>
    <x v="6"/>
    <n v="7"/>
    <n v="9"/>
    <x v="209"/>
    <d v="1899-12-30T00:02:27"/>
  </r>
  <r>
    <x v="13"/>
    <x v="0"/>
    <n v="35.76"/>
    <x v="0"/>
    <x v="2"/>
    <x v="2"/>
    <x v="6"/>
    <n v="7"/>
    <n v="9"/>
    <x v="209"/>
    <d v="1899-12-30T00:31:03"/>
  </r>
  <r>
    <x v="12"/>
    <x v="0"/>
    <n v="25.96"/>
    <x v="5"/>
    <x v="0"/>
    <x v="3"/>
    <x v="6"/>
    <n v="1"/>
    <n v="9"/>
    <x v="210"/>
    <d v="1899-12-30T00:08:48"/>
  </r>
  <r>
    <x v="12"/>
    <x v="0"/>
    <n v="25.96"/>
    <x v="5"/>
    <x v="0"/>
    <x v="3"/>
    <x v="6"/>
    <n v="1"/>
    <n v="9"/>
    <x v="210"/>
    <d v="1899-12-30T00:58:55"/>
  </r>
  <r>
    <x v="10"/>
    <x v="0"/>
    <n v="35.76"/>
    <x v="1"/>
    <x v="0"/>
    <x v="3"/>
    <x v="6"/>
    <n v="1"/>
    <n v="9"/>
    <x v="210"/>
    <d v="1899-12-30T00:00:05"/>
  </r>
  <r>
    <x v="0"/>
    <x v="0"/>
    <n v="30.86"/>
    <x v="3"/>
    <x v="0"/>
    <x v="3"/>
    <x v="6"/>
    <n v="1"/>
    <n v="9"/>
    <x v="210"/>
    <d v="1899-12-30T00:01:09"/>
  </r>
  <r>
    <x v="0"/>
    <x v="0"/>
    <n v="25.96"/>
    <x v="5"/>
    <x v="0"/>
    <x v="3"/>
    <x v="6"/>
    <n v="1"/>
    <n v="9"/>
    <x v="210"/>
    <d v="1899-12-30T00:05:18"/>
  </r>
  <r>
    <x v="7"/>
    <x v="0"/>
    <n v="30.86"/>
    <x v="3"/>
    <x v="0"/>
    <x v="3"/>
    <x v="6"/>
    <n v="1"/>
    <n v="9"/>
    <x v="210"/>
    <d v="1899-12-30T00:32:55"/>
  </r>
  <r>
    <x v="4"/>
    <x v="0"/>
    <n v="30.86"/>
    <x v="3"/>
    <x v="1"/>
    <x v="3"/>
    <x v="6"/>
    <n v="1"/>
    <n v="9"/>
    <x v="210"/>
    <d v="1899-12-30T00:45:45"/>
  </r>
  <r>
    <x v="6"/>
    <x v="0"/>
    <n v="35.76"/>
    <x v="0"/>
    <x v="2"/>
    <x v="3"/>
    <x v="6"/>
    <n v="1"/>
    <n v="9"/>
    <x v="210"/>
    <d v="1899-12-30T00:32:18"/>
  </r>
  <r>
    <x v="6"/>
    <x v="0"/>
    <n v="30.86"/>
    <x v="3"/>
    <x v="2"/>
    <x v="3"/>
    <x v="6"/>
    <n v="1"/>
    <n v="9"/>
    <x v="210"/>
    <d v="1899-12-30T00:53:14"/>
  </r>
  <r>
    <x v="6"/>
    <x v="0"/>
    <n v="25.96"/>
    <x v="5"/>
    <x v="2"/>
    <x v="3"/>
    <x v="6"/>
    <n v="1"/>
    <n v="9"/>
    <x v="210"/>
    <d v="1899-12-30T00:54:18"/>
  </r>
  <r>
    <x v="6"/>
    <x v="0"/>
    <n v="35.76"/>
    <x v="0"/>
    <x v="2"/>
    <x v="3"/>
    <x v="6"/>
    <n v="1"/>
    <n v="9"/>
    <x v="210"/>
    <d v="1899-12-30T00:59:19"/>
  </r>
  <r>
    <x v="11"/>
    <x v="0"/>
    <n v="30.86"/>
    <x v="3"/>
    <x v="2"/>
    <x v="3"/>
    <x v="6"/>
    <n v="1"/>
    <n v="9"/>
    <x v="210"/>
    <d v="1899-12-30T00:00:42"/>
  </r>
  <r>
    <x v="11"/>
    <x v="0"/>
    <n v="30.86"/>
    <x v="3"/>
    <x v="2"/>
    <x v="3"/>
    <x v="6"/>
    <n v="1"/>
    <n v="9"/>
    <x v="210"/>
    <d v="1899-12-30T00:01:42"/>
  </r>
  <r>
    <x v="15"/>
    <x v="0"/>
    <n v="30.86"/>
    <x v="3"/>
    <x v="2"/>
    <x v="3"/>
    <x v="6"/>
    <n v="1"/>
    <n v="9"/>
    <x v="210"/>
    <d v="1899-12-30T00:41:08"/>
  </r>
  <r>
    <x v="14"/>
    <x v="0"/>
    <n v="35.76"/>
    <x v="0"/>
    <x v="0"/>
    <x v="4"/>
    <x v="7"/>
    <n v="2"/>
    <n v="10"/>
    <x v="211"/>
    <d v="1899-12-30T00:47:08"/>
  </r>
  <r>
    <x v="10"/>
    <x v="0"/>
    <n v="30.86"/>
    <x v="3"/>
    <x v="0"/>
    <x v="4"/>
    <x v="7"/>
    <n v="2"/>
    <n v="10"/>
    <x v="211"/>
    <d v="1899-12-30T00:48:31"/>
  </r>
  <r>
    <x v="0"/>
    <x v="0"/>
    <n v="30.86"/>
    <x v="3"/>
    <x v="0"/>
    <x v="4"/>
    <x v="7"/>
    <n v="2"/>
    <n v="10"/>
    <x v="211"/>
    <d v="1899-12-30T00:02:27"/>
  </r>
  <r>
    <x v="0"/>
    <x v="0"/>
    <n v="30.86"/>
    <x v="3"/>
    <x v="0"/>
    <x v="4"/>
    <x v="7"/>
    <n v="2"/>
    <n v="10"/>
    <x v="211"/>
    <d v="1899-12-30T00:03:47"/>
  </r>
  <r>
    <x v="7"/>
    <x v="0"/>
    <n v="30.86"/>
    <x v="3"/>
    <x v="0"/>
    <x v="4"/>
    <x v="7"/>
    <n v="2"/>
    <n v="10"/>
    <x v="211"/>
    <d v="1899-12-30T00:55:32"/>
  </r>
  <r>
    <x v="1"/>
    <x v="0"/>
    <n v="30.86"/>
    <x v="3"/>
    <x v="1"/>
    <x v="4"/>
    <x v="7"/>
    <n v="2"/>
    <n v="10"/>
    <x v="211"/>
    <d v="1899-12-30T00:12:48"/>
  </r>
  <r>
    <x v="1"/>
    <x v="0"/>
    <n v="30.86"/>
    <x v="3"/>
    <x v="1"/>
    <x v="4"/>
    <x v="7"/>
    <n v="2"/>
    <n v="10"/>
    <x v="211"/>
    <d v="1899-12-30T00:14:23"/>
  </r>
  <r>
    <x v="8"/>
    <x v="0"/>
    <n v="25.96"/>
    <x v="2"/>
    <x v="1"/>
    <x v="4"/>
    <x v="7"/>
    <n v="2"/>
    <n v="10"/>
    <x v="211"/>
    <d v="1899-12-30T00:17:35"/>
  </r>
  <r>
    <x v="8"/>
    <x v="0"/>
    <n v="30.86"/>
    <x v="3"/>
    <x v="1"/>
    <x v="4"/>
    <x v="7"/>
    <n v="2"/>
    <n v="10"/>
    <x v="211"/>
    <d v="1899-12-30T00:18:53"/>
  </r>
  <r>
    <x v="4"/>
    <x v="0"/>
    <n v="35.76"/>
    <x v="1"/>
    <x v="1"/>
    <x v="4"/>
    <x v="7"/>
    <n v="2"/>
    <n v="10"/>
    <x v="211"/>
    <d v="1899-12-30T00:08:39"/>
  </r>
  <r>
    <x v="4"/>
    <x v="0"/>
    <n v="25.96"/>
    <x v="2"/>
    <x v="1"/>
    <x v="4"/>
    <x v="7"/>
    <n v="2"/>
    <n v="10"/>
    <x v="211"/>
    <d v="1899-12-30T00:41:55"/>
  </r>
  <r>
    <x v="5"/>
    <x v="0"/>
    <n v="35.76"/>
    <x v="0"/>
    <x v="2"/>
    <x v="4"/>
    <x v="7"/>
    <n v="2"/>
    <n v="10"/>
    <x v="211"/>
    <d v="1899-12-30T00:08:27"/>
  </r>
  <r>
    <x v="5"/>
    <x v="0"/>
    <n v="35.76"/>
    <x v="0"/>
    <x v="2"/>
    <x v="4"/>
    <x v="7"/>
    <n v="2"/>
    <n v="10"/>
    <x v="211"/>
    <d v="1899-12-30T00:23:12"/>
  </r>
  <r>
    <x v="5"/>
    <x v="0"/>
    <n v="35.76"/>
    <x v="1"/>
    <x v="2"/>
    <x v="4"/>
    <x v="7"/>
    <n v="2"/>
    <n v="10"/>
    <x v="211"/>
    <d v="1899-12-30T00:24:14"/>
  </r>
  <r>
    <x v="11"/>
    <x v="0"/>
    <n v="35.76"/>
    <x v="1"/>
    <x v="2"/>
    <x v="4"/>
    <x v="7"/>
    <n v="2"/>
    <n v="10"/>
    <x v="211"/>
    <d v="1899-12-30T00:03:22"/>
  </r>
  <r>
    <x v="14"/>
    <x v="0"/>
    <n v="35.76"/>
    <x v="0"/>
    <x v="0"/>
    <x v="5"/>
    <x v="7"/>
    <n v="3"/>
    <n v="10"/>
    <x v="212"/>
    <d v="1899-12-30T00:57:19"/>
  </r>
  <r>
    <x v="12"/>
    <x v="0"/>
    <n v="25.96"/>
    <x v="5"/>
    <x v="0"/>
    <x v="5"/>
    <x v="7"/>
    <n v="3"/>
    <n v="10"/>
    <x v="212"/>
    <d v="1899-12-30T00:42:45"/>
  </r>
  <r>
    <x v="10"/>
    <x v="0"/>
    <n v="30.86"/>
    <x v="3"/>
    <x v="0"/>
    <x v="5"/>
    <x v="7"/>
    <n v="3"/>
    <n v="10"/>
    <x v="212"/>
    <d v="1899-12-30T00:19:17"/>
  </r>
  <r>
    <x v="0"/>
    <x v="0"/>
    <n v="35.76"/>
    <x v="0"/>
    <x v="0"/>
    <x v="5"/>
    <x v="7"/>
    <n v="3"/>
    <n v="10"/>
    <x v="212"/>
    <d v="1899-12-30T00:22:02"/>
  </r>
  <r>
    <x v="0"/>
    <x v="0"/>
    <n v="30.86"/>
    <x v="3"/>
    <x v="0"/>
    <x v="5"/>
    <x v="7"/>
    <n v="3"/>
    <n v="10"/>
    <x v="212"/>
    <d v="1899-12-30T00:23:55"/>
  </r>
  <r>
    <x v="7"/>
    <x v="0"/>
    <n v="35.76"/>
    <x v="7"/>
    <x v="0"/>
    <x v="5"/>
    <x v="7"/>
    <n v="3"/>
    <n v="10"/>
    <x v="212"/>
    <d v="1899-12-30T00:28:54"/>
  </r>
  <r>
    <x v="3"/>
    <x v="0"/>
    <n v="35.76"/>
    <x v="7"/>
    <x v="1"/>
    <x v="5"/>
    <x v="7"/>
    <n v="3"/>
    <n v="10"/>
    <x v="212"/>
    <d v="1899-12-30T00:13:42"/>
  </r>
  <r>
    <x v="5"/>
    <x v="0"/>
    <n v="35.76"/>
    <x v="1"/>
    <x v="2"/>
    <x v="5"/>
    <x v="7"/>
    <n v="3"/>
    <n v="10"/>
    <x v="212"/>
    <d v="1899-12-30T00:31:07"/>
  </r>
  <r>
    <x v="13"/>
    <x v="0"/>
    <n v="35.76"/>
    <x v="1"/>
    <x v="2"/>
    <x v="5"/>
    <x v="7"/>
    <n v="3"/>
    <n v="10"/>
    <x v="212"/>
    <d v="1899-12-30T00:18:55"/>
  </r>
  <r>
    <x v="13"/>
    <x v="0"/>
    <n v="35.76"/>
    <x v="1"/>
    <x v="2"/>
    <x v="5"/>
    <x v="7"/>
    <n v="3"/>
    <n v="10"/>
    <x v="212"/>
    <d v="1899-12-30T00:19:41"/>
  </r>
  <r>
    <x v="13"/>
    <x v="0"/>
    <n v="35.76"/>
    <x v="1"/>
    <x v="2"/>
    <x v="5"/>
    <x v="7"/>
    <n v="3"/>
    <n v="10"/>
    <x v="212"/>
    <d v="1899-12-30T00:20:24"/>
  </r>
  <r>
    <x v="2"/>
    <x v="0"/>
    <n v="35.76"/>
    <x v="4"/>
    <x v="1"/>
    <x v="6"/>
    <x v="7"/>
    <n v="4"/>
    <n v="10"/>
    <x v="213"/>
    <d v="1899-12-30T00:47:36"/>
  </r>
  <r>
    <x v="3"/>
    <x v="0"/>
    <n v="30.86"/>
    <x v="3"/>
    <x v="1"/>
    <x v="6"/>
    <x v="7"/>
    <n v="4"/>
    <n v="10"/>
    <x v="213"/>
    <d v="1899-12-30T00:12:05"/>
  </r>
  <r>
    <x v="11"/>
    <x v="0"/>
    <n v="25.96"/>
    <x v="5"/>
    <x v="2"/>
    <x v="6"/>
    <x v="7"/>
    <n v="4"/>
    <n v="10"/>
    <x v="213"/>
    <d v="1899-12-30T00:12:58"/>
  </r>
  <r>
    <x v="11"/>
    <x v="0"/>
    <n v="35.76"/>
    <x v="1"/>
    <x v="2"/>
    <x v="6"/>
    <x v="7"/>
    <n v="4"/>
    <n v="10"/>
    <x v="213"/>
    <d v="1899-12-30T00:14:05"/>
  </r>
  <r>
    <x v="15"/>
    <x v="0"/>
    <n v="35.76"/>
    <x v="1"/>
    <x v="2"/>
    <x v="6"/>
    <x v="7"/>
    <n v="4"/>
    <n v="10"/>
    <x v="213"/>
    <d v="1899-12-30T00:21:06"/>
  </r>
  <r>
    <x v="15"/>
    <x v="0"/>
    <n v="35.76"/>
    <x v="1"/>
    <x v="2"/>
    <x v="6"/>
    <x v="7"/>
    <n v="4"/>
    <n v="10"/>
    <x v="213"/>
    <d v="1899-12-30T00:21:47"/>
  </r>
  <r>
    <x v="15"/>
    <x v="0"/>
    <n v="35.76"/>
    <x v="7"/>
    <x v="2"/>
    <x v="6"/>
    <x v="7"/>
    <n v="4"/>
    <n v="10"/>
    <x v="213"/>
    <d v="1899-12-30T00:29:03"/>
  </r>
  <r>
    <x v="15"/>
    <x v="0"/>
    <n v="35.76"/>
    <x v="1"/>
    <x v="2"/>
    <x v="6"/>
    <x v="7"/>
    <n v="4"/>
    <n v="10"/>
    <x v="213"/>
    <d v="1899-12-30T00:31:01"/>
  </r>
  <r>
    <x v="12"/>
    <x v="0"/>
    <n v="25.96"/>
    <x v="2"/>
    <x v="0"/>
    <x v="0"/>
    <x v="7"/>
    <n v="5"/>
    <n v="10"/>
    <x v="214"/>
    <d v="1899-12-30T00:44:01"/>
  </r>
  <r>
    <x v="12"/>
    <x v="0"/>
    <n v="25.96"/>
    <x v="2"/>
    <x v="0"/>
    <x v="0"/>
    <x v="7"/>
    <n v="5"/>
    <n v="10"/>
    <x v="214"/>
    <d v="1899-12-30T00:45:39"/>
  </r>
  <r>
    <x v="10"/>
    <x v="0"/>
    <n v="30.86"/>
    <x v="3"/>
    <x v="0"/>
    <x v="0"/>
    <x v="7"/>
    <n v="5"/>
    <n v="10"/>
    <x v="214"/>
    <d v="1899-12-30T00:30:22"/>
  </r>
  <r>
    <x v="10"/>
    <x v="0"/>
    <n v="25.96"/>
    <x v="2"/>
    <x v="0"/>
    <x v="0"/>
    <x v="7"/>
    <n v="5"/>
    <n v="10"/>
    <x v="214"/>
    <d v="1899-12-30T00:31:27"/>
  </r>
  <r>
    <x v="10"/>
    <x v="0"/>
    <n v="25.96"/>
    <x v="5"/>
    <x v="0"/>
    <x v="0"/>
    <x v="7"/>
    <n v="5"/>
    <n v="10"/>
    <x v="214"/>
    <d v="1899-12-30T00:53:59"/>
  </r>
  <r>
    <x v="10"/>
    <x v="0"/>
    <n v="25.96"/>
    <x v="5"/>
    <x v="0"/>
    <x v="0"/>
    <x v="7"/>
    <n v="5"/>
    <n v="10"/>
    <x v="214"/>
    <d v="1899-12-30T00:55:05"/>
  </r>
  <r>
    <x v="9"/>
    <x v="0"/>
    <n v="35.76"/>
    <x v="0"/>
    <x v="2"/>
    <x v="0"/>
    <x v="7"/>
    <n v="5"/>
    <n v="10"/>
    <x v="214"/>
    <d v="1899-12-30T00:35:15"/>
  </r>
  <r>
    <x v="9"/>
    <x v="0"/>
    <n v="35.76"/>
    <x v="1"/>
    <x v="2"/>
    <x v="0"/>
    <x v="7"/>
    <n v="5"/>
    <n v="10"/>
    <x v="214"/>
    <d v="1899-12-30T00:42:22"/>
  </r>
  <r>
    <x v="9"/>
    <x v="0"/>
    <n v="35.76"/>
    <x v="4"/>
    <x v="2"/>
    <x v="0"/>
    <x v="7"/>
    <n v="5"/>
    <n v="10"/>
    <x v="214"/>
    <d v="1899-12-30T00:44:36"/>
  </r>
  <r>
    <x v="10"/>
    <x v="0"/>
    <n v="25.96"/>
    <x v="5"/>
    <x v="0"/>
    <x v="1"/>
    <x v="7"/>
    <n v="6"/>
    <n v="10"/>
    <x v="215"/>
    <d v="1899-12-30T00:00:47"/>
  </r>
  <r>
    <x v="10"/>
    <x v="0"/>
    <n v="25.96"/>
    <x v="5"/>
    <x v="0"/>
    <x v="1"/>
    <x v="7"/>
    <n v="6"/>
    <n v="10"/>
    <x v="215"/>
    <d v="1899-12-30T00:01:43"/>
  </r>
  <r>
    <x v="10"/>
    <x v="0"/>
    <n v="35.76"/>
    <x v="4"/>
    <x v="0"/>
    <x v="1"/>
    <x v="7"/>
    <n v="6"/>
    <n v="10"/>
    <x v="215"/>
    <d v="1899-12-30T00:35:45"/>
  </r>
  <r>
    <x v="2"/>
    <x v="0"/>
    <n v="35.76"/>
    <x v="7"/>
    <x v="1"/>
    <x v="1"/>
    <x v="7"/>
    <n v="6"/>
    <n v="10"/>
    <x v="215"/>
    <d v="1899-12-30T00:12:13"/>
  </r>
  <r>
    <x v="11"/>
    <x v="0"/>
    <n v="25.96"/>
    <x v="2"/>
    <x v="2"/>
    <x v="1"/>
    <x v="7"/>
    <n v="6"/>
    <n v="10"/>
    <x v="215"/>
    <d v="1899-12-30T00:08:38"/>
  </r>
  <r>
    <x v="11"/>
    <x v="0"/>
    <n v="25.96"/>
    <x v="2"/>
    <x v="2"/>
    <x v="1"/>
    <x v="7"/>
    <n v="6"/>
    <n v="10"/>
    <x v="215"/>
    <d v="1899-12-30T00:09:34"/>
  </r>
  <r>
    <x v="12"/>
    <x v="0"/>
    <n v="25.96"/>
    <x v="5"/>
    <x v="0"/>
    <x v="2"/>
    <x v="7"/>
    <n v="7"/>
    <n v="10"/>
    <x v="216"/>
    <d v="1899-12-30T00:22:57"/>
  </r>
  <r>
    <x v="0"/>
    <x v="0"/>
    <n v="35.76"/>
    <x v="7"/>
    <x v="0"/>
    <x v="2"/>
    <x v="7"/>
    <n v="7"/>
    <n v="10"/>
    <x v="216"/>
    <d v="1899-12-30T00:05:44"/>
  </r>
  <r>
    <x v="0"/>
    <x v="0"/>
    <n v="25.96"/>
    <x v="5"/>
    <x v="0"/>
    <x v="2"/>
    <x v="7"/>
    <n v="7"/>
    <n v="10"/>
    <x v="216"/>
    <d v="1899-12-30T00:06:47"/>
  </r>
  <r>
    <x v="7"/>
    <x v="0"/>
    <n v="35.76"/>
    <x v="0"/>
    <x v="0"/>
    <x v="2"/>
    <x v="7"/>
    <n v="7"/>
    <n v="10"/>
    <x v="216"/>
    <d v="1899-12-30T00:55:29"/>
  </r>
  <r>
    <x v="1"/>
    <x v="0"/>
    <n v="35.76"/>
    <x v="0"/>
    <x v="1"/>
    <x v="2"/>
    <x v="7"/>
    <n v="7"/>
    <n v="10"/>
    <x v="216"/>
    <d v="1899-12-30T00:09:04"/>
  </r>
  <r>
    <x v="1"/>
    <x v="0"/>
    <n v="35.76"/>
    <x v="7"/>
    <x v="1"/>
    <x v="2"/>
    <x v="7"/>
    <n v="7"/>
    <n v="10"/>
    <x v="216"/>
    <d v="1899-12-30T00:10:17"/>
  </r>
  <r>
    <x v="1"/>
    <x v="0"/>
    <n v="30.86"/>
    <x v="3"/>
    <x v="1"/>
    <x v="2"/>
    <x v="7"/>
    <n v="7"/>
    <n v="10"/>
    <x v="216"/>
    <d v="1899-12-30T00:11:43"/>
  </r>
  <r>
    <x v="2"/>
    <x v="0"/>
    <n v="25.96"/>
    <x v="2"/>
    <x v="1"/>
    <x v="2"/>
    <x v="7"/>
    <n v="7"/>
    <n v="10"/>
    <x v="216"/>
    <d v="1899-12-30T00:46:04"/>
  </r>
  <r>
    <x v="2"/>
    <x v="0"/>
    <n v="35.76"/>
    <x v="7"/>
    <x v="1"/>
    <x v="2"/>
    <x v="7"/>
    <n v="7"/>
    <n v="10"/>
    <x v="216"/>
    <d v="1899-12-30T00:47:02"/>
  </r>
  <r>
    <x v="2"/>
    <x v="0"/>
    <n v="30.86"/>
    <x v="3"/>
    <x v="1"/>
    <x v="2"/>
    <x v="7"/>
    <n v="7"/>
    <n v="10"/>
    <x v="216"/>
    <d v="1899-12-30T00:50:00"/>
  </r>
  <r>
    <x v="2"/>
    <x v="0"/>
    <n v="35.76"/>
    <x v="0"/>
    <x v="1"/>
    <x v="2"/>
    <x v="7"/>
    <n v="7"/>
    <n v="10"/>
    <x v="216"/>
    <d v="1899-12-30T00:51:04"/>
  </r>
  <r>
    <x v="2"/>
    <x v="0"/>
    <n v="35.76"/>
    <x v="7"/>
    <x v="1"/>
    <x v="2"/>
    <x v="7"/>
    <n v="7"/>
    <n v="10"/>
    <x v="216"/>
    <d v="1899-12-30T00:51:56"/>
  </r>
  <r>
    <x v="4"/>
    <x v="0"/>
    <n v="35.76"/>
    <x v="7"/>
    <x v="1"/>
    <x v="2"/>
    <x v="7"/>
    <n v="7"/>
    <n v="10"/>
    <x v="216"/>
    <d v="1899-12-30T00:31:34"/>
  </r>
  <r>
    <x v="4"/>
    <x v="0"/>
    <n v="21.06"/>
    <x v="6"/>
    <x v="1"/>
    <x v="2"/>
    <x v="7"/>
    <n v="7"/>
    <n v="10"/>
    <x v="216"/>
    <d v="1899-12-30T00:35:46"/>
  </r>
  <r>
    <x v="5"/>
    <x v="0"/>
    <n v="30.86"/>
    <x v="3"/>
    <x v="2"/>
    <x v="2"/>
    <x v="7"/>
    <n v="7"/>
    <n v="10"/>
    <x v="216"/>
    <d v="1899-12-30T00:17:45"/>
  </r>
  <r>
    <x v="5"/>
    <x v="0"/>
    <n v="35.76"/>
    <x v="1"/>
    <x v="2"/>
    <x v="2"/>
    <x v="7"/>
    <n v="7"/>
    <n v="10"/>
    <x v="216"/>
    <d v="1899-12-30T00:35:17"/>
  </r>
  <r>
    <x v="15"/>
    <x v="0"/>
    <n v="35.76"/>
    <x v="1"/>
    <x v="2"/>
    <x v="2"/>
    <x v="7"/>
    <n v="7"/>
    <n v="10"/>
    <x v="216"/>
    <d v="1899-12-30T00:09:13"/>
  </r>
  <r>
    <x v="15"/>
    <x v="0"/>
    <n v="35.76"/>
    <x v="1"/>
    <x v="2"/>
    <x v="2"/>
    <x v="7"/>
    <n v="7"/>
    <n v="10"/>
    <x v="216"/>
    <d v="1899-12-30T00:10:01"/>
  </r>
  <r>
    <x v="15"/>
    <x v="0"/>
    <n v="35.76"/>
    <x v="1"/>
    <x v="2"/>
    <x v="2"/>
    <x v="7"/>
    <n v="7"/>
    <n v="10"/>
    <x v="216"/>
    <d v="1899-12-30T00:10:45"/>
  </r>
  <r>
    <x v="15"/>
    <x v="0"/>
    <n v="35.76"/>
    <x v="0"/>
    <x v="2"/>
    <x v="2"/>
    <x v="7"/>
    <n v="7"/>
    <n v="10"/>
    <x v="216"/>
    <d v="1899-12-30T00:16:49"/>
  </r>
  <r>
    <x v="12"/>
    <x v="0"/>
    <n v="35.76"/>
    <x v="0"/>
    <x v="0"/>
    <x v="3"/>
    <x v="7"/>
    <n v="1"/>
    <n v="10"/>
    <x v="217"/>
    <d v="1899-12-30T00:33:36"/>
  </r>
  <r>
    <x v="12"/>
    <x v="0"/>
    <n v="35.76"/>
    <x v="0"/>
    <x v="0"/>
    <x v="3"/>
    <x v="7"/>
    <n v="1"/>
    <n v="10"/>
    <x v="217"/>
    <d v="1899-12-30T00:49:37"/>
  </r>
  <r>
    <x v="12"/>
    <x v="0"/>
    <n v="30.86"/>
    <x v="3"/>
    <x v="0"/>
    <x v="3"/>
    <x v="7"/>
    <n v="1"/>
    <n v="10"/>
    <x v="217"/>
    <d v="1899-12-30T00:50:42"/>
  </r>
  <r>
    <x v="10"/>
    <x v="0"/>
    <n v="35.76"/>
    <x v="4"/>
    <x v="0"/>
    <x v="3"/>
    <x v="7"/>
    <n v="1"/>
    <n v="10"/>
    <x v="217"/>
    <d v="1899-12-30T00:05:28"/>
  </r>
  <r>
    <x v="10"/>
    <x v="0"/>
    <n v="35.76"/>
    <x v="0"/>
    <x v="0"/>
    <x v="3"/>
    <x v="7"/>
    <n v="1"/>
    <n v="10"/>
    <x v="217"/>
    <d v="1899-12-30T00:09:58"/>
  </r>
  <r>
    <x v="1"/>
    <x v="0"/>
    <n v="30.86"/>
    <x v="3"/>
    <x v="1"/>
    <x v="3"/>
    <x v="7"/>
    <n v="1"/>
    <n v="10"/>
    <x v="217"/>
    <d v="1899-12-30T00:17:57"/>
  </r>
  <r>
    <x v="8"/>
    <x v="0"/>
    <n v="25.96"/>
    <x v="2"/>
    <x v="1"/>
    <x v="3"/>
    <x v="7"/>
    <n v="1"/>
    <n v="10"/>
    <x v="217"/>
    <d v="1899-12-30T00:31:45"/>
  </r>
  <r>
    <x v="8"/>
    <x v="0"/>
    <n v="25.96"/>
    <x v="2"/>
    <x v="1"/>
    <x v="3"/>
    <x v="7"/>
    <n v="1"/>
    <n v="10"/>
    <x v="217"/>
    <d v="1899-12-30T00:32:39"/>
  </r>
  <r>
    <x v="9"/>
    <x v="0"/>
    <n v="35.76"/>
    <x v="0"/>
    <x v="2"/>
    <x v="3"/>
    <x v="7"/>
    <n v="1"/>
    <n v="10"/>
    <x v="217"/>
    <d v="1899-12-30T00:48:55"/>
  </r>
  <r>
    <x v="15"/>
    <x v="0"/>
    <n v="35.76"/>
    <x v="1"/>
    <x v="2"/>
    <x v="3"/>
    <x v="7"/>
    <n v="1"/>
    <n v="10"/>
    <x v="217"/>
    <d v="1899-12-30T00:14:42"/>
  </r>
  <r>
    <x v="15"/>
    <x v="0"/>
    <n v="35.76"/>
    <x v="1"/>
    <x v="2"/>
    <x v="3"/>
    <x v="7"/>
    <n v="1"/>
    <n v="10"/>
    <x v="217"/>
    <d v="1899-12-30T00:15:20"/>
  </r>
  <r>
    <x v="15"/>
    <x v="0"/>
    <n v="35.76"/>
    <x v="0"/>
    <x v="2"/>
    <x v="3"/>
    <x v="7"/>
    <n v="1"/>
    <n v="10"/>
    <x v="217"/>
    <d v="1899-12-30T00:40:49"/>
  </r>
  <r>
    <x v="12"/>
    <x v="0"/>
    <n v="35.76"/>
    <x v="0"/>
    <x v="0"/>
    <x v="4"/>
    <x v="7"/>
    <n v="2"/>
    <n v="10"/>
    <x v="218"/>
    <d v="1899-12-30T00:11:51"/>
  </r>
  <r>
    <x v="10"/>
    <x v="0"/>
    <n v="30.86"/>
    <x v="3"/>
    <x v="0"/>
    <x v="4"/>
    <x v="7"/>
    <n v="2"/>
    <n v="10"/>
    <x v="218"/>
    <d v="1899-12-30T00:05:14"/>
  </r>
  <r>
    <x v="0"/>
    <x v="0"/>
    <n v="25.96"/>
    <x v="2"/>
    <x v="0"/>
    <x v="4"/>
    <x v="7"/>
    <n v="2"/>
    <n v="10"/>
    <x v="218"/>
    <d v="1899-12-30T00:22:31"/>
  </r>
  <r>
    <x v="0"/>
    <x v="0"/>
    <n v="35.76"/>
    <x v="0"/>
    <x v="0"/>
    <x v="4"/>
    <x v="7"/>
    <n v="2"/>
    <n v="10"/>
    <x v="218"/>
    <d v="1899-12-30T00:27:09"/>
  </r>
  <r>
    <x v="7"/>
    <x v="0"/>
    <n v="35.76"/>
    <x v="0"/>
    <x v="0"/>
    <x v="4"/>
    <x v="7"/>
    <n v="2"/>
    <n v="10"/>
    <x v="218"/>
    <d v="1899-12-30T00:30:10"/>
  </r>
  <r>
    <x v="1"/>
    <x v="0"/>
    <n v="25.96"/>
    <x v="2"/>
    <x v="1"/>
    <x v="4"/>
    <x v="7"/>
    <n v="2"/>
    <n v="10"/>
    <x v="218"/>
    <d v="1899-12-30T00:48:05"/>
  </r>
  <r>
    <x v="1"/>
    <x v="0"/>
    <n v="25.96"/>
    <x v="2"/>
    <x v="1"/>
    <x v="4"/>
    <x v="7"/>
    <n v="2"/>
    <n v="10"/>
    <x v="218"/>
    <d v="1899-12-30T00:49:05"/>
  </r>
  <r>
    <x v="2"/>
    <x v="0"/>
    <n v="35.76"/>
    <x v="0"/>
    <x v="1"/>
    <x v="4"/>
    <x v="7"/>
    <n v="2"/>
    <n v="10"/>
    <x v="218"/>
    <d v="1899-12-30T00:04:01"/>
  </r>
  <r>
    <x v="2"/>
    <x v="0"/>
    <n v="35.76"/>
    <x v="0"/>
    <x v="1"/>
    <x v="4"/>
    <x v="7"/>
    <n v="2"/>
    <n v="10"/>
    <x v="218"/>
    <d v="1899-12-30T00:04:59"/>
  </r>
  <r>
    <x v="8"/>
    <x v="0"/>
    <n v="35.76"/>
    <x v="0"/>
    <x v="1"/>
    <x v="4"/>
    <x v="7"/>
    <n v="2"/>
    <n v="10"/>
    <x v="218"/>
    <d v="1899-12-30T00:42:52"/>
  </r>
  <r>
    <x v="3"/>
    <x v="0"/>
    <n v="35.76"/>
    <x v="0"/>
    <x v="1"/>
    <x v="4"/>
    <x v="7"/>
    <n v="2"/>
    <n v="10"/>
    <x v="218"/>
    <d v="1899-12-30T00:13:41"/>
  </r>
  <r>
    <x v="3"/>
    <x v="0"/>
    <n v="25.96"/>
    <x v="2"/>
    <x v="1"/>
    <x v="4"/>
    <x v="7"/>
    <n v="2"/>
    <n v="10"/>
    <x v="218"/>
    <d v="1899-12-30T00:19:52"/>
  </r>
  <r>
    <x v="3"/>
    <x v="0"/>
    <n v="30.86"/>
    <x v="3"/>
    <x v="1"/>
    <x v="4"/>
    <x v="7"/>
    <n v="2"/>
    <n v="10"/>
    <x v="218"/>
    <d v="1899-12-30T00:50:43"/>
  </r>
  <r>
    <x v="11"/>
    <x v="0"/>
    <n v="35.76"/>
    <x v="1"/>
    <x v="2"/>
    <x v="4"/>
    <x v="7"/>
    <n v="2"/>
    <n v="10"/>
    <x v="218"/>
    <d v="1899-12-30T00:40:41"/>
  </r>
  <r>
    <x v="11"/>
    <x v="0"/>
    <n v="35.76"/>
    <x v="7"/>
    <x v="2"/>
    <x v="4"/>
    <x v="7"/>
    <n v="2"/>
    <n v="10"/>
    <x v="218"/>
    <d v="1899-12-30T00:41:34"/>
  </r>
  <r>
    <x v="11"/>
    <x v="0"/>
    <n v="35.76"/>
    <x v="0"/>
    <x v="2"/>
    <x v="4"/>
    <x v="7"/>
    <n v="2"/>
    <n v="10"/>
    <x v="218"/>
    <d v="1899-12-30T00:51:09"/>
  </r>
  <r>
    <x v="15"/>
    <x v="0"/>
    <n v="30.86"/>
    <x v="3"/>
    <x v="2"/>
    <x v="4"/>
    <x v="7"/>
    <n v="2"/>
    <n v="10"/>
    <x v="218"/>
    <d v="1899-12-30T00:24:32"/>
  </r>
  <r>
    <x v="15"/>
    <x v="0"/>
    <n v="30.86"/>
    <x v="3"/>
    <x v="2"/>
    <x v="4"/>
    <x v="7"/>
    <n v="2"/>
    <n v="10"/>
    <x v="218"/>
    <d v="1899-12-30T21:25:32"/>
  </r>
  <r>
    <x v="14"/>
    <x v="0"/>
    <n v="35.76"/>
    <x v="0"/>
    <x v="0"/>
    <x v="5"/>
    <x v="7"/>
    <n v="3"/>
    <n v="10"/>
    <x v="219"/>
    <d v="1899-12-30T00:54:43"/>
  </r>
  <r>
    <x v="12"/>
    <x v="0"/>
    <n v="30.86"/>
    <x v="3"/>
    <x v="0"/>
    <x v="5"/>
    <x v="7"/>
    <n v="3"/>
    <n v="10"/>
    <x v="219"/>
    <d v="1899-12-30T00:25:58"/>
  </r>
  <r>
    <x v="10"/>
    <x v="0"/>
    <n v="30.86"/>
    <x v="3"/>
    <x v="0"/>
    <x v="5"/>
    <x v="7"/>
    <n v="3"/>
    <n v="10"/>
    <x v="219"/>
    <d v="1899-12-30T00:43:21"/>
  </r>
  <r>
    <x v="10"/>
    <x v="0"/>
    <n v="35.76"/>
    <x v="0"/>
    <x v="0"/>
    <x v="5"/>
    <x v="7"/>
    <n v="3"/>
    <n v="10"/>
    <x v="219"/>
    <d v="1899-12-30T00:59:40"/>
  </r>
  <r>
    <x v="0"/>
    <x v="0"/>
    <n v="21.06"/>
    <x v="6"/>
    <x v="0"/>
    <x v="5"/>
    <x v="7"/>
    <n v="3"/>
    <n v="10"/>
    <x v="219"/>
    <d v="1899-12-30T00:37:57"/>
  </r>
  <r>
    <x v="7"/>
    <x v="0"/>
    <n v="25.96"/>
    <x v="2"/>
    <x v="0"/>
    <x v="5"/>
    <x v="7"/>
    <n v="3"/>
    <n v="10"/>
    <x v="219"/>
    <d v="1899-12-30T00:18:02"/>
  </r>
  <r>
    <x v="2"/>
    <x v="0"/>
    <n v="35.76"/>
    <x v="0"/>
    <x v="1"/>
    <x v="5"/>
    <x v="7"/>
    <n v="3"/>
    <n v="10"/>
    <x v="219"/>
    <d v="1899-12-30T00:03:09"/>
  </r>
  <r>
    <x v="2"/>
    <x v="0"/>
    <n v="30.86"/>
    <x v="3"/>
    <x v="1"/>
    <x v="5"/>
    <x v="7"/>
    <n v="3"/>
    <n v="10"/>
    <x v="219"/>
    <d v="1899-12-30T00:52:35"/>
  </r>
  <r>
    <x v="9"/>
    <x v="0"/>
    <n v="35.76"/>
    <x v="7"/>
    <x v="2"/>
    <x v="5"/>
    <x v="7"/>
    <n v="3"/>
    <n v="10"/>
    <x v="219"/>
    <d v="1899-12-30T00:26:44"/>
  </r>
  <r>
    <x v="9"/>
    <x v="0"/>
    <n v="25.96"/>
    <x v="2"/>
    <x v="2"/>
    <x v="5"/>
    <x v="7"/>
    <n v="3"/>
    <n v="10"/>
    <x v="219"/>
    <d v="1899-12-30T00:27:49"/>
  </r>
  <r>
    <x v="9"/>
    <x v="0"/>
    <n v="21.06"/>
    <x v="6"/>
    <x v="2"/>
    <x v="5"/>
    <x v="7"/>
    <n v="3"/>
    <n v="10"/>
    <x v="219"/>
    <d v="1899-12-30T00:50:00"/>
  </r>
  <r>
    <x v="11"/>
    <x v="0"/>
    <n v="35.76"/>
    <x v="7"/>
    <x v="2"/>
    <x v="5"/>
    <x v="7"/>
    <n v="3"/>
    <n v="10"/>
    <x v="219"/>
    <d v="1899-12-30T00:49:13"/>
  </r>
  <r>
    <x v="12"/>
    <x v="0"/>
    <n v="25.96"/>
    <x v="2"/>
    <x v="0"/>
    <x v="6"/>
    <x v="7"/>
    <n v="4"/>
    <n v="10"/>
    <x v="220"/>
    <d v="1899-12-30T00:48:07"/>
  </r>
  <r>
    <x v="10"/>
    <x v="0"/>
    <n v="30.86"/>
    <x v="3"/>
    <x v="0"/>
    <x v="6"/>
    <x v="7"/>
    <n v="4"/>
    <n v="10"/>
    <x v="220"/>
    <d v="1899-12-30T00:23:20"/>
  </r>
  <r>
    <x v="10"/>
    <x v="0"/>
    <n v="35.76"/>
    <x v="1"/>
    <x v="0"/>
    <x v="6"/>
    <x v="7"/>
    <n v="4"/>
    <n v="10"/>
    <x v="220"/>
    <d v="1899-12-30T00:51:44"/>
  </r>
  <r>
    <x v="0"/>
    <x v="0"/>
    <n v="35.76"/>
    <x v="0"/>
    <x v="0"/>
    <x v="6"/>
    <x v="7"/>
    <n v="4"/>
    <n v="10"/>
    <x v="220"/>
    <d v="1899-12-30T00:05:10"/>
  </r>
  <r>
    <x v="0"/>
    <x v="0"/>
    <n v="25.96"/>
    <x v="5"/>
    <x v="0"/>
    <x v="6"/>
    <x v="7"/>
    <n v="4"/>
    <n v="10"/>
    <x v="220"/>
    <d v="1899-12-30T00:42:43"/>
  </r>
  <r>
    <x v="0"/>
    <x v="0"/>
    <n v="25.96"/>
    <x v="5"/>
    <x v="0"/>
    <x v="6"/>
    <x v="7"/>
    <n v="4"/>
    <n v="10"/>
    <x v="220"/>
    <d v="1899-12-30T00:43:30"/>
  </r>
  <r>
    <x v="0"/>
    <x v="0"/>
    <n v="35.76"/>
    <x v="0"/>
    <x v="0"/>
    <x v="6"/>
    <x v="7"/>
    <n v="4"/>
    <n v="10"/>
    <x v="220"/>
    <d v="1899-12-30T00:55:33"/>
  </r>
  <r>
    <x v="7"/>
    <x v="0"/>
    <n v="35.76"/>
    <x v="0"/>
    <x v="0"/>
    <x v="6"/>
    <x v="7"/>
    <n v="4"/>
    <n v="10"/>
    <x v="220"/>
    <d v="1899-12-30T00:04:19"/>
  </r>
  <r>
    <x v="3"/>
    <x v="0"/>
    <n v="35.76"/>
    <x v="7"/>
    <x v="1"/>
    <x v="6"/>
    <x v="7"/>
    <n v="4"/>
    <n v="10"/>
    <x v="220"/>
    <d v="1899-12-30T00:05:43"/>
  </r>
  <r>
    <x v="9"/>
    <x v="0"/>
    <n v="35.76"/>
    <x v="0"/>
    <x v="2"/>
    <x v="6"/>
    <x v="7"/>
    <n v="4"/>
    <n v="10"/>
    <x v="220"/>
    <d v="1899-12-30T00:40:44"/>
  </r>
  <r>
    <x v="5"/>
    <x v="0"/>
    <n v="25.96"/>
    <x v="2"/>
    <x v="2"/>
    <x v="6"/>
    <x v="7"/>
    <n v="4"/>
    <n v="10"/>
    <x v="220"/>
    <d v="1899-12-30T00:18:33"/>
  </r>
  <r>
    <x v="5"/>
    <x v="0"/>
    <n v="30.86"/>
    <x v="3"/>
    <x v="2"/>
    <x v="6"/>
    <x v="7"/>
    <n v="4"/>
    <n v="10"/>
    <x v="220"/>
    <d v="1899-12-30T00:56:31"/>
  </r>
  <r>
    <x v="5"/>
    <x v="0"/>
    <n v="35.76"/>
    <x v="0"/>
    <x v="2"/>
    <x v="6"/>
    <x v="7"/>
    <n v="4"/>
    <n v="10"/>
    <x v="220"/>
    <d v="1899-12-30T00:57:35"/>
  </r>
  <r>
    <x v="13"/>
    <x v="0"/>
    <n v="35.76"/>
    <x v="1"/>
    <x v="2"/>
    <x v="6"/>
    <x v="7"/>
    <n v="4"/>
    <n v="10"/>
    <x v="220"/>
    <d v="1899-12-30T00:33:17"/>
  </r>
  <r>
    <x v="13"/>
    <x v="0"/>
    <n v="35.76"/>
    <x v="1"/>
    <x v="2"/>
    <x v="6"/>
    <x v="7"/>
    <n v="4"/>
    <n v="10"/>
    <x v="220"/>
    <d v="1899-12-30T00:34:00"/>
  </r>
  <r>
    <x v="14"/>
    <x v="0"/>
    <n v="30.86"/>
    <x v="3"/>
    <x v="0"/>
    <x v="0"/>
    <x v="7"/>
    <n v="5"/>
    <n v="10"/>
    <x v="221"/>
    <d v="1899-12-30T00:54:52"/>
  </r>
  <r>
    <x v="12"/>
    <x v="0"/>
    <n v="35.76"/>
    <x v="0"/>
    <x v="0"/>
    <x v="0"/>
    <x v="7"/>
    <n v="5"/>
    <n v="10"/>
    <x v="221"/>
    <d v="1899-12-30T00:00:51"/>
  </r>
  <r>
    <x v="12"/>
    <x v="0"/>
    <n v="25.96"/>
    <x v="5"/>
    <x v="0"/>
    <x v="0"/>
    <x v="7"/>
    <n v="5"/>
    <n v="10"/>
    <x v="221"/>
    <d v="1899-12-30T00:12:20"/>
  </r>
  <r>
    <x v="12"/>
    <x v="0"/>
    <n v="35.76"/>
    <x v="0"/>
    <x v="0"/>
    <x v="0"/>
    <x v="7"/>
    <n v="5"/>
    <n v="10"/>
    <x v="221"/>
    <d v="1899-12-30T00:28:19"/>
  </r>
  <r>
    <x v="12"/>
    <x v="0"/>
    <n v="35.76"/>
    <x v="4"/>
    <x v="0"/>
    <x v="0"/>
    <x v="7"/>
    <n v="5"/>
    <n v="10"/>
    <x v="221"/>
    <d v="1899-12-30T00:29:22"/>
  </r>
  <r>
    <x v="12"/>
    <x v="0"/>
    <n v="35.76"/>
    <x v="4"/>
    <x v="0"/>
    <x v="0"/>
    <x v="7"/>
    <n v="5"/>
    <n v="10"/>
    <x v="221"/>
    <d v="1899-12-30T00:55:44"/>
  </r>
  <r>
    <x v="12"/>
    <x v="0"/>
    <n v="30.86"/>
    <x v="3"/>
    <x v="0"/>
    <x v="0"/>
    <x v="7"/>
    <n v="5"/>
    <n v="10"/>
    <x v="221"/>
    <d v="1899-12-30T00:56:59"/>
  </r>
  <r>
    <x v="12"/>
    <x v="0"/>
    <n v="35.76"/>
    <x v="1"/>
    <x v="0"/>
    <x v="0"/>
    <x v="7"/>
    <n v="5"/>
    <n v="10"/>
    <x v="221"/>
    <d v="1899-12-30T00:58:09"/>
  </r>
  <r>
    <x v="10"/>
    <x v="0"/>
    <n v="30.86"/>
    <x v="3"/>
    <x v="0"/>
    <x v="0"/>
    <x v="7"/>
    <n v="5"/>
    <n v="10"/>
    <x v="221"/>
    <d v="1899-12-30T00:31:42"/>
  </r>
  <r>
    <x v="10"/>
    <x v="0"/>
    <n v="25.96"/>
    <x v="5"/>
    <x v="0"/>
    <x v="0"/>
    <x v="7"/>
    <n v="5"/>
    <n v="10"/>
    <x v="221"/>
    <d v="1899-12-30T00:38:47"/>
  </r>
  <r>
    <x v="0"/>
    <x v="0"/>
    <n v="25.96"/>
    <x v="2"/>
    <x v="0"/>
    <x v="0"/>
    <x v="7"/>
    <n v="5"/>
    <n v="10"/>
    <x v="221"/>
    <d v="1899-12-30T00:00:40"/>
  </r>
  <r>
    <x v="0"/>
    <x v="0"/>
    <n v="25.96"/>
    <x v="2"/>
    <x v="0"/>
    <x v="0"/>
    <x v="7"/>
    <n v="5"/>
    <n v="10"/>
    <x v="221"/>
    <d v="1899-12-30T00:01:55"/>
  </r>
  <r>
    <x v="0"/>
    <x v="0"/>
    <n v="30.86"/>
    <x v="3"/>
    <x v="0"/>
    <x v="0"/>
    <x v="7"/>
    <n v="5"/>
    <n v="10"/>
    <x v="221"/>
    <d v="1899-12-30T00:30:36"/>
  </r>
  <r>
    <x v="2"/>
    <x v="0"/>
    <n v="35.76"/>
    <x v="0"/>
    <x v="1"/>
    <x v="0"/>
    <x v="7"/>
    <n v="5"/>
    <n v="10"/>
    <x v="221"/>
    <d v="1899-12-30T00:05:01"/>
  </r>
  <r>
    <x v="2"/>
    <x v="0"/>
    <n v="25.96"/>
    <x v="2"/>
    <x v="1"/>
    <x v="0"/>
    <x v="7"/>
    <n v="5"/>
    <n v="10"/>
    <x v="221"/>
    <d v="1899-12-30T00:29:03"/>
  </r>
  <r>
    <x v="2"/>
    <x v="0"/>
    <n v="25.96"/>
    <x v="2"/>
    <x v="1"/>
    <x v="0"/>
    <x v="7"/>
    <n v="5"/>
    <n v="10"/>
    <x v="221"/>
    <d v="1899-12-30T00:30:09"/>
  </r>
  <r>
    <x v="8"/>
    <x v="0"/>
    <n v="35.76"/>
    <x v="4"/>
    <x v="1"/>
    <x v="0"/>
    <x v="7"/>
    <n v="5"/>
    <n v="10"/>
    <x v="221"/>
    <d v="1899-12-30T00:33:41"/>
  </r>
  <r>
    <x v="8"/>
    <x v="0"/>
    <n v="25.96"/>
    <x v="2"/>
    <x v="1"/>
    <x v="0"/>
    <x v="7"/>
    <n v="5"/>
    <n v="10"/>
    <x v="221"/>
    <d v="1899-12-30T00:35:29"/>
  </r>
  <r>
    <x v="8"/>
    <x v="0"/>
    <n v="35.76"/>
    <x v="7"/>
    <x v="1"/>
    <x v="0"/>
    <x v="7"/>
    <n v="5"/>
    <n v="10"/>
    <x v="221"/>
    <d v="1899-12-30T00:50:09"/>
  </r>
  <r>
    <x v="9"/>
    <x v="0"/>
    <n v="35.76"/>
    <x v="0"/>
    <x v="2"/>
    <x v="0"/>
    <x v="7"/>
    <n v="5"/>
    <n v="10"/>
    <x v="221"/>
    <d v="1899-12-30T00:12:07"/>
  </r>
  <r>
    <x v="9"/>
    <x v="0"/>
    <n v="35.76"/>
    <x v="1"/>
    <x v="2"/>
    <x v="0"/>
    <x v="7"/>
    <n v="5"/>
    <n v="10"/>
    <x v="221"/>
    <d v="1899-12-30T00:13:22"/>
  </r>
  <r>
    <x v="9"/>
    <x v="0"/>
    <n v="35.76"/>
    <x v="1"/>
    <x v="2"/>
    <x v="0"/>
    <x v="7"/>
    <n v="5"/>
    <n v="10"/>
    <x v="221"/>
    <d v="1899-12-30T00:26:11"/>
  </r>
  <r>
    <x v="15"/>
    <x v="0"/>
    <n v="35.76"/>
    <x v="0"/>
    <x v="2"/>
    <x v="0"/>
    <x v="7"/>
    <n v="5"/>
    <n v="10"/>
    <x v="221"/>
    <d v="1899-12-30T00:48:38"/>
  </r>
  <r>
    <x v="15"/>
    <x v="0"/>
    <n v="30.86"/>
    <x v="3"/>
    <x v="2"/>
    <x v="0"/>
    <x v="7"/>
    <n v="5"/>
    <n v="10"/>
    <x v="221"/>
    <d v="1899-12-30T00:53:54"/>
  </r>
  <r>
    <x v="13"/>
    <x v="0"/>
    <n v="35.76"/>
    <x v="1"/>
    <x v="2"/>
    <x v="0"/>
    <x v="7"/>
    <n v="5"/>
    <n v="10"/>
    <x v="221"/>
    <d v="1899-12-30T00:36:28"/>
  </r>
  <r>
    <x v="13"/>
    <x v="0"/>
    <n v="35.76"/>
    <x v="1"/>
    <x v="2"/>
    <x v="0"/>
    <x v="7"/>
    <n v="5"/>
    <n v="10"/>
    <x v="221"/>
    <d v="1899-12-30T00:37:27"/>
  </r>
  <r>
    <x v="12"/>
    <x v="0"/>
    <n v="25.96"/>
    <x v="5"/>
    <x v="0"/>
    <x v="1"/>
    <x v="7"/>
    <n v="6"/>
    <n v="10"/>
    <x v="222"/>
    <d v="1899-12-30T00:28:16"/>
  </r>
  <r>
    <x v="0"/>
    <x v="0"/>
    <n v="25.96"/>
    <x v="5"/>
    <x v="0"/>
    <x v="1"/>
    <x v="7"/>
    <n v="6"/>
    <n v="10"/>
    <x v="222"/>
    <d v="1899-12-30T00:31:39"/>
  </r>
  <r>
    <x v="0"/>
    <x v="0"/>
    <n v="25.96"/>
    <x v="5"/>
    <x v="0"/>
    <x v="1"/>
    <x v="7"/>
    <n v="6"/>
    <n v="10"/>
    <x v="222"/>
    <d v="1899-12-30T00:32:56"/>
  </r>
  <r>
    <x v="7"/>
    <x v="0"/>
    <n v="35.76"/>
    <x v="0"/>
    <x v="0"/>
    <x v="1"/>
    <x v="7"/>
    <n v="6"/>
    <n v="10"/>
    <x v="222"/>
    <d v="1899-12-30T00:52:16"/>
  </r>
  <r>
    <x v="7"/>
    <x v="0"/>
    <n v="30.86"/>
    <x v="3"/>
    <x v="0"/>
    <x v="1"/>
    <x v="7"/>
    <n v="6"/>
    <n v="10"/>
    <x v="222"/>
    <d v="1899-12-30T00:53:41"/>
  </r>
  <r>
    <x v="2"/>
    <x v="0"/>
    <n v="35.76"/>
    <x v="7"/>
    <x v="1"/>
    <x v="1"/>
    <x v="7"/>
    <n v="6"/>
    <n v="10"/>
    <x v="222"/>
    <d v="1899-12-30T00:18:47"/>
  </r>
  <r>
    <x v="11"/>
    <x v="0"/>
    <n v="35.76"/>
    <x v="0"/>
    <x v="2"/>
    <x v="1"/>
    <x v="7"/>
    <n v="6"/>
    <n v="10"/>
    <x v="222"/>
    <d v="1899-12-30T00:10:54"/>
  </r>
  <r>
    <x v="10"/>
    <x v="0"/>
    <n v="25.96"/>
    <x v="5"/>
    <x v="0"/>
    <x v="2"/>
    <x v="7"/>
    <n v="7"/>
    <n v="10"/>
    <x v="223"/>
    <d v="1899-12-30T00:54:55"/>
  </r>
  <r>
    <x v="1"/>
    <x v="0"/>
    <n v="30.86"/>
    <x v="3"/>
    <x v="1"/>
    <x v="2"/>
    <x v="7"/>
    <n v="7"/>
    <n v="10"/>
    <x v="223"/>
    <d v="1899-12-30T00:20:47"/>
  </r>
  <r>
    <x v="2"/>
    <x v="0"/>
    <n v="25.96"/>
    <x v="5"/>
    <x v="1"/>
    <x v="2"/>
    <x v="7"/>
    <n v="7"/>
    <n v="10"/>
    <x v="223"/>
    <d v="1899-12-30T00:32:30"/>
  </r>
  <r>
    <x v="2"/>
    <x v="0"/>
    <n v="21.06"/>
    <x v="6"/>
    <x v="1"/>
    <x v="2"/>
    <x v="7"/>
    <n v="7"/>
    <n v="10"/>
    <x v="223"/>
    <d v="1899-12-30T00:33:29"/>
  </r>
  <r>
    <x v="2"/>
    <x v="0"/>
    <n v="25.96"/>
    <x v="5"/>
    <x v="1"/>
    <x v="2"/>
    <x v="7"/>
    <n v="7"/>
    <n v="10"/>
    <x v="223"/>
    <d v="1899-12-30T00:34:26"/>
  </r>
  <r>
    <x v="9"/>
    <x v="0"/>
    <n v="35.76"/>
    <x v="0"/>
    <x v="2"/>
    <x v="2"/>
    <x v="7"/>
    <n v="7"/>
    <n v="10"/>
    <x v="223"/>
    <d v="1899-12-30T00:53:21"/>
  </r>
  <r>
    <x v="9"/>
    <x v="0"/>
    <n v="35.76"/>
    <x v="0"/>
    <x v="2"/>
    <x v="2"/>
    <x v="7"/>
    <n v="7"/>
    <n v="10"/>
    <x v="223"/>
    <d v="1899-12-30T00:54:22"/>
  </r>
  <r>
    <x v="5"/>
    <x v="0"/>
    <n v="35.76"/>
    <x v="7"/>
    <x v="2"/>
    <x v="2"/>
    <x v="7"/>
    <n v="7"/>
    <n v="10"/>
    <x v="223"/>
    <d v="1899-12-30T00:22:59"/>
  </r>
  <r>
    <x v="11"/>
    <x v="0"/>
    <n v="35.76"/>
    <x v="7"/>
    <x v="2"/>
    <x v="2"/>
    <x v="7"/>
    <n v="7"/>
    <n v="10"/>
    <x v="223"/>
    <d v="1899-12-30T00:43:05"/>
  </r>
  <r>
    <x v="12"/>
    <x v="0"/>
    <n v="30.86"/>
    <x v="3"/>
    <x v="0"/>
    <x v="3"/>
    <x v="7"/>
    <n v="1"/>
    <n v="10"/>
    <x v="224"/>
    <d v="1899-12-30T00:26:55"/>
  </r>
  <r>
    <x v="10"/>
    <x v="0"/>
    <n v="35.76"/>
    <x v="4"/>
    <x v="0"/>
    <x v="3"/>
    <x v="7"/>
    <n v="1"/>
    <n v="10"/>
    <x v="224"/>
    <d v="1899-12-30T00:49:55"/>
  </r>
  <r>
    <x v="0"/>
    <x v="0"/>
    <n v="25.96"/>
    <x v="5"/>
    <x v="0"/>
    <x v="3"/>
    <x v="7"/>
    <n v="1"/>
    <n v="10"/>
    <x v="224"/>
    <d v="1899-12-30T00:27:51"/>
  </r>
  <r>
    <x v="0"/>
    <x v="0"/>
    <n v="35.76"/>
    <x v="0"/>
    <x v="0"/>
    <x v="3"/>
    <x v="7"/>
    <n v="1"/>
    <n v="10"/>
    <x v="224"/>
    <d v="1899-12-30T00:38:07"/>
  </r>
  <r>
    <x v="0"/>
    <x v="0"/>
    <n v="35.76"/>
    <x v="0"/>
    <x v="0"/>
    <x v="3"/>
    <x v="7"/>
    <n v="1"/>
    <n v="10"/>
    <x v="224"/>
    <d v="1899-12-30T00:39:14"/>
  </r>
  <r>
    <x v="7"/>
    <x v="0"/>
    <n v="35.76"/>
    <x v="7"/>
    <x v="0"/>
    <x v="3"/>
    <x v="7"/>
    <n v="1"/>
    <n v="10"/>
    <x v="224"/>
    <d v="1899-12-30T00:23:51"/>
  </r>
  <r>
    <x v="7"/>
    <x v="0"/>
    <n v="25.96"/>
    <x v="2"/>
    <x v="0"/>
    <x v="3"/>
    <x v="7"/>
    <n v="1"/>
    <n v="10"/>
    <x v="224"/>
    <d v="1899-12-30T00:25:37"/>
  </r>
  <r>
    <x v="7"/>
    <x v="0"/>
    <n v="25.96"/>
    <x v="2"/>
    <x v="0"/>
    <x v="3"/>
    <x v="7"/>
    <n v="1"/>
    <n v="10"/>
    <x v="224"/>
    <d v="1899-12-30T00:26:45"/>
  </r>
  <r>
    <x v="8"/>
    <x v="0"/>
    <n v="35.76"/>
    <x v="0"/>
    <x v="1"/>
    <x v="3"/>
    <x v="7"/>
    <n v="1"/>
    <n v="10"/>
    <x v="224"/>
    <d v="1899-12-30T00:36:07"/>
  </r>
  <r>
    <x v="8"/>
    <x v="0"/>
    <n v="35.76"/>
    <x v="0"/>
    <x v="1"/>
    <x v="3"/>
    <x v="7"/>
    <n v="1"/>
    <n v="10"/>
    <x v="224"/>
    <d v="1899-12-30T00:49:52"/>
  </r>
  <r>
    <x v="4"/>
    <x v="0"/>
    <n v="25.96"/>
    <x v="2"/>
    <x v="1"/>
    <x v="3"/>
    <x v="7"/>
    <n v="1"/>
    <n v="10"/>
    <x v="224"/>
    <d v="1899-12-30T00:37:48"/>
  </r>
  <r>
    <x v="5"/>
    <x v="0"/>
    <n v="35.76"/>
    <x v="0"/>
    <x v="2"/>
    <x v="3"/>
    <x v="7"/>
    <n v="1"/>
    <n v="10"/>
    <x v="224"/>
    <d v="1899-12-30T00:19:19"/>
  </r>
  <r>
    <x v="5"/>
    <x v="0"/>
    <n v="35.76"/>
    <x v="7"/>
    <x v="2"/>
    <x v="3"/>
    <x v="7"/>
    <n v="1"/>
    <n v="10"/>
    <x v="224"/>
    <d v="1899-12-30T00:20:21"/>
  </r>
  <r>
    <x v="13"/>
    <x v="0"/>
    <n v="35.76"/>
    <x v="0"/>
    <x v="2"/>
    <x v="3"/>
    <x v="7"/>
    <n v="1"/>
    <n v="10"/>
    <x v="224"/>
    <d v="1899-12-30T00:08:54"/>
  </r>
  <r>
    <x v="13"/>
    <x v="0"/>
    <n v="35.76"/>
    <x v="0"/>
    <x v="2"/>
    <x v="3"/>
    <x v="7"/>
    <n v="1"/>
    <n v="10"/>
    <x v="224"/>
    <d v="1899-12-30T00:10:24"/>
  </r>
  <r>
    <x v="13"/>
    <x v="0"/>
    <n v="35.76"/>
    <x v="0"/>
    <x v="2"/>
    <x v="3"/>
    <x v="7"/>
    <n v="1"/>
    <n v="10"/>
    <x v="224"/>
    <d v="1899-12-30T00:21:54"/>
  </r>
  <r>
    <x v="12"/>
    <x v="0"/>
    <n v="25.96"/>
    <x v="5"/>
    <x v="0"/>
    <x v="4"/>
    <x v="7"/>
    <n v="2"/>
    <n v="10"/>
    <x v="225"/>
    <d v="1899-12-30T00:14:29"/>
  </r>
  <r>
    <x v="12"/>
    <x v="0"/>
    <n v="21.06"/>
    <x v="6"/>
    <x v="0"/>
    <x v="4"/>
    <x v="7"/>
    <n v="2"/>
    <n v="10"/>
    <x v="225"/>
    <d v="1899-12-30T00:34:18"/>
  </r>
  <r>
    <x v="7"/>
    <x v="0"/>
    <n v="35.76"/>
    <x v="1"/>
    <x v="0"/>
    <x v="4"/>
    <x v="7"/>
    <n v="2"/>
    <n v="10"/>
    <x v="225"/>
    <d v="1899-12-30T00:13:22"/>
  </r>
  <r>
    <x v="7"/>
    <x v="0"/>
    <n v="35.76"/>
    <x v="0"/>
    <x v="0"/>
    <x v="4"/>
    <x v="7"/>
    <n v="2"/>
    <n v="10"/>
    <x v="225"/>
    <d v="1899-12-30T00:15:21"/>
  </r>
  <r>
    <x v="7"/>
    <x v="0"/>
    <n v="35.76"/>
    <x v="1"/>
    <x v="0"/>
    <x v="4"/>
    <x v="7"/>
    <n v="2"/>
    <n v="10"/>
    <x v="225"/>
    <d v="1899-12-30T00:16:28"/>
  </r>
  <r>
    <x v="2"/>
    <x v="0"/>
    <n v="35.76"/>
    <x v="0"/>
    <x v="1"/>
    <x v="4"/>
    <x v="7"/>
    <n v="2"/>
    <n v="10"/>
    <x v="225"/>
    <d v="1899-12-30T00:00:43"/>
  </r>
  <r>
    <x v="2"/>
    <x v="0"/>
    <n v="30.86"/>
    <x v="3"/>
    <x v="1"/>
    <x v="4"/>
    <x v="7"/>
    <n v="2"/>
    <n v="10"/>
    <x v="225"/>
    <d v="1899-12-30T00:15:45"/>
  </r>
  <r>
    <x v="3"/>
    <x v="0"/>
    <n v="35.76"/>
    <x v="0"/>
    <x v="1"/>
    <x v="4"/>
    <x v="7"/>
    <n v="2"/>
    <n v="10"/>
    <x v="225"/>
    <d v="1899-12-30T00:32:11"/>
  </r>
  <r>
    <x v="3"/>
    <x v="0"/>
    <n v="25.96"/>
    <x v="2"/>
    <x v="1"/>
    <x v="4"/>
    <x v="7"/>
    <n v="2"/>
    <n v="10"/>
    <x v="225"/>
    <d v="1899-12-30T00:54:17"/>
  </r>
  <r>
    <x v="3"/>
    <x v="0"/>
    <n v="21.06"/>
    <x v="6"/>
    <x v="1"/>
    <x v="4"/>
    <x v="7"/>
    <n v="2"/>
    <n v="10"/>
    <x v="225"/>
    <d v="1899-12-30T00:55:19"/>
  </r>
  <r>
    <x v="9"/>
    <x v="0"/>
    <n v="35.76"/>
    <x v="1"/>
    <x v="2"/>
    <x v="4"/>
    <x v="7"/>
    <n v="2"/>
    <n v="10"/>
    <x v="225"/>
    <d v="1899-12-30T00:04:11"/>
  </r>
  <r>
    <x v="6"/>
    <x v="0"/>
    <n v="25.96"/>
    <x v="2"/>
    <x v="2"/>
    <x v="4"/>
    <x v="7"/>
    <n v="2"/>
    <n v="10"/>
    <x v="225"/>
    <d v="1899-12-30T00:22:21"/>
  </r>
  <r>
    <x v="6"/>
    <x v="0"/>
    <n v="35.76"/>
    <x v="4"/>
    <x v="2"/>
    <x v="4"/>
    <x v="7"/>
    <n v="2"/>
    <n v="10"/>
    <x v="225"/>
    <d v="1899-12-30T00:23:17"/>
  </r>
  <r>
    <x v="11"/>
    <x v="0"/>
    <n v="35.76"/>
    <x v="0"/>
    <x v="2"/>
    <x v="4"/>
    <x v="7"/>
    <n v="2"/>
    <n v="10"/>
    <x v="225"/>
    <d v="1899-12-30T00:11:15"/>
  </r>
  <r>
    <x v="11"/>
    <x v="0"/>
    <n v="35.76"/>
    <x v="0"/>
    <x v="2"/>
    <x v="4"/>
    <x v="7"/>
    <n v="2"/>
    <n v="10"/>
    <x v="225"/>
    <d v="1899-12-30T00:12:29"/>
  </r>
  <r>
    <x v="15"/>
    <x v="0"/>
    <n v="35.76"/>
    <x v="1"/>
    <x v="2"/>
    <x v="4"/>
    <x v="7"/>
    <n v="2"/>
    <n v="10"/>
    <x v="225"/>
    <d v="1899-12-30T00:18:08"/>
  </r>
  <r>
    <x v="15"/>
    <x v="0"/>
    <n v="35.76"/>
    <x v="1"/>
    <x v="2"/>
    <x v="4"/>
    <x v="7"/>
    <n v="2"/>
    <n v="10"/>
    <x v="225"/>
    <d v="1899-12-30T00:35:20"/>
  </r>
  <r>
    <x v="13"/>
    <x v="0"/>
    <n v="35.76"/>
    <x v="0"/>
    <x v="2"/>
    <x v="4"/>
    <x v="7"/>
    <n v="2"/>
    <n v="10"/>
    <x v="225"/>
    <d v="1899-12-30T00:15:20"/>
  </r>
  <r>
    <x v="12"/>
    <x v="0"/>
    <n v="30.86"/>
    <x v="3"/>
    <x v="0"/>
    <x v="5"/>
    <x v="7"/>
    <n v="3"/>
    <n v="10"/>
    <x v="226"/>
    <d v="1899-12-30T00:21:26"/>
  </r>
  <r>
    <x v="12"/>
    <x v="0"/>
    <n v="35.76"/>
    <x v="1"/>
    <x v="0"/>
    <x v="5"/>
    <x v="7"/>
    <n v="3"/>
    <n v="10"/>
    <x v="226"/>
    <d v="1899-12-30T00:36:24"/>
  </r>
  <r>
    <x v="10"/>
    <x v="0"/>
    <n v="35.76"/>
    <x v="0"/>
    <x v="0"/>
    <x v="5"/>
    <x v="7"/>
    <n v="3"/>
    <n v="10"/>
    <x v="226"/>
    <d v="1899-12-30T00:25:51"/>
  </r>
  <r>
    <x v="0"/>
    <x v="0"/>
    <n v="30.86"/>
    <x v="3"/>
    <x v="0"/>
    <x v="5"/>
    <x v="7"/>
    <n v="3"/>
    <n v="10"/>
    <x v="226"/>
    <d v="1899-12-30T00:15:48"/>
  </r>
  <r>
    <x v="0"/>
    <x v="0"/>
    <n v="30.86"/>
    <x v="3"/>
    <x v="0"/>
    <x v="5"/>
    <x v="7"/>
    <n v="3"/>
    <n v="10"/>
    <x v="226"/>
    <d v="1899-12-30T00:16:54"/>
  </r>
  <r>
    <x v="0"/>
    <x v="0"/>
    <n v="30.86"/>
    <x v="3"/>
    <x v="0"/>
    <x v="5"/>
    <x v="7"/>
    <n v="3"/>
    <n v="10"/>
    <x v="226"/>
    <d v="1899-12-30T00:45:25"/>
  </r>
  <r>
    <x v="7"/>
    <x v="0"/>
    <n v="25.96"/>
    <x v="2"/>
    <x v="0"/>
    <x v="5"/>
    <x v="7"/>
    <n v="3"/>
    <n v="10"/>
    <x v="226"/>
    <d v="1899-12-30T00:49:45"/>
  </r>
  <r>
    <x v="1"/>
    <x v="0"/>
    <n v="30.86"/>
    <x v="3"/>
    <x v="1"/>
    <x v="5"/>
    <x v="7"/>
    <n v="3"/>
    <n v="10"/>
    <x v="226"/>
    <d v="1899-12-30T00:29:44"/>
  </r>
  <r>
    <x v="2"/>
    <x v="0"/>
    <n v="25.96"/>
    <x v="2"/>
    <x v="1"/>
    <x v="5"/>
    <x v="7"/>
    <n v="3"/>
    <n v="10"/>
    <x v="226"/>
    <d v="1899-12-30T00:20:11"/>
  </r>
  <r>
    <x v="4"/>
    <x v="0"/>
    <n v="35.76"/>
    <x v="0"/>
    <x v="1"/>
    <x v="5"/>
    <x v="7"/>
    <n v="3"/>
    <n v="10"/>
    <x v="226"/>
    <d v="1899-12-30T00:45:30"/>
  </r>
  <r>
    <x v="9"/>
    <x v="0"/>
    <n v="30.86"/>
    <x v="3"/>
    <x v="2"/>
    <x v="5"/>
    <x v="7"/>
    <n v="3"/>
    <n v="10"/>
    <x v="226"/>
    <d v="1899-12-30T00:43:21"/>
  </r>
  <r>
    <x v="6"/>
    <x v="0"/>
    <n v="30.86"/>
    <x v="3"/>
    <x v="2"/>
    <x v="5"/>
    <x v="7"/>
    <n v="3"/>
    <n v="10"/>
    <x v="226"/>
    <d v="1899-12-30T00:37:42"/>
  </r>
  <r>
    <x v="6"/>
    <x v="0"/>
    <n v="30.86"/>
    <x v="3"/>
    <x v="2"/>
    <x v="5"/>
    <x v="7"/>
    <n v="3"/>
    <n v="10"/>
    <x v="226"/>
    <d v="1899-12-30T00:38:37"/>
  </r>
  <r>
    <x v="15"/>
    <x v="0"/>
    <n v="35.76"/>
    <x v="1"/>
    <x v="2"/>
    <x v="5"/>
    <x v="7"/>
    <n v="3"/>
    <n v="10"/>
    <x v="226"/>
    <d v="1899-12-30T00:20:29"/>
  </r>
  <r>
    <x v="14"/>
    <x v="0"/>
    <n v="35.76"/>
    <x v="0"/>
    <x v="0"/>
    <x v="6"/>
    <x v="7"/>
    <n v="4"/>
    <n v="10"/>
    <x v="227"/>
    <d v="1899-12-30T00:47:01"/>
  </r>
  <r>
    <x v="14"/>
    <x v="0"/>
    <n v="35.76"/>
    <x v="0"/>
    <x v="0"/>
    <x v="6"/>
    <x v="7"/>
    <n v="4"/>
    <n v="10"/>
    <x v="227"/>
    <d v="1899-12-30T00:58:07"/>
  </r>
  <r>
    <x v="10"/>
    <x v="0"/>
    <n v="30.86"/>
    <x v="3"/>
    <x v="0"/>
    <x v="6"/>
    <x v="7"/>
    <n v="4"/>
    <n v="10"/>
    <x v="227"/>
    <d v="1899-12-30T00:24:27"/>
  </r>
  <r>
    <x v="0"/>
    <x v="0"/>
    <n v="35.76"/>
    <x v="0"/>
    <x v="0"/>
    <x v="6"/>
    <x v="7"/>
    <n v="4"/>
    <n v="10"/>
    <x v="227"/>
    <d v="1899-12-30T00:26:38"/>
  </r>
  <r>
    <x v="0"/>
    <x v="0"/>
    <n v="35.76"/>
    <x v="1"/>
    <x v="0"/>
    <x v="6"/>
    <x v="7"/>
    <n v="4"/>
    <n v="10"/>
    <x v="227"/>
    <d v="1899-12-30T00:44:54"/>
  </r>
  <r>
    <x v="7"/>
    <x v="0"/>
    <n v="30.86"/>
    <x v="3"/>
    <x v="0"/>
    <x v="6"/>
    <x v="7"/>
    <n v="4"/>
    <n v="10"/>
    <x v="227"/>
    <d v="1899-12-30T00:59:27"/>
  </r>
  <r>
    <x v="2"/>
    <x v="0"/>
    <n v="35.76"/>
    <x v="0"/>
    <x v="1"/>
    <x v="6"/>
    <x v="7"/>
    <n v="4"/>
    <n v="10"/>
    <x v="227"/>
    <d v="1899-12-30T00:57:25"/>
  </r>
  <r>
    <x v="8"/>
    <x v="0"/>
    <n v="25.96"/>
    <x v="2"/>
    <x v="1"/>
    <x v="6"/>
    <x v="7"/>
    <n v="4"/>
    <n v="10"/>
    <x v="227"/>
    <d v="1899-12-30T00:34:43"/>
  </r>
  <r>
    <x v="4"/>
    <x v="0"/>
    <n v="35.76"/>
    <x v="1"/>
    <x v="1"/>
    <x v="6"/>
    <x v="7"/>
    <n v="4"/>
    <n v="10"/>
    <x v="227"/>
    <d v="1899-12-30T00:37:13"/>
  </r>
  <r>
    <x v="4"/>
    <x v="0"/>
    <n v="35.76"/>
    <x v="1"/>
    <x v="1"/>
    <x v="6"/>
    <x v="7"/>
    <n v="4"/>
    <n v="10"/>
    <x v="227"/>
    <d v="1899-12-30T00:38:18"/>
  </r>
  <r>
    <x v="4"/>
    <x v="0"/>
    <n v="35.76"/>
    <x v="0"/>
    <x v="1"/>
    <x v="6"/>
    <x v="7"/>
    <n v="4"/>
    <n v="10"/>
    <x v="227"/>
    <d v="1899-12-30T00:39:10"/>
  </r>
  <r>
    <x v="4"/>
    <x v="0"/>
    <n v="35.76"/>
    <x v="1"/>
    <x v="1"/>
    <x v="6"/>
    <x v="7"/>
    <n v="4"/>
    <n v="10"/>
    <x v="227"/>
    <d v="1899-12-30T00:48:36"/>
  </r>
  <r>
    <x v="4"/>
    <x v="0"/>
    <n v="35.76"/>
    <x v="1"/>
    <x v="1"/>
    <x v="6"/>
    <x v="7"/>
    <n v="4"/>
    <n v="10"/>
    <x v="227"/>
    <d v="1899-12-30T00:49:33"/>
  </r>
  <r>
    <x v="9"/>
    <x v="0"/>
    <n v="35.76"/>
    <x v="7"/>
    <x v="2"/>
    <x v="6"/>
    <x v="7"/>
    <n v="4"/>
    <n v="10"/>
    <x v="227"/>
    <d v="1899-12-30T00:08:28"/>
  </r>
  <r>
    <x v="9"/>
    <x v="0"/>
    <n v="35.76"/>
    <x v="1"/>
    <x v="2"/>
    <x v="6"/>
    <x v="7"/>
    <n v="4"/>
    <n v="10"/>
    <x v="227"/>
    <d v="1899-12-30T00:09:30"/>
  </r>
  <r>
    <x v="6"/>
    <x v="0"/>
    <n v="35.76"/>
    <x v="0"/>
    <x v="2"/>
    <x v="6"/>
    <x v="7"/>
    <n v="4"/>
    <n v="10"/>
    <x v="227"/>
    <d v="1899-12-30T00:43:12"/>
  </r>
  <r>
    <x v="11"/>
    <x v="0"/>
    <n v="30.86"/>
    <x v="3"/>
    <x v="2"/>
    <x v="6"/>
    <x v="7"/>
    <n v="4"/>
    <n v="10"/>
    <x v="227"/>
    <d v="1899-12-30T00:11:36"/>
  </r>
  <r>
    <x v="15"/>
    <x v="0"/>
    <n v="35.76"/>
    <x v="0"/>
    <x v="2"/>
    <x v="6"/>
    <x v="7"/>
    <n v="4"/>
    <n v="10"/>
    <x v="227"/>
    <d v="1899-12-30T00:46:13"/>
  </r>
  <r>
    <x v="15"/>
    <x v="0"/>
    <n v="35.76"/>
    <x v="0"/>
    <x v="2"/>
    <x v="6"/>
    <x v="7"/>
    <n v="4"/>
    <n v="10"/>
    <x v="227"/>
    <d v="1899-12-30T00:47:21"/>
  </r>
  <r>
    <x v="15"/>
    <x v="0"/>
    <n v="35.76"/>
    <x v="0"/>
    <x v="2"/>
    <x v="6"/>
    <x v="7"/>
    <n v="4"/>
    <n v="10"/>
    <x v="227"/>
    <d v="1899-12-30T00:48:32"/>
  </r>
  <r>
    <x v="15"/>
    <x v="0"/>
    <n v="35.76"/>
    <x v="1"/>
    <x v="2"/>
    <x v="6"/>
    <x v="7"/>
    <n v="4"/>
    <n v="10"/>
    <x v="227"/>
    <d v="1899-12-30T00:49:55"/>
  </r>
  <r>
    <x v="12"/>
    <x v="0"/>
    <n v="35.76"/>
    <x v="4"/>
    <x v="0"/>
    <x v="0"/>
    <x v="7"/>
    <n v="5"/>
    <n v="10"/>
    <x v="228"/>
    <d v="1899-12-30T00:42:00"/>
  </r>
  <r>
    <x v="12"/>
    <x v="0"/>
    <n v="35.76"/>
    <x v="4"/>
    <x v="0"/>
    <x v="0"/>
    <x v="7"/>
    <n v="5"/>
    <n v="10"/>
    <x v="228"/>
    <d v="1899-12-30T00:42:59"/>
  </r>
  <r>
    <x v="10"/>
    <x v="0"/>
    <n v="35.76"/>
    <x v="4"/>
    <x v="0"/>
    <x v="0"/>
    <x v="7"/>
    <n v="5"/>
    <n v="10"/>
    <x v="228"/>
    <d v="1899-12-30T00:32:42"/>
  </r>
  <r>
    <x v="10"/>
    <x v="0"/>
    <n v="35.76"/>
    <x v="4"/>
    <x v="0"/>
    <x v="0"/>
    <x v="7"/>
    <n v="5"/>
    <n v="10"/>
    <x v="228"/>
    <d v="1899-12-30T00:34:08"/>
  </r>
  <r>
    <x v="10"/>
    <x v="0"/>
    <n v="35.76"/>
    <x v="7"/>
    <x v="0"/>
    <x v="0"/>
    <x v="7"/>
    <n v="5"/>
    <n v="10"/>
    <x v="228"/>
    <d v="1899-12-30T00:55:20"/>
  </r>
  <r>
    <x v="7"/>
    <x v="0"/>
    <n v="35.76"/>
    <x v="7"/>
    <x v="0"/>
    <x v="0"/>
    <x v="7"/>
    <n v="5"/>
    <n v="10"/>
    <x v="228"/>
    <d v="1899-12-30T00:54:59"/>
  </r>
  <r>
    <x v="8"/>
    <x v="0"/>
    <n v="35.76"/>
    <x v="0"/>
    <x v="1"/>
    <x v="0"/>
    <x v="7"/>
    <n v="5"/>
    <n v="10"/>
    <x v="228"/>
    <d v="1899-12-30T00:51:04"/>
  </r>
  <r>
    <x v="8"/>
    <x v="0"/>
    <n v="35.76"/>
    <x v="7"/>
    <x v="1"/>
    <x v="0"/>
    <x v="7"/>
    <n v="5"/>
    <n v="10"/>
    <x v="228"/>
    <d v="1899-12-30T00:52:15"/>
  </r>
  <r>
    <x v="3"/>
    <x v="0"/>
    <n v="25.96"/>
    <x v="2"/>
    <x v="1"/>
    <x v="0"/>
    <x v="7"/>
    <n v="5"/>
    <n v="10"/>
    <x v="228"/>
    <d v="1899-12-30T00:39:20"/>
  </r>
  <r>
    <x v="4"/>
    <x v="0"/>
    <n v="35.76"/>
    <x v="0"/>
    <x v="1"/>
    <x v="0"/>
    <x v="7"/>
    <n v="5"/>
    <n v="10"/>
    <x v="228"/>
    <d v="1899-12-30T00:09:58"/>
  </r>
  <r>
    <x v="9"/>
    <x v="0"/>
    <n v="35.76"/>
    <x v="1"/>
    <x v="2"/>
    <x v="0"/>
    <x v="7"/>
    <n v="5"/>
    <n v="10"/>
    <x v="228"/>
    <d v="1899-12-30T00:45:39"/>
  </r>
  <r>
    <x v="15"/>
    <x v="0"/>
    <n v="35.76"/>
    <x v="4"/>
    <x v="2"/>
    <x v="0"/>
    <x v="7"/>
    <n v="5"/>
    <n v="10"/>
    <x v="228"/>
    <d v="1899-12-30T00:14:40"/>
  </r>
  <r>
    <x v="15"/>
    <x v="0"/>
    <n v="35.76"/>
    <x v="4"/>
    <x v="2"/>
    <x v="0"/>
    <x v="7"/>
    <n v="5"/>
    <n v="10"/>
    <x v="228"/>
    <d v="1899-12-30T00:15:23"/>
  </r>
  <r>
    <x v="15"/>
    <x v="0"/>
    <n v="30.86"/>
    <x v="3"/>
    <x v="2"/>
    <x v="0"/>
    <x v="7"/>
    <n v="5"/>
    <n v="10"/>
    <x v="228"/>
    <d v="1899-12-30T00:52:23"/>
  </r>
  <r>
    <x v="13"/>
    <x v="0"/>
    <n v="35.76"/>
    <x v="0"/>
    <x v="2"/>
    <x v="0"/>
    <x v="7"/>
    <n v="5"/>
    <n v="10"/>
    <x v="228"/>
    <d v="1899-12-30T00:03:27"/>
  </r>
  <r>
    <x v="12"/>
    <x v="0"/>
    <n v="30.86"/>
    <x v="3"/>
    <x v="0"/>
    <x v="1"/>
    <x v="7"/>
    <n v="6"/>
    <n v="10"/>
    <x v="229"/>
    <d v="1899-12-30T00:34:14"/>
  </r>
  <r>
    <x v="2"/>
    <x v="0"/>
    <n v="35.76"/>
    <x v="0"/>
    <x v="1"/>
    <x v="1"/>
    <x v="7"/>
    <n v="6"/>
    <n v="10"/>
    <x v="229"/>
    <d v="1899-12-30T00:22:06"/>
  </r>
  <r>
    <x v="8"/>
    <x v="0"/>
    <n v="35.76"/>
    <x v="7"/>
    <x v="1"/>
    <x v="1"/>
    <x v="7"/>
    <n v="6"/>
    <n v="10"/>
    <x v="229"/>
    <d v="1899-12-30T00:10:33"/>
  </r>
  <r>
    <x v="3"/>
    <x v="0"/>
    <n v="35.76"/>
    <x v="1"/>
    <x v="1"/>
    <x v="1"/>
    <x v="7"/>
    <n v="6"/>
    <n v="10"/>
    <x v="229"/>
    <d v="1899-12-30T00:56:55"/>
  </r>
  <r>
    <x v="3"/>
    <x v="0"/>
    <n v="35.76"/>
    <x v="0"/>
    <x v="1"/>
    <x v="1"/>
    <x v="7"/>
    <n v="6"/>
    <n v="10"/>
    <x v="229"/>
    <d v="1899-12-30T00:59:24"/>
  </r>
  <r>
    <x v="4"/>
    <x v="0"/>
    <n v="35.76"/>
    <x v="0"/>
    <x v="1"/>
    <x v="1"/>
    <x v="7"/>
    <n v="6"/>
    <n v="10"/>
    <x v="229"/>
    <d v="1899-12-30T00:02:46"/>
  </r>
  <r>
    <x v="4"/>
    <x v="0"/>
    <n v="35.76"/>
    <x v="0"/>
    <x v="1"/>
    <x v="1"/>
    <x v="7"/>
    <n v="6"/>
    <n v="10"/>
    <x v="229"/>
    <d v="1899-12-30T00:17:43"/>
  </r>
  <r>
    <x v="15"/>
    <x v="0"/>
    <n v="35.76"/>
    <x v="4"/>
    <x v="2"/>
    <x v="1"/>
    <x v="7"/>
    <n v="6"/>
    <n v="10"/>
    <x v="229"/>
    <d v="1899-12-30T00:46:46"/>
  </r>
  <r>
    <x v="13"/>
    <x v="0"/>
    <n v="35.76"/>
    <x v="7"/>
    <x v="2"/>
    <x v="1"/>
    <x v="7"/>
    <n v="6"/>
    <n v="10"/>
    <x v="229"/>
    <d v="1899-12-30T00:46:38"/>
  </r>
  <r>
    <x v="12"/>
    <x v="0"/>
    <n v="35.76"/>
    <x v="0"/>
    <x v="0"/>
    <x v="2"/>
    <x v="7"/>
    <n v="7"/>
    <n v="10"/>
    <x v="230"/>
    <d v="1899-12-30T00:40:44"/>
  </r>
  <r>
    <x v="12"/>
    <x v="0"/>
    <n v="35.76"/>
    <x v="4"/>
    <x v="0"/>
    <x v="2"/>
    <x v="7"/>
    <n v="7"/>
    <n v="10"/>
    <x v="230"/>
    <d v="1899-12-30T00:41:51"/>
  </r>
  <r>
    <x v="7"/>
    <x v="0"/>
    <n v="35.76"/>
    <x v="0"/>
    <x v="0"/>
    <x v="2"/>
    <x v="7"/>
    <n v="7"/>
    <n v="10"/>
    <x v="230"/>
    <d v="1899-12-30T00:16:52"/>
  </r>
  <r>
    <x v="8"/>
    <x v="0"/>
    <n v="35.76"/>
    <x v="1"/>
    <x v="1"/>
    <x v="2"/>
    <x v="7"/>
    <n v="7"/>
    <n v="10"/>
    <x v="230"/>
    <d v="1899-12-30T00:28:46"/>
  </r>
  <r>
    <x v="8"/>
    <x v="0"/>
    <n v="25.96"/>
    <x v="5"/>
    <x v="1"/>
    <x v="2"/>
    <x v="7"/>
    <n v="7"/>
    <n v="10"/>
    <x v="230"/>
    <d v="1899-12-30T00:29:44"/>
  </r>
  <r>
    <x v="3"/>
    <x v="0"/>
    <n v="30.86"/>
    <x v="3"/>
    <x v="1"/>
    <x v="2"/>
    <x v="7"/>
    <n v="7"/>
    <n v="10"/>
    <x v="230"/>
    <d v="1899-12-30T00:52:45"/>
  </r>
  <r>
    <x v="4"/>
    <x v="0"/>
    <n v="35.76"/>
    <x v="0"/>
    <x v="1"/>
    <x v="2"/>
    <x v="7"/>
    <n v="7"/>
    <n v="10"/>
    <x v="230"/>
    <d v="1899-12-30T00:45:10"/>
  </r>
  <r>
    <x v="4"/>
    <x v="0"/>
    <n v="35.76"/>
    <x v="0"/>
    <x v="1"/>
    <x v="2"/>
    <x v="7"/>
    <n v="7"/>
    <n v="10"/>
    <x v="230"/>
    <d v="1899-12-30T00:46:05"/>
  </r>
  <r>
    <x v="9"/>
    <x v="0"/>
    <n v="35.76"/>
    <x v="0"/>
    <x v="2"/>
    <x v="2"/>
    <x v="7"/>
    <n v="7"/>
    <n v="10"/>
    <x v="230"/>
    <d v="1899-12-30T00:27:06"/>
  </r>
  <r>
    <x v="5"/>
    <x v="0"/>
    <n v="35.76"/>
    <x v="4"/>
    <x v="2"/>
    <x v="2"/>
    <x v="7"/>
    <n v="7"/>
    <n v="10"/>
    <x v="230"/>
    <d v="1899-12-30T00:34:16"/>
  </r>
  <r>
    <x v="5"/>
    <x v="0"/>
    <n v="35.76"/>
    <x v="4"/>
    <x v="2"/>
    <x v="2"/>
    <x v="7"/>
    <n v="7"/>
    <n v="10"/>
    <x v="230"/>
    <d v="1899-12-30T00:35:08"/>
  </r>
  <r>
    <x v="15"/>
    <x v="0"/>
    <n v="35.76"/>
    <x v="1"/>
    <x v="2"/>
    <x v="2"/>
    <x v="7"/>
    <n v="7"/>
    <n v="10"/>
    <x v="230"/>
    <d v="1899-12-30T00:14:18"/>
  </r>
  <r>
    <x v="15"/>
    <x v="0"/>
    <n v="25.96"/>
    <x v="5"/>
    <x v="2"/>
    <x v="2"/>
    <x v="7"/>
    <n v="7"/>
    <n v="10"/>
    <x v="230"/>
    <d v="1899-12-30T00:15:18"/>
  </r>
  <r>
    <x v="15"/>
    <x v="0"/>
    <n v="35.76"/>
    <x v="4"/>
    <x v="2"/>
    <x v="2"/>
    <x v="7"/>
    <n v="7"/>
    <n v="10"/>
    <x v="230"/>
    <d v="1899-12-30T00:17:27"/>
  </r>
  <r>
    <x v="15"/>
    <x v="0"/>
    <n v="35.76"/>
    <x v="0"/>
    <x v="2"/>
    <x v="2"/>
    <x v="7"/>
    <n v="7"/>
    <n v="10"/>
    <x v="230"/>
    <d v="1899-12-30T00:25:00"/>
  </r>
  <r>
    <x v="13"/>
    <x v="0"/>
    <n v="35.76"/>
    <x v="7"/>
    <x v="2"/>
    <x v="2"/>
    <x v="7"/>
    <n v="7"/>
    <n v="10"/>
    <x v="230"/>
    <d v="1899-12-30T00:17:29"/>
  </r>
  <r>
    <x v="14"/>
    <x v="0"/>
    <n v="35.76"/>
    <x v="0"/>
    <x v="0"/>
    <x v="3"/>
    <x v="7"/>
    <n v="1"/>
    <n v="10"/>
    <x v="231"/>
    <d v="1899-12-30T00:48:43"/>
  </r>
  <r>
    <x v="12"/>
    <x v="0"/>
    <n v="35.76"/>
    <x v="0"/>
    <x v="0"/>
    <x v="3"/>
    <x v="7"/>
    <n v="1"/>
    <n v="10"/>
    <x v="231"/>
    <d v="1899-12-30T00:19:56"/>
  </r>
  <r>
    <x v="10"/>
    <x v="0"/>
    <n v="30.86"/>
    <x v="3"/>
    <x v="0"/>
    <x v="3"/>
    <x v="7"/>
    <n v="1"/>
    <n v="10"/>
    <x v="231"/>
    <d v="1899-12-30T00:04:54"/>
  </r>
  <r>
    <x v="10"/>
    <x v="0"/>
    <n v="35.76"/>
    <x v="0"/>
    <x v="0"/>
    <x v="3"/>
    <x v="7"/>
    <n v="1"/>
    <n v="10"/>
    <x v="231"/>
    <d v="1899-12-30T00:34:26"/>
  </r>
  <r>
    <x v="0"/>
    <x v="0"/>
    <n v="25.96"/>
    <x v="2"/>
    <x v="0"/>
    <x v="3"/>
    <x v="7"/>
    <n v="1"/>
    <n v="10"/>
    <x v="231"/>
    <d v="1899-12-30T00:25:09"/>
  </r>
  <r>
    <x v="0"/>
    <x v="0"/>
    <n v="25.96"/>
    <x v="5"/>
    <x v="0"/>
    <x v="3"/>
    <x v="7"/>
    <n v="1"/>
    <n v="10"/>
    <x v="231"/>
    <d v="1899-12-30T00:41:45"/>
  </r>
  <r>
    <x v="0"/>
    <x v="0"/>
    <n v="25.96"/>
    <x v="5"/>
    <x v="0"/>
    <x v="3"/>
    <x v="7"/>
    <n v="1"/>
    <n v="10"/>
    <x v="231"/>
    <d v="1899-12-30T00:42:36"/>
  </r>
  <r>
    <x v="7"/>
    <x v="0"/>
    <n v="21.06"/>
    <x v="6"/>
    <x v="0"/>
    <x v="3"/>
    <x v="7"/>
    <n v="1"/>
    <n v="10"/>
    <x v="231"/>
    <d v="1899-12-30T00:27:42"/>
  </r>
  <r>
    <x v="1"/>
    <x v="0"/>
    <n v="35.76"/>
    <x v="7"/>
    <x v="1"/>
    <x v="3"/>
    <x v="7"/>
    <n v="1"/>
    <n v="10"/>
    <x v="231"/>
    <d v="1899-12-30T00:40:24"/>
  </r>
  <r>
    <x v="8"/>
    <x v="0"/>
    <n v="35.76"/>
    <x v="0"/>
    <x v="1"/>
    <x v="3"/>
    <x v="7"/>
    <n v="1"/>
    <n v="10"/>
    <x v="231"/>
    <d v="1899-12-30T00:42:56"/>
  </r>
  <r>
    <x v="8"/>
    <x v="0"/>
    <n v="35.76"/>
    <x v="0"/>
    <x v="1"/>
    <x v="3"/>
    <x v="7"/>
    <n v="1"/>
    <n v="10"/>
    <x v="231"/>
    <d v="1899-12-30T00:43:58"/>
  </r>
  <r>
    <x v="3"/>
    <x v="0"/>
    <n v="30.86"/>
    <x v="3"/>
    <x v="1"/>
    <x v="3"/>
    <x v="7"/>
    <n v="1"/>
    <n v="10"/>
    <x v="231"/>
    <d v="1899-12-30T00:27:02"/>
  </r>
  <r>
    <x v="3"/>
    <x v="0"/>
    <n v="25.96"/>
    <x v="5"/>
    <x v="1"/>
    <x v="3"/>
    <x v="7"/>
    <n v="1"/>
    <n v="10"/>
    <x v="231"/>
    <d v="1899-12-30T00:39:05"/>
  </r>
  <r>
    <x v="4"/>
    <x v="0"/>
    <n v="35.76"/>
    <x v="4"/>
    <x v="1"/>
    <x v="3"/>
    <x v="7"/>
    <n v="1"/>
    <n v="10"/>
    <x v="231"/>
    <d v="1899-12-30T00:42:58"/>
  </r>
  <r>
    <x v="4"/>
    <x v="0"/>
    <n v="35.76"/>
    <x v="0"/>
    <x v="1"/>
    <x v="3"/>
    <x v="7"/>
    <n v="1"/>
    <n v="10"/>
    <x v="231"/>
    <d v="1899-12-30T00:55:23"/>
  </r>
  <r>
    <x v="6"/>
    <x v="0"/>
    <n v="35.76"/>
    <x v="1"/>
    <x v="2"/>
    <x v="3"/>
    <x v="7"/>
    <n v="1"/>
    <n v="10"/>
    <x v="231"/>
    <d v="1899-12-30T00:21:13"/>
  </r>
  <r>
    <x v="15"/>
    <x v="0"/>
    <n v="35.76"/>
    <x v="0"/>
    <x v="2"/>
    <x v="3"/>
    <x v="7"/>
    <n v="1"/>
    <n v="10"/>
    <x v="231"/>
    <d v="1899-12-30T00:05:36"/>
  </r>
  <r>
    <x v="13"/>
    <x v="0"/>
    <n v="35.76"/>
    <x v="4"/>
    <x v="2"/>
    <x v="3"/>
    <x v="7"/>
    <n v="1"/>
    <n v="10"/>
    <x v="231"/>
    <d v="1899-12-30T00:30:45"/>
  </r>
  <r>
    <x v="13"/>
    <x v="0"/>
    <n v="35.76"/>
    <x v="1"/>
    <x v="2"/>
    <x v="3"/>
    <x v="7"/>
    <n v="1"/>
    <n v="10"/>
    <x v="231"/>
    <d v="1899-12-30T00:31:34"/>
  </r>
  <r>
    <x v="14"/>
    <x v="0"/>
    <n v="35.76"/>
    <x v="0"/>
    <x v="0"/>
    <x v="4"/>
    <x v="7"/>
    <n v="2"/>
    <n v="10"/>
    <x v="232"/>
    <d v="1899-12-30T00:33:00"/>
  </r>
  <r>
    <x v="14"/>
    <x v="0"/>
    <n v="35.76"/>
    <x v="7"/>
    <x v="0"/>
    <x v="4"/>
    <x v="7"/>
    <n v="2"/>
    <n v="10"/>
    <x v="232"/>
    <d v="1899-12-30T00:34:00"/>
  </r>
  <r>
    <x v="12"/>
    <x v="0"/>
    <n v="30.86"/>
    <x v="3"/>
    <x v="0"/>
    <x v="4"/>
    <x v="7"/>
    <n v="2"/>
    <n v="10"/>
    <x v="232"/>
    <d v="1899-12-30T00:25:32"/>
  </r>
  <r>
    <x v="10"/>
    <x v="0"/>
    <n v="25.96"/>
    <x v="5"/>
    <x v="0"/>
    <x v="4"/>
    <x v="7"/>
    <n v="2"/>
    <n v="10"/>
    <x v="232"/>
    <d v="1899-12-30T00:17:50"/>
  </r>
  <r>
    <x v="0"/>
    <x v="0"/>
    <n v="21.06"/>
    <x v="6"/>
    <x v="0"/>
    <x v="4"/>
    <x v="7"/>
    <n v="2"/>
    <n v="10"/>
    <x v="232"/>
    <d v="1899-12-30T00:51:32"/>
  </r>
  <r>
    <x v="0"/>
    <x v="0"/>
    <n v="25.96"/>
    <x v="5"/>
    <x v="0"/>
    <x v="4"/>
    <x v="7"/>
    <n v="2"/>
    <n v="10"/>
    <x v="232"/>
    <d v="1899-12-30T00:52:17"/>
  </r>
  <r>
    <x v="5"/>
    <x v="0"/>
    <n v="25.96"/>
    <x v="2"/>
    <x v="2"/>
    <x v="4"/>
    <x v="7"/>
    <n v="2"/>
    <n v="10"/>
    <x v="232"/>
    <d v="1899-12-30T00:07:03"/>
  </r>
  <r>
    <x v="6"/>
    <x v="0"/>
    <n v="35.76"/>
    <x v="1"/>
    <x v="2"/>
    <x v="4"/>
    <x v="7"/>
    <n v="2"/>
    <n v="10"/>
    <x v="232"/>
    <d v="1899-12-30T00:46:39"/>
  </r>
  <r>
    <x v="6"/>
    <x v="0"/>
    <n v="35.76"/>
    <x v="0"/>
    <x v="2"/>
    <x v="4"/>
    <x v="7"/>
    <n v="2"/>
    <n v="10"/>
    <x v="232"/>
    <d v="1899-12-30T00:47:51"/>
  </r>
  <r>
    <x v="14"/>
    <x v="0"/>
    <n v="35.76"/>
    <x v="0"/>
    <x v="0"/>
    <x v="5"/>
    <x v="7"/>
    <n v="3"/>
    <n v="10"/>
    <x v="233"/>
    <d v="1899-12-30T00:58:07"/>
  </r>
  <r>
    <x v="12"/>
    <x v="0"/>
    <n v="30.86"/>
    <x v="3"/>
    <x v="0"/>
    <x v="5"/>
    <x v="7"/>
    <n v="3"/>
    <n v="10"/>
    <x v="233"/>
    <d v="1899-12-30T00:45:15"/>
  </r>
  <r>
    <x v="0"/>
    <x v="0"/>
    <n v="25.96"/>
    <x v="5"/>
    <x v="0"/>
    <x v="5"/>
    <x v="7"/>
    <n v="3"/>
    <n v="10"/>
    <x v="233"/>
    <d v="1899-12-30T00:24:58"/>
  </r>
  <r>
    <x v="1"/>
    <x v="0"/>
    <n v="30.86"/>
    <x v="3"/>
    <x v="1"/>
    <x v="5"/>
    <x v="7"/>
    <n v="3"/>
    <n v="10"/>
    <x v="233"/>
    <d v="1899-12-30T00:31:05"/>
  </r>
  <r>
    <x v="4"/>
    <x v="0"/>
    <n v="30.86"/>
    <x v="3"/>
    <x v="1"/>
    <x v="5"/>
    <x v="7"/>
    <n v="3"/>
    <n v="10"/>
    <x v="233"/>
    <d v="1899-12-30T00:20:02"/>
  </r>
  <r>
    <x v="4"/>
    <x v="0"/>
    <n v="30.86"/>
    <x v="3"/>
    <x v="1"/>
    <x v="5"/>
    <x v="7"/>
    <n v="3"/>
    <n v="10"/>
    <x v="233"/>
    <d v="1899-12-30T00:21:09"/>
  </r>
  <r>
    <x v="4"/>
    <x v="0"/>
    <n v="35.76"/>
    <x v="7"/>
    <x v="1"/>
    <x v="5"/>
    <x v="7"/>
    <n v="3"/>
    <n v="10"/>
    <x v="233"/>
    <d v="1899-12-30T00:42:30"/>
  </r>
  <r>
    <x v="9"/>
    <x v="0"/>
    <n v="21.06"/>
    <x v="6"/>
    <x v="2"/>
    <x v="5"/>
    <x v="7"/>
    <n v="3"/>
    <n v="10"/>
    <x v="233"/>
    <d v="1899-12-30T00:02:46"/>
  </r>
  <r>
    <x v="5"/>
    <x v="0"/>
    <n v="35.76"/>
    <x v="4"/>
    <x v="2"/>
    <x v="5"/>
    <x v="7"/>
    <n v="3"/>
    <n v="10"/>
    <x v="233"/>
    <d v="1899-12-30T00:58:59"/>
  </r>
  <r>
    <x v="6"/>
    <x v="0"/>
    <n v="35.76"/>
    <x v="7"/>
    <x v="2"/>
    <x v="5"/>
    <x v="7"/>
    <n v="3"/>
    <n v="10"/>
    <x v="233"/>
    <d v="1899-12-30T00:00:43"/>
  </r>
  <r>
    <x v="15"/>
    <x v="0"/>
    <n v="30.86"/>
    <x v="3"/>
    <x v="2"/>
    <x v="5"/>
    <x v="7"/>
    <n v="3"/>
    <n v="10"/>
    <x v="233"/>
    <d v="1899-12-30T00:57:21"/>
  </r>
  <r>
    <x v="15"/>
    <x v="0"/>
    <n v="35.76"/>
    <x v="1"/>
    <x v="2"/>
    <x v="5"/>
    <x v="7"/>
    <n v="3"/>
    <n v="10"/>
    <x v="233"/>
    <d v="1899-12-30T00:58:24"/>
  </r>
  <r>
    <x v="13"/>
    <x v="0"/>
    <n v="35.76"/>
    <x v="0"/>
    <x v="2"/>
    <x v="5"/>
    <x v="7"/>
    <n v="3"/>
    <n v="10"/>
    <x v="233"/>
    <d v="1899-12-30T00:23:38"/>
  </r>
  <r>
    <x v="1"/>
    <x v="0"/>
    <n v="25.96"/>
    <x v="2"/>
    <x v="1"/>
    <x v="6"/>
    <x v="7"/>
    <n v="4"/>
    <n v="10"/>
    <x v="234"/>
    <d v="1899-12-30T00:07:47"/>
  </r>
  <r>
    <x v="2"/>
    <x v="0"/>
    <n v="35.76"/>
    <x v="7"/>
    <x v="1"/>
    <x v="6"/>
    <x v="7"/>
    <n v="4"/>
    <n v="10"/>
    <x v="234"/>
    <d v="1899-12-30T00:24:00"/>
  </r>
  <r>
    <x v="8"/>
    <x v="0"/>
    <n v="35.76"/>
    <x v="7"/>
    <x v="1"/>
    <x v="6"/>
    <x v="7"/>
    <n v="4"/>
    <n v="10"/>
    <x v="234"/>
    <d v="1899-12-30T00:09:47"/>
  </r>
  <r>
    <x v="8"/>
    <x v="0"/>
    <n v="35.76"/>
    <x v="1"/>
    <x v="1"/>
    <x v="6"/>
    <x v="7"/>
    <n v="4"/>
    <n v="10"/>
    <x v="234"/>
    <d v="1899-12-30T00:49:02"/>
  </r>
  <r>
    <x v="8"/>
    <x v="0"/>
    <n v="35.76"/>
    <x v="0"/>
    <x v="1"/>
    <x v="6"/>
    <x v="7"/>
    <n v="4"/>
    <n v="10"/>
    <x v="234"/>
    <d v="1899-12-30T00:49:49"/>
  </r>
  <r>
    <x v="3"/>
    <x v="0"/>
    <n v="35.76"/>
    <x v="0"/>
    <x v="1"/>
    <x v="6"/>
    <x v="7"/>
    <n v="4"/>
    <n v="10"/>
    <x v="234"/>
    <d v="1899-12-30T00:47:33"/>
  </r>
  <r>
    <x v="3"/>
    <x v="0"/>
    <n v="35.76"/>
    <x v="0"/>
    <x v="1"/>
    <x v="6"/>
    <x v="7"/>
    <n v="4"/>
    <n v="10"/>
    <x v="234"/>
    <d v="1899-12-30T00:48:30"/>
  </r>
  <r>
    <x v="5"/>
    <x v="0"/>
    <n v="25.96"/>
    <x v="2"/>
    <x v="2"/>
    <x v="6"/>
    <x v="7"/>
    <n v="4"/>
    <n v="10"/>
    <x v="234"/>
    <d v="1899-12-30T00:53:47"/>
  </r>
  <r>
    <x v="5"/>
    <x v="0"/>
    <n v="25.96"/>
    <x v="2"/>
    <x v="2"/>
    <x v="6"/>
    <x v="7"/>
    <n v="4"/>
    <n v="10"/>
    <x v="234"/>
    <d v="1899-12-30T00:55:08"/>
  </r>
  <r>
    <x v="6"/>
    <x v="0"/>
    <n v="35.76"/>
    <x v="0"/>
    <x v="2"/>
    <x v="6"/>
    <x v="7"/>
    <n v="4"/>
    <n v="10"/>
    <x v="234"/>
    <d v="1899-12-30T00:50:19"/>
  </r>
  <r>
    <x v="11"/>
    <x v="0"/>
    <n v="25.96"/>
    <x v="2"/>
    <x v="2"/>
    <x v="6"/>
    <x v="7"/>
    <n v="4"/>
    <n v="10"/>
    <x v="234"/>
    <d v="1899-12-30T00:44:12"/>
  </r>
  <r>
    <x v="15"/>
    <x v="0"/>
    <n v="35.76"/>
    <x v="1"/>
    <x v="2"/>
    <x v="6"/>
    <x v="7"/>
    <n v="4"/>
    <n v="10"/>
    <x v="234"/>
    <d v="1899-12-30T00:14:45"/>
  </r>
  <r>
    <x v="15"/>
    <x v="0"/>
    <n v="35.76"/>
    <x v="1"/>
    <x v="2"/>
    <x v="6"/>
    <x v="7"/>
    <n v="4"/>
    <n v="10"/>
    <x v="234"/>
    <d v="1899-12-30T00:15:29"/>
  </r>
  <r>
    <x v="15"/>
    <x v="0"/>
    <n v="35.76"/>
    <x v="1"/>
    <x v="2"/>
    <x v="6"/>
    <x v="7"/>
    <n v="4"/>
    <n v="10"/>
    <x v="234"/>
    <d v="1899-12-30T00:56:20"/>
  </r>
  <r>
    <x v="15"/>
    <x v="0"/>
    <n v="35.76"/>
    <x v="7"/>
    <x v="2"/>
    <x v="6"/>
    <x v="7"/>
    <n v="4"/>
    <n v="10"/>
    <x v="234"/>
    <d v="1899-12-30T00:57:10"/>
  </r>
  <r>
    <x v="14"/>
    <x v="0"/>
    <n v="35.76"/>
    <x v="7"/>
    <x v="0"/>
    <x v="0"/>
    <x v="7"/>
    <n v="5"/>
    <n v="10"/>
    <x v="235"/>
    <d v="1899-12-30T00:38:11"/>
  </r>
  <r>
    <x v="14"/>
    <x v="0"/>
    <n v="21.06"/>
    <x v="6"/>
    <x v="0"/>
    <x v="0"/>
    <x v="7"/>
    <n v="5"/>
    <n v="10"/>
    <x v="235"/>
    <d v="1899-12-30T00:45:23"/>
  </r>
  <r>
    <x v="12"/>
    <x v="0"/>
    <n v="35.76"/>
    <x v="4"/>
    <x v="0"/>
    <x v="0"/>
    <x v="7"/>
    <n v="5"/>
    <n v="10"/>
    <x v="235"/>
    <d v="1899-12-30T00:10:05"/>
  </r>
  <r>
    <x v="12"/>
    <x v="0"/>
    <n v="35.76"/>
    <x v="0"/>
    <x v="0"/>
    <x v="0"/>
    <x v="7"/>
    <n v="5"/>
    <n v="10"/>
    <x v="235"/>
    <d v="1899-12-30T00:10:55"/>
  </r>
  <r>
    <x v="12"/>
    <x v="0"/>
    <n v="35.76"/>
    <x v="4"/>
    <x v="0"/>
    <x v="0"/>
    <x v="7"/>
    <n v="5"/>
    <n v="10"/>
    <x v="235"/>
    <d v="1899-12-30T00:18:50"/>
  </r>
  <r>
    <x v="0"/>
    <x v="0"/>
    <n v="25.96"/>
    <x v="2"/>
    <x v="0"/>
    <x v="0"/>
    <x v="7"/>
    <n v="5"/>
    <n v="10"/>
    <x v="235"/>
    <d v="1899-12-30T00:03:28"/>
  </r>
  <r>
    <x v="0"/>
    <x v="0"/>
    <n v="25.96"/>
    <x v="2"/>
    <x v="0"/>
    <x v="0"/>
    <x v="7"/>
    <n v="5"/>
    <n v="10"/>
    <x v="235"/>
    <d v="1899-12-30T00:05:21"/>
  </r>
  <r>
    <x v="0"/>
    <x v="0"/>
    <n v="30.86"/>
    <x v="3"/>
    <x v="0"/>
    <x v="0"/>
    <x v="7"/>
    <n v="5"/>
    <n v="10"/>
    <x v="235"/>
    <d v="1899-12-30T00:51:01"/>
  </r>
  <r>
    <x v="7"/>
    <x v="0"/>
    <n v="35.76"/>
    <x v="4"/>
    <x v="0"/>
    <x v="0"/>
    <x v="7"/>
    <n v="5"/>
    <n v="10"/>
    <x v="235"/>
    <d v="1899-12-30T00:49:43"/>
  </r>
  <r>
    <x v="7"/>
    <x v="0"/>
    <n v="35.76"/>
    <x v="4"/>
    <x v="0"/>
    <x v="0"/>
    <x v="7"/>
    <n v="5"/>
    <n v="10"/>
    <x v="235"/>
    <d v="1899-12-30T00:50:30"/>
  </r>
  <r>
    <x v="1"/>
    <x v="0"/>
    <n v="25.96"/>
    <x v="5"/>
    <x v="1"/>
    <x v="0"/>
    <x v="7"/>
    <n v="5"/>
    <n v="10"/>
    <x v="235"/>
    <d v="1899-12-30T00:06:50"/>
  </r>
  <r>
    <x v="1"/>
    <x v="0"/>
    <n v="35.76"/>
    <x v="0"/>
    <x v="1"/>
    <x v="0"/>
    <x v="7"/>
    <n v="5"/>
    <n v="10"/>
    <x v="235"/>
    <d v="1899-12-30T00:40:38"/>
  </r>
  <r>
    <x v="8"/>
    <x v="0"/>
    <n v="35.76"/>
    <x v="7"/>
    <x v="1"/>
    <x v="0"/>
    <x v="7"/>
    <n v="5"/>
    <n v="10"/>
    <x v="235"/>
    <d v="1899-12-30T00:23:17"/>
  </r>
  <r>
    <x v="13"/>
    <x v="0"/>
    <n v="35.76"/>
    <x v="1"/>
    <x v="2"/>
    <x v="0"/>
    <x v="7"/>
    <n v="5"/>
    <n v="10"/>
    <x v="235"/>
    <d v="1899-12-30T00:19:24"/>
  </r>
  <r>
    <x v="13"/>
    <x v="0"/>
    <n v="21.06"/>
    <x v="6"/>
    <x v="2"/>
    <x v="0"/>
    <x v="7"/>
    <n v="5"/>
    <n v="10"/>
    <x v="235"/>
    <d v="1899-12-30T00:22:32"/>
  </r>
  <r>
    <x v="14"/>
    <x v="0"/>
    <n v="35.76"/>
    <x v="7"/>
    <x v="0"/>
    <x v="1"/>
    <x v="7"/>
    <n v="6"/>
    <n v="10"/>
    <x v="236"/>
    <d v="1899-12-30T00:49:59"/>
  </r>
  <r>
    <x v="12"/>
    <x v="0"/>
    <n v="25.96"/>
    <x v="5"/>
    <x v="0"/>
    <x v="1"/>
    <x v="7"/>
    <n v="6"/>
    <n v="10"/>
    <x v="236"/>
    <d v="1899-12-30T00:41:45"/>
  </r>
  <r>
    <x v="12"/>
    <x v="0"/>
    <n v="35.76"/>
    <x v="7"/>
    <x v="0"/>
    <x v="1"/>
    <x v="7"/>
    <n v="6"/>
    <n v="10"/>
    <x v="236"/>
    <d v="1899-12-30T00:53:00"/>
  </r>
  <r>
    <x v="0"/>
    <x v="0"/>
    <n v="25.96"/>
    <x v="2"/>
    <x v="0"/>
    <x v="1"/>
    <x v="7"/>
    <n v="6"/>
    <n v="10"/>
    <x v="236"/>
    <d v="1899-12-30T00:24:38"/>
  </r>
  <r>
    <x v="1"/>
    <x v="0"/>
    <n v="35.76"/>
    <x v="4"/>
    <x v="1"/>
    <x v="1"/>
    <x v="7"/>
    <n v="6"/>
    <n v="10"/>
    <x v="236"/>
    <d v="1899-12-30T00:18:09"/>
  </r>
  <r>
    <x v="2"/>
    <x v="0"/>
    <n v="35.76"/>
    <x v="0"/>
    <x v="1"/>
    <x v="1"/>
    <x v="7"/>
    <n v="6"/>
    <n v="10"/>
    <x v="236"/>
    <d v="1899-12-30T00:03:31"/>
  </r>
  <r>
    <x v="8"/>
    <x v="0"/>
    <n v="35.76"/>
    <x v="0"/>
    <x v="1"/>
    <x v="1"/>
    <x v="7"/>
    <n v="6"/>
    <n v="10"/>
    <x v="236"/>
    <d v="1899-12-30T00:34:59"/>
  </r>
  <r>
    <x v="8"/>
    <x v="0"/>
    <n v="30.86"/>
    <x v="3"/>
    <x v="1"/>
    <x v="1"/>
    <x v="7"/>
    <n v="6"/>
    <n v="10"/>
    <x v="236"/>
    <d v="1899-12-30T00:36:15"/>
  </r>
  <r>
    <x v="3"/>
    <x v="0"/>
    <n v="25.96"/>
    <x v="5"/>
    <x v="1"/>
    <x v="1"/>
    <x v="7"/>
    <n v="6"/>
    <n v="10"/>
    <x v="236"/>
    <d v="1899-12-30T00:05:22"/>
  </r>
  <r>
    <x v="3"/>
    <x v="0"/>
    <n v="25.96"/>
    <x v="5"/>
    <x v="1"/>
    <x v="1"/>
    <x v="7"/>
    <n v="6"/>
    <n v="10"/>
    <x v="236"/>
    <d v="1899-12-30T00:06:19"/>
  </r>
  <r>
    <x v="3"/>
    <x v="0"/>
    <n v="35.76"/>
    <x v="0"/>
    <x v="1"/>
    <x v="1"/>
    <x v="7"/>
    <n v="6"/>
    <n v="10"/>
    <x v="236"/>
    <d v="1899-12-30T00:38:29"/>
  </r>
  <r>
    <x v="3"/>
    <x v="0"/>
    <n v="35.76"/>
    <x v="0"/>
    <x v="1"/>
    <x v="1"/>
    <x v="7"/>
    <n v="6"/>
    <n v="10"/>
    <x v="236"/>
    <d v="1899-12-30T00:39:30"/>
  </r>
  <r>
    <x v="3"/>
    <x v="0"/>
    <n v="30.86"/>
    <x v="3"/>
    <x v="1"/>
    <x v="1"/>
    <x v="7"/>
    <n v="6"/>
    <n v="10"/>
    <x v="236"/>
    <d v="1899-12-30T00:52:02"/>
  </r>
  <r>
    <x v="3"/>
    <x v="0"/>
    <n v="30.86"/>
    <x v="3"/>
    <x v="1"/>
    <x v="1"/>
    <x v="7"/>
    <n v="6"/>
    <n v="10"/>
    <x v="236"/>
    <d v="1899-12-30T00:53:22"/>
  </r>
  <r>
    <x v="6"/>
    <x v="0"/>
    <n v="35.76"/>
    <x v="7"/>
    <x v="2"/>
    <x v="1"/>
    <x v="7"/>
    <n v="6"/>
    <n v="10"/>
    <x v="236"/>
    <d v="1899-12-30T00:19:21"/>
  </r>
  <r>
    <x v="11"/>
    <x v="0"/>
    <n v="30.86"/>
    <x v="3"/>
    <x v="2"/>
    <x v="1"/>
    <x v="7"/>
    <n v="6"/>
    <n v="10"/>
    <x v="236"/>
    <d v="1899-12-30T00:34:47"/>
  </r>
  <r>
    <x v="7"/>
    <x v="0"/>
    <n v="30.86"/>
    <x v="3"/>
    <x v="0"/>
    <x v="2"/>
    <x v="7"/>
    <n v="7"/>
    <n v="10"/>
    <x v="237"/>
    <d v="1899-12-30T00:01:57"/>
  </r>
  <r>
    <x v="1"/>
    <x v="0"/>
    <n v="35.76"/>
    <x v="0"/>
    <x v="1"/>
    <x v="2"/>
    <x v="7"/>
    <n v="7"/>
    <n v="10"/>
    <x v="237"/>
    <d v="1899-12-30T00:53:26"/>
  </r>
  <r>
    <x v="1"/>
    <x v="0"/>
    <n v="30.86"/>
    <x v="3"/>
    <x v="1"/>
    <x v="2"/>
    <x v="7"/>
    <n v="7"/>
    <n v="10"/>
    <x v="237"/>
    <d v="1899-12-30T00:54:28"/>
  </r>
  <r>
    <x v="2"/>
    <x v="0"/>
    <n v="35.76"/>
    <x v="7"/>
    <x v="1"/>
    <x v="2"/>
    <x v="7"/>
    <n v="7"/>
    <n v="10"/>
    <x v="237"/>
    <d v="1899-12-30T00:43:47"/>
  </r>
  <r>
    <x v="4"/>
    <x v="0"/>
    <n v="35.76"/>
    <x v="0"/>
    <x v="1"/>
    <x v="2"/>
    <x v="7"/>
    <n v="7"/>
    <n v="10"/>
    <x v="237"/>
    <d v="1899-12-30T00:17:06"/>
  </r>
  <r>
    <x v="14"/>
    <x v="0"/>
    <n v="35.76"/>
    <x v="7"/>
    <x v="0"/>
    <x v="3"/>
    <x v="7"/>
    <n v="1"/>
    <n v="10"/>
    <x v="238"/>
    <d v="1899-12-30T00:46:28"/>
  </r>
  <r>
    <x v="12"/>
    <x v="0"/>
    <n v="25.96"/>
    <x v="2"/>
    <x v="0"/>
    <x v="3"/>
    <x v="7"/>
    <n v="1"/>
    <n v="10"/>
    <x v="238"/>
    <d v="1899-12-30T00:01:12"/>
  </r>
  <r>
    <x v="12"/>
    <x v="0"/>
    <n v="35.76"/>
    <x v="0"/>
    <x v="0"/>
    <x v="3"/>
    <x v="7"/>
    <n v="1"/>
    <n v="10"/>
    <x v="238"/>
    <d v="1899-12-30T00:35:03"/>
  </r>
  <r>
    <x v="10"/>
    <x v="0"/>
    <n v="30.86"/>
    <x v="3"/>
    <x v="0"/>
    <x v="3"/>
    <x v="7"/>
    <n v="1"/>
    <n v="10"/>
    <x v="238"/>
    <d v="1899-12-30T00:15:43"/>
  </r>
  <r>
    <x v="7"/>
    <x v="0"/>
    <n v="35.76"/>
    <x v="0"/>
    <x v="0"/>
    <x v="3"/>
    <x v="7"/>
    <n v="1"/>
    <n v="10"/>
    <x v="238"/>
    <d v="1899-12-30T00:42:37"/>
  </r>
  <r>
    <x v="7"/>
    <x v="0"/>
    <n v="35.76"/>
    <x v="0"/>
    <x v="0"/>
    <x v="3"/>
    <x v="7"/>
    <n v="1"/>
    <n v="10"/>
    <x v="238"/>
    <d v="1899-12-30T00:43:43"/>
  </r>
  <r>
    <x v="1"/>
    <x v="0"/>
    <n v="35.76"/>
    <x v="1"/>
    <x v="1"/>
    <x v="3"/>
    <x v="7"/>
    <n v="1"/>
    <n v="10"/>
    <x v="238"/>
    <d v="1899-12-30T00:01:36"/>
  </r>
  <r>
    <x v="1"/>
    <x v="0"/>
    <n v="30.86"/>
    <x v="3"/>
    <x v="1"/>
    <x v="3"/>
    <x v="7"/>
    <n v="1"/>
    <n v="10"/>
    <x v="238"/>
    <d v="1899-12-30T00:02:35"/>
  </r>
  <r>
    <x v="1"/>
    <x v="0"/>
    <n v="35.76"/>
    <x v="7"/>
    <x v="1"/>
    <x v="3"/>
    <x v="7"/>
    <n v="1"/>
    <n v="10"/>
    <x v="238"/>
    <d v="1899-12-30T00:21:30"/>
  </r>
  <r>
    <x v="8"/>
    <x v="0"/>
    <n v="30.86"/>
    <x v="3"/>
    <x v="1"/>
    <x v="3"/>
    <x v="7"/>
    <n v="1"/>
    <n v="10"/>
    <x v="238"/>
    <d v="1899-12-30T00:10:55"/>
  </r>
  <r>
    <x v="8"/>
    <x v="0"/>
    <n v="30.86"/>
    <x v="3"/>
    <x v="1"/>
    <x v="3"/>
    <x v="7"/>
    <n v="1"/>
    <n v="10"/>
    <x v="238"/>
    <d v="1899-12-30T00:11:56"/>
  </r>
  <r>
    <x v="8"/>
    <x v="0"/>
    <n v="30.86"/>
    <x v="3"/>
    <x v="1"/>
    <x v="3"/>
    <x v="7"/>
    <n v="1"/>
    <n v="10"/>
    <x v="238"/>
    <d v="1899-12-30T00:31:00"/>
  </r>
  <r>
    <x v="4"/>
    <x v="0"/>
    <n v="35.76"/>
    <x v="0"/>
    <x v="1"/>
    <x v="3"/>
    <x v="7"/>
    <n v="1"/>
    <n v="10"/>
    <x v="238"/>
    <d v="1899-12-30T00:01:21"/>
  </r>
  <r>
    <x v="9"/>
    <x v="0"/>
    <n v="35.76"/>
    <x v="4"/>
    <x v="2"/>
    <x v="3"/>
    <x v="7"/>
    <n v="1"/>
    <n v="10"/>
    <x v="238"/>
    <d v="1899-12-30T00:55:18"/>
  </r>
  <r>
    <x v="9"/>
    <x v="0"/>
    <n v="35.76"/>
    <x v="4"/>
    <x v="2"/>
    <x v="3"/>
    <x v="7"/>
    <n v="1"/>
    <n v="10"/>
    <x v="238"/>
    <d v="1899-12-30T00:56:02"/>
  </r>
  <r>
    <x v="6"/>
    <x v="0"/>
    <n v="35.76"/>
    <x v="7"/>
    <x v="2"/>
    <x v="3"/>
    <x v="7"/>
    <n v="1"/>
    <n v="10"/>
    <x v="238"/>
    <d v="1899-12-30T00:10:25"/>
  </r>
  <r>
    <x v="15"/>
    <x v="0"/>
    <n v="30.86"/>
    <x v="3"/>
    <x v="2"/>
    <x v="3"/>
    <x v="7"/>
    <n v="1"/>
    <n v="10"/>
    <x v="238"/>
    <d v="1899-12-30T00:20:04"/>
  </r>
  <r>
    <x v="13"/>
    <x v="0"/>
    <n v="30.86"/>
    <x v="3"/>
    <x v="2"/>
    <x v="3"/>
    <x v="7"/>
    <n v="1"/>
    <n v="10"/>
    <x v="238"/>
    <d v="1899-12-30T00:05:51"/>
  </r>
  <r>
    <x v="12"/>
    <x v="0"/>
    <n v="35.76"/>
    <x v="0"/>
    <x v="0"/>
    <x v="4"/>
    <x v="7"/>
    <n v="2"/>
    <n v="10"/>
    <x v="239"/>
    <d v="1899-12-30T00:40:52"/>
  </r>
  <r>
    <x v="12"/>
    <x v="0"/>
    <n v="35.76"/>
    <x v="0"/>
    <x v="0"/>
    <x v="4"/>
    <x v="7"/>
    <n v="2"/>
    <n v="10"/>
    <x v="239"/>
    <d v="1899-12-30T00:47:06"/>
  </r>
  <r>
    <x v="10"/>
    <x v="0"/>
    <n v="35.76"/>
    <x v="0"/>
    <x v="0"/>
    <x v="4"/>
    <x v="7"/>
    <n v="2"/>
    <n v="10"/>
    <x v="239"/>
    <d v="1899-12-30T00:31:58"/>
  </r>
  <r>
    <x v="7"/>
    <x v="0"/>
    <n v="30.86"/>
    <x v="3"/>
    <x v="0"/>
    <x v="4"/>
    <x v="7"/>
    <n v="2"/>
    <n v="10"/>
    <x v="239"/>
    <d v="1899-12-30T00:59:47"/>
  </r>
  <r>
    <x v="1"/>
    <x v="0"/>
    <n v="21.06"/>
    <x v="6"/>
    <x v="1"/>
    <x v="4"/>
    <x v="7"/>
    <n v="2"/>
    <n v="10"/>
    <x v="239"/>
    <d v="1899-12-30T00:21:37"/>
  </r>
  <r>
    <x v="8"/>
    <x v="0"/>
    <n v="25.96"/>
    <x v="5"/>
    <x v="1"/>
    <x v="4"/>
    <x v="7"/>
    <n v="2"/>
    <n v="10"/>
    <x v="239"/>
    <d v="1899-12-30T00:15:44"/>
  </r>
  <r>
    <x v="8"/>
    <x v="0"/>
    <n v="25.96"/>
    <x v="5"/>
    <x v="1"/>
    <x v="4"/>
    <x v="7"/>
    <n v="2"/>
    <n v="10"/>
    <x v="239"/>
    <d v="1899-12-30T00:17:01"/>
  </r>
  <r>
    <x v="8"/>
    <x v="0"/>
    <n v="35.76"/>
    <x v="7"/>
    <x v="1"/>
    <x v="4"/>
    <x v="7"/>
    <n v="2"/>
    <n v="10"/>
    <x v="239"/>
    <d v="1899-12-30T00:37:36"/>
  </r>
  <r>
    <x v="4"/>
    <x v="0"/>
    <n v="35.76"/>
    <x v="1"/>
    <x v="1"/>
    <x v="4"/>
    <x v="7"/>
    <n v="2"/>
    <n v="10"/>
    <x v="239"/>
    <d v="1899-12-30T00:09:34"/>
  </r>
  <r>
    <x v="4"/>
    <x v="0"/>
    <n v="35.76"/>
    <x v="4"/>
    <x v="1"/>
    <x v="4"/>
    <x v="7"/>
    <n v="2"/>
    <n v="10"/>
    <x v="239"/>
    <d v="1899-12-30T00:10:57"/>
  </r>
  <r>
    <x v="4"/>
    <x v="0"/>
    <n v="35.76"/>
    <x v="4"/>
    <x v="1"/>
    <x v="4"/>
    <x v="7"/>
    <n v="2"/>
    <n v="10"/>
    <x v="239"/>
    <d v="1899-12-30T00:17:33"/>
  </r>
  <r>
    <x v="5"/>
    <x v="0"/>
    <n v="30.86"/>
    <x v="3"/>
    <x v="2"/>
    <x v="4"/>
    <x v="7"/>
    <n v="2"/>
    <n v="10"/>
    <x v="239"/>
    <d v="1899-12-30T00:02:04"/>
  </r>
  <r>
    <x v="5"/>
    <x v="0"/>
    <n v="30.86"/>
    <x v="3"/>
    <x v="2"/>
    <x v="4"/>
    <x v="7"/>
    <n v="2"/>
    <n v="10"/>
    <x v="239"/>
    <d v="1899-12-30T00:02:57"/>
  </r>
  <r>
    <x v="6"/>
    <x v="0"/>
    <n v="30.86"/>
    <x v="3"/>
    <x v="2"/>
    <x v="4"/>
    <x v="7"/>
    <n v="2"/>
    <n v="10"/>
    <x v="239"/>
    <d v="1899-12-30T00:02:05"/>
  </r>
  <r>
    <x v="6"/>
    <x v="0"/>
    <n v="35.76"/>
    <x v="7"/>
    <x v="2"/>
    <x v="4"/>
    <x v="7"/>
    <n v="2"/>
    <n v="10"/>
    <x v="239"/>
    <d v="1899-12-30T00:05:44"/>
  </r>
  <r>
    <x v="6"/>
    <x v="0"/>
    <n v="35.76"/>
    <x v="1"/>
    <x v="2"/>
    <x v="4"/>
    <x v="7"/>
    <n v="2"/>
    <n v="10"/>
    <x v="239"/>
    <d v="1899-12-30T00:51:13"/>
  </r>
  <r>
    <x v="6"/>
    <x v="0"/>
    <n v="35.76"/>
    <x v="0"/>
    <x v="2"/>
    <x v="4"/>
    <x v="7"/>
    <n v="2"/>
    <n v="10"/>
    <x v="239"/>
    <d v="1899-12-30T00:54:02"/>
  </r>
  <r>
    <x v="11"/>
    <x v="0"/>
    <n v="35.76"/>
    <x v="0"/>
    <x v="2"/>
    <x v="4"/>
    <x v="7"/>
    <n v="2"/>
    <n v="10"/>
    <x v="239"/>
    <d v="1899-12-30T00:07:36"/>
  </r>
  <r>
    <x v="14"/>
    <x v="0"/>
    <n v="35.76"/>
    <x v="0"/>
    <x v="0"/>
    <x v="5"/>
    <x v="7"/>
    <n v="3"/>
    <n v="10"/>
    <x v="240"/>
    <d v="1899-12-30T00:52:06"/>
  </r>
  <r>
    <x v="12"/>
    <x v="0"/>
    <n v="30.86"/>
    <x v="3"/>
    <x v="0"/>
    <x v="5"/>
    <x v="7"/>
    <n v="3"/>
    <n v="10"/>
    <x v="240"/>
    <d v="1899-12-30T00:46:27"/>
  </r>
  <r>
    <x v="12"/>
    <x v="0"/>
    <n v="30.86"/>
    <x v="3"/>
    <x v="0"/>
    <x v="5"/>
    <x v="7"/>
    <n v="3"/>
    <n v="10"/>
    <x v="240"/>
    <d v="1899-12-30T00:47:29"/>
  </r>
  <r>
    <x v="10"/>
    <x v="0"/>
    <n v="35.76"/>
    <x v="0"/>
    <x v="0"/>
    <x v="5"/>
    <x v="7"/>
    <n v="3"/>
    <n v="10"/>
    <x v="240"/>
    <d v="1899-12-30T00:11:29"/>
  </r>
  <r>
    <x v="0"/>
    <x v="0"/>
    <n v="35.76"/>
    <x v="0"/>
    <x v="0"/>
    <x v="5"/>
    <x v="7"/>
    <n v="3"/>
    <n v="10"/>
    <x v="240"/>
    <d v="1899-12-30T00:31:53"/>
  </r>
  <r>
    <x v="0"/>
    <x v="0"/>
    <n v="35.76"/>
    <x v="0"/>
    <x v="0"/>
    <x v="5"/>
    <x v="7"/>
    <n v="3"/>
    <n v="10"/>
    <x v="240"/>
    <d v="1899-12-30T00:33:08"/>
  </r>
  <r>
    <x v="1"/>
    <x v="0"/>
    <n v="35.76"/>
    <x v="0"/>
    <x v="1"/>
    <x v="5"/>
    <x v="7"/>
    <n v="3"/>
    <n v="10"/>
    <x v="240"/>
    <d v="1899-12-30T00:08:46"/>
  </r>
  <r>
    <x v="1"/>
    <x v="0"/>
    <n v="25.96"/>
    <x v="2"/>
    <x v="1"/>
    <x v="5"/>
    <x v="7"/>
    <n v="3"/>
    <n v="10"/>
    <x v="240"/>
    <d v="1899-12-30T00:09:47"/>
  </r>
  <r>
    <x v="1"/>
    <x v="0"/>
    <n v="30.86"/>
    <x v="3"/>
    <x v="1"/>
    <x v="5"/>
    <x v="7"/>
    <n v="3"/>
    <n v="10"/>
    <x v="240"/>
    <d v="1899-12-30T00:10:58"/>
  </r>
  <r>
    <x v="1"/>
    <x v="0"/>
    <n v="25.96"/>
    <x v="2"/>
    <x v="1"/>
    <x v="5"/>
    <x v="7"/>
    <n v="3"/>
    <n v="10"/>
    <x v="240"/>
    <d v="1899-12-30T00:37:01"/>
  </r>
  <r>
    <x v="3"/>
    <x v="0"/>
    <n v="35.76"/>
    <x v="0"/>
    <x v="1"/>
    <x v="5"/>
    <x v="7"/>
    <n v="3"/>
    <n v="10"/>
    <x v="240"/>
    <d v="1899-12-30T00:05:15"/>
  </r>
  <r>
    <x v="3"/>
    <x v="0"/>
    <n v="35.76"/>
    <x v="0"/>
    <x v="1"/>
    <x v="5"/>
    <x v="7"/>
    <n v="3"/>
    <n v="10"/>
    <x v="240"/>
    <d v="1899-12-30T00:07:03"/>
  </r>
  <r>
    <x v="4"/>
    <x v="0"/>
    <n v="30.86"/>
    <x v="3"/>
    <x v="1"/>
    <x v="5"/>
    <x v="7"/>
    <n v="3"/>
    <n v="10"/>
    <x v="240"/>
    <d v="1899-12-30T00:04:48"/>
  </r>
  <r>
    <x v="5"/>
    <x v="0"/>
    <n v="35.76"/>
    <x v="1"/>
    <x v="2"/>
    <x v="5"/>
    <x v="7"/>
    <n v="3"/>
    <n v="10"/>
    <x v="240"/>
    <d v="1899-12-30T00:08:13"/>
  </r>
  <r>
    <x v="6"/>
    <x v="0"/>
    <n v="30.86"/>
    <x v="3"/>
    <x v="2"/>
    <x v="5"/>
    <x v="7"/>
    <n v="3"/>
    <n v="10"/>
    <x v="240"/>
    <d v="1899-12-30T00:18:32"/>
  </r>
  <r>
    <x v="6"/>
    <x v="0"/>
    <n v="30.86"/>
    <x v="3"/>
    <x v="2"/>
    <x v="5"/>
    <x v="7"/>
    <n v="3"/>
    <n v="10"/>
    <x v="240"/>
    <d v="1899-12-30T00:43:21"/>
  </r>
  <r>
    <x v="14"/>
    <x v="0"/>
    <n v="35.76"/>
    <x v="0"/>
    <x v="0"/>
    <x v="6"/>
    <x v="7"/>
    <n v="4"/>
    <n v="10"/>
    <x v="241"/>
    <d v="1899-12-30T00:54:17"/>
  </r>
  <r>
    <x v="12"/>
    <x v="0"/>
    <n v="35.76"/>
    <x v="0"/>
    <x v="0"/>
    <x v="6"/>
    <x v="7"/>
    <n v="4"/>
    <n v="10"/>
    <x v="241"/>
    <d v="1899-12-30T00:38:54"/>
  </r>
  <r>
    <x v="10"/>
    <x v="0"/>
    <n v="30.86"/>
    <x v="3"/>
    <x v="0"/>
    <x v="6"/>
    <x v="7"/>
    <n v="4"/>
    <n v="10"/>
    <x v="241"/>
    <d v="1899-12-30T00:18:19"/>
  </r>
  <r>
    <x v="3"/>
    <x v="0"/>
    <n v="35.76"/>
    <x v="0"/>
    <x v="1"/>
    <x v="6"/>
    <x v="7"/>
    <n v="4"/>
    <n v="10"/>
    <x v="241"/>
    <d v="1899-12-30T00:59:27"/>
  </r>
  <r>
    <x v="4"/>
    <x v="0"/>
    <n v="30.86"/>
    <x v="3"/>
    <x v="1"/>
    <x v="6"/>
    <x v="7"/>
    <n v="4"/>
    <n v="10"/>
    <x v="241"/>
    <d v="1899-12-30T00:00:31"/>
  </r>
  <r>
    <x v="12"/>
    <x v="0"/>
    <n v="35.76"/>
    <x v="4"/>
    <x v="0"/>
    <x v="0"/>
    <x v="8"/>
    <n v="5"/>
    <n v="11"/>
    <x v="242"/>
    <d v="1899-12-30T00:24:03"/>
  </r>
  <r>
    <x v="12"/>
    <x v="0"/>
    <n v="25.96"/>
    <x v="2"/>
    <x v="0"/>
    <x v="0"/>
    <x v="8"/>
    <n v="5"/>
    <n v="11"/>
    <x v="242"/>
    <d v="1899-12-30T00:30:58"/>
  </r>
  <r>
    <x v="0"/>
    <x v="0"/>
    <n v="35.76"/>
    <x v="0"/>
    <x v="0"/>
    <x v="0"/>
    <x v="8"/>
    <n v="5"/>
    <n v="11"/>
    <x v="242"/>
    <d v="1899-12-30T00:54:50"/>
  </r>
  <r>
    <x v="1"/>
    <x v="0"/>
    <n v="35.76"/>
    <x v="4"/>
    <x v="1"/>
    <x v="0"/>
    <x v="8"/>
    <n v="5"/>
    <n v="11"/>
    <x v="242"/>
    <d v="1899-12-30T00:41:27"/>
  </r>
  <r>
    <x v="1"/>
    <x v="0"/>
    <n v="35.76"/>
    <x v="4"/>
    <x v="1"/>
    <x v="0"/>
    <x v="8"/>
    <n v="5"/>
    <n v="11"/>
    <x v="242"/>
    <d v="1899-12-30T00:42:18"/>
  </r>
  <r>
    <x v="3"/>
    <x v="0"/>
    <n v="25.96"/>
    <x v="5"/>
    <x v="1"/>
    <x v="0"/>
    <x v="8"/>
    <n v="5"/>
    <n v="11"/>
    <x v="242"/>
    <d v="1899-12-30T00:55:42"/>
  </r>
  <r>
    <x v="13"/>
    <x v="0"/>
    <n v="30.86"/>
    <x v="3"/>
    <x v="2"/>
    <x v="0"/>
    <x v="8"/>
    <n v="5"/>
    <n v="11"/>
    <x v="242"/>
    <d v="1899-12-30T00:41:56"/>
  </r>
  <r>
    <x v="12"/>
    <x v="0"/>
    <n v="25.96"/>
    <x v="5"/>
    <x v="0"/>
    <x v="1"/>
    <x v="8"/>
    <n v="6"/>
    <n v="11"/>
    <x v="243"/>
    <d v="1899-12-30T00:19:44"/>
  </r>
  <r>
    <x v="0"/>
    <x v="0"/>
    <n v="35.76"/>
    <x v="4"/>
    <x v="0"/>
    <x v="1"/>
    <x v="8"/>
    <n v="6"/>
    <n v="11"/>
    <x v="243"/>
    <d v="1899-12-30T00:25:46"/>
  </r>
  <r>
    <x v="0"/>
    <x v="0"/>
    <n v="30.86"/>
    <x v="3"/>
    <x v="0"/>
    <x v="1"/>
    <x v="8"/>
    <n v="6"/>
    <n v="11"/>
    <x v="243"/>
    <d v="1899-12-30T00:33:10"/>
  </r>
  <r>
    <x v="8"/>
    <x v="0"/>
    <n v="30.86"/>
    <x v="3"/>
    <x v="1"/>
    <x v="1"/>
    <x v="8"/>
    <n v="6"/>
    <n v="11"/>
    <x v="243"/>
    <d v="1899-12-30T00:54:15"/>
  </r>
  <r>
    <x v="4"/>
    <x v="0"/>
    <n v="35.76"/>
    <x v="1"/>
    <x v="1"/>
    <x v="1"/>
    <x v="8"/>
    <n v="6"/>
    <n v="11"/>
    <x v="243"/>
    <d v="1899-12-30T00:24:16"/>
  </r>
  <r>
    <x v="4"/>
    <x v="0"/>
    <n v="35.76"/>
    <x v="0"/>
    <x v="1"/>
    <x v="1"/>
    <x v="8"/>
    <n v="6"/>
    <n v="11"/>
    <x v="243"/>
    <d v="1899-12-30T00:25:57"/>
  </r>
  <r>
    <x v="4"/>
    <x v="0"/>
    <n v="35.76"/>
    <x v="0"/>
    <x v="1"/>
    <x v="1"/>
    <x v="8"/>
    <n v="6"/>
    <n v="11"/>
    <x v="243"/>
    <d v="1899-12-30T00:37:05"/>
  </r>
  <r>
    <x v="5"/>
    <x v="0"/>
    <n v="30.86"/>
    <x v="3"/>
    <x v="2"/>
    <x v="1"/>
    <x v="8"/>
    <n v="6"/>
    <n v="11"/>
    <x v="243"/>
    <d v="1899-12-30T00:18:27"/>
  </r>
  <r>
    <x v="5"/>
    <x v="0"/>
    <n v="25.96"/>
    <x v="2"/>
    <x v="2"/>
    <x v="1"/>
    <x v="8"/>
    <n v="6"/>
    <n v="11"/>
    <x v="243"/>
    <d v="1899-12-30T00:58:24"/>
  </r>
  <r>
    <x v="12"/>
    <x v="0"/>
    <n v="25.96"/>
    <x v="5"/>
    <x v="0"/>
    <x v="2"/>
    <x v="8"/>
    <n v="7"/>
    <n v="11"/>
    <x v="244"/>
    <d v="1899-12-30T00:23:00"/>
  </r>
  <r>
    <x v="10"/>
    <x v="0"/>
    <n v="30.86"/>
    <x v="3"/>
    <x v="0"/>
    <x v="2"/>
    <x v="8"/>
    <n v="7"/>
    <n v="11"/>
    <x v="244"/>
    <d v="1899-12-30T00:47:06"/>
  </r>
  <r>
    <x v="10"/>
    <x v="0"/>
    <n v="30.86"/>
    <x v="3"/>
    <x v="0"/>
    <x v="2"/>
    <x v="8"/>
    <n v="7"/>
    <n v="11"/>
    <x v="244"/>
    <d v="1899-12-30T00:48:12"/>
  </r>
  <r>
    <x v="2"/>
    <x v="0"/>
    <n v="35.76"/>
    <x v="0"/>
    <x v="1"/>
    <x v="2"/>
    <x v="8"/>
    <n v="7"/>
    <n v="11"/>
    <x v="244"/>
    <d v="1899-12-30T00:13:51"/>
  </r>
  <r>
    <x v="2"/>
    <x v="0"/>
    <n v="30.86"/>
    <x v="3"/>
    <x v="1"/>
    <x v="2"/>
    <x v="8"/>
    <n v="7"/>
    <n v="11"/>
    <x v="244"/>
    <d v="1899-12-30T00:14:57"/>
  </r>
  <r>
    <x v="2"/>
    <x v="0"/>
    <n v="35.76"/>
    <x v="4"/>
    <x v="1"/>
    <x v="2"/>
    <x v="8"/>
    <n v="7"/>
    <n v="11"/>
    <x v="244"/>
    <d v="1899-12-30T00:18:25"/>
  </r>
  <r>
    <x v="2"/>
    <x v="0"/>
    <n v="25.96"/>
    <x v="2"/>
    <x v="1"/>
    <x v="2"/>
    <x v="8"/>
    <n v="7"/>
    <n v="11"/>
    <x v="244"/>
    <d v="1899-12-30T00:44:19"/>
  </r>
  <r>
    <x v="2"/>
    <x v="0"/>
    <n v="30.86"/>
    <x v="3"/>
    <x v="1"/>
    <x v="2"/>
    <x v="8"/>
    <n v="7"/>
    <n v="11"/>
    <x v="244"/>
    <d v="1899-12-30T00:59:01"/>
  </r>
  <r>
    <x v="4"/>
    <x v="0"/>
    <n v="35.76"/>
    <x v="1"/>
    <x v="1"/>
    <x v="2"/>
    <x v="8"/>
    <n v="7"/>
    <n v="11"/>
    <x v="244"/>
    <d v="1899-12-30T00:15:18"/>
  </r>
  <r>
    <x v="4"/>
    <x v="0"/>
    <n v="35.76"/>
    <x v="1"/>
    <x v="1"/>
    <x v="2"/>
    <x v="8"/>
    <n v="7"/>
    <n v="11"/>
    <x v="244"/>
    <d v="1899-12-30T00:16:44"/>
  </r>
  <r>
    <x v="4"/>
    <x v="0"/>
    <n v="25.96"/>
    <x v="2"/>
    <x v="1"/>
    <x v="2"/>
    <x v="8"/>
    <n v="7"/>
    <n v="11"/>
    <x v="244"/>
    <d v="1899-12-30T00:20:37"/>
  </r>
  <r>
    <x v="4"/>
    <x v="0"/>
    <n v="25.96"/>
    <x v="2"/>
    <x v="1"/>
    <x v="2"/>
    <x v="8"/>
    <n v="7"/>
    <n v="11"/>
    <x v="244"/>
    <d v="1899-12-30T00:21:46"/>
  </r>
  <r>
    <x v="11"/>
    <x v="0"/>
    <n v="35.76"/>
    <x v="4"/>
    <x v="2"/>
    <x v="2"/>
    <x v="8"/>
    <n v="7"/>
    <n v="11"/>
    <x v="244"/>
    <d v="1899-12-30T00:26:15"/>
  </r>
  <r>
    <x v="14"/>
    <x v="0"/>
    <n v="35.76"/>
    <x v="0"/>
    <x v="0"/>
    <x v="3"/>
    <x v="8"/>
    <n v="1"/>
    <n v="11"/>
    <x v="245"/>
    <d v="1899-12-30T00:43:37"/>
  </r>
  <r>
    <x v="12"/>
    <x v="0"/>
    <n v="35.76"/>
    <x v="0"/>
    <x v="0"/>
    <x v="3"/>
    <x v="8"/>
    <n v="1"/>
    <n v="11"/>
    <x v="245"/>
    <d v="1899-12-30T00:37:33"/>
  </r>
  <r>
    <x v="12"/>
    <x v="0"/>
    <n v="30.86"/>
    <x v="3"/>
    <x v="0"/>
    <x v="3"/>
    <x v="8"/>
    <n v="1"/>
    <n v="11"/>
    <x v="245"/>
    <d v="1899-12-30T00:38:59"/>
  </r>
  <r>
    <x v="1"/>
    <x v="0"/>
    <n v="25.96"/>
    <x v="2"/>
    <x v="1"/>
    <x v="3"/>
    <x v="8"/>
    <n v="1"/>
    <n v="11"/>
    <x v="245"/>
    <d v="1899-12-30T00:33:36"/>
  </r>
  <r>
    <x v="1"/>
    <x v="0"/>
    <n v="30.86"/>
    <x v="3"/>
    <x v="1"/>
    <x v="3"/>
    <x v="8"/>
    <n v="1"/>
    <n v="11"/>
    <x v="245"/>
    <d v="1899-12-30T00:35:06"/>
  </r>
  <r>
    <x v="8"/>
    <x v="0"/>
    <n v="35.76"/>
    <x v="4"/>
    <x v="1"/>
    <x v="3"/>
    <x v="8"/>
    <n v="1"/>
    <n v="11"/>
    <x v="245"/>
    <d v="1899-12-30T00:44:38"/>
  </r>
  <r>
    <x v="8"/>
    <x v="0"/>
    <n v="35.76"/>
    <x v="4"/>
    <x v="1"/>
    <x v="3"/>
    <x v="8"/>
    <n v="1"/>
    <n v="11"/>
    <x v="245"/>
    <d v="1899-12-30T00:45:20"/>
  </r>
  <r>
    <x v="14"/>
    <x v="0"/>
    <n v="35.76"/>
    <x v="4"/>
    <x v="0"/>
    <x v="4"/>
    <x v="8"/>
    <n v="2"/>
    <n v="11"/>
    <x v="246"/>
    <d v="1899-12-30T00:49:32"/>
  </r>
  <r>
    <x v="10"/>
    <x v="0"/>
    <n v="30.86"/>
    <x v="3"/>
    <x v="0"/>
    <x v="4"/>
    <x v="8"/>
    <n v="2"/>
    <n v="11"/>
    <x v="246"/>
    <d v="1899-12-30T00:05:42"/>
  </r>
  <r>
    <x v="10"/>
    <x v="0"/>
    <n v="35.76"/>
    <x v="7"/>
    <x v="0"/>
    <x v="4"/>
    <x v="8"/>
    <n v="2"/>
    <n v="11"/>
    <x v="246"/>
    <d v="1899-12-30T00:12:12"/>
  </r>
  <r>
    <x v="10"/>
    <x v="0"/>
    <n v="30.86"/>
    <x v="3"/>
    <x v="0"/>
    <x v="4"/>
    <x v="8"/>
    <n v="2"/>
    <n v="11"/>
    <x v="246"/>
    <d v="1899-12-30T00:13:40"/>
  </r>
  <r>
    <x v="0"/>
    <x v="0"/>
    <n v="30.86"/>
    <x v="3"/>
    <x v="0"/>
    <x v="4"/>
    <x v="8"/>
    <n v="2"/>
    <n v="11"/>
    <x v="246"/>
    <d v="1899-12-30T00:41:44"/>
  </r>
  <r>
    <x v="7"/>
    <x v="0"/>
    <n v="35.76"/>
    <x v="4"/>
    <x v="0"/>
    <x v="4"/>
    <x v="8"/>
    <n v="2"/>
    <n v="11"/>
    <x v="246"/>
    <d v="1899-12-30T00:47:30"/>
  </r>
  <r>
    <x v="7"/>
    <x v="0"/>
    <n v="35.76"/>
    <x v="0"/>
    <x v="0"/>
    <x v="4"/>
    <x v="8"/>
    <n v="2"/>
    <n v="11"/>
    <x v="246"/>
    <d v="1899-12-30T00:48:23"/>
  </r>
  <r>
    <x v="8"/>
    <x v="0"/>
    <n v="35.76"/>
    <x v="0"/>
    <x v="1"/>
    <x v="4"/>
    <x v="8"/>
    <n v="2"/>
    <n v="11"/>
    <x v="246"/>
    <d v="1899-12-30T00:36:38"/>
  </r>
  <r>
    <x v="8"/>
    <x v="0"/>
    <n v="35.76"/>
    <x v="0"/>
    <x v="1"/>
    <x v="4"/>
    <x v="8"/>
    <n v="2"/>
    <n v="11"/>
    <x v="246"/>
    <d v="1899-12-30T00:41:48"/>
  </r>
  <r>
    <x v="5"/>
    <x v="0"/>
    <n v="35.76"/>
    <x v="7"/>
    <x v="2"/>
    <x v="4"/>
    <x v="8"/>
    <n v="2"/>
    <n v="11"/>
    <x v="246"/>
    <d v="1899-12-30T00:52:56"/>
  </r>
  <r>
    <x v="5"/>
    <x v="0"/>
    <n v="35.76"/>
    <x v="7"/>
    <x v="2"/>
    <x v="4"/>
    <x v="8"/>
    <n v="2"/>
    <n v="11"/>
    <x v="246"/>
    <d v="1899-12-30T00:54:11"/>
  </r>
  <r>
    <x v="5"/>
    <x v="0"/>
    <n v="35.76"/>
    <x v="7"/>
    <x v="2"/>
    <x v="4"/>
    <x v="8"/>
    <n v="2"/>
    <n v="11"/>
    <x v="246"/>
    <d v="1899-12-30T00:55:19"/>
  </r>
  <r>
    <x v="15"/>
    <x v="0"/>
    <n v="35.76"/>
    <x v="4"/>
    <x v="2"/>
    <x v="4"/>
    <x v="8"/>
    <n v="2"/>
    <n v="11"/>
    <x v="246"/>
    <d v="1899-12-30T00:40:45"/>
  </r>
  <r>
    <x v="15"/>
    <x v="0"/>
    <n v="35.76"/>
    <x v="4"/>
    <x v="2"/>
    <x v="4"/>
    <x v="8"/>
    <n v="2"/>
    <n v="11"/>
    <x v="246"/>
    <d v="1899-12-30T00:42:03"/>
  </r>
  <r>
    <x v="15"/>
    <x v="0"/>
    <n v="35.76"/>
    <x v="1"/>
    <x v="2"/>
    <x v="4"/>
    <x v="8"/>
    <n v="2"/>
    <n v="11"/>
    <x v="246"/>
    <d v="1899-12-30T00:54:20"/>
  </r>
  <r>
    <x v="13"/>
    <x v="0"/>
    <n v="35.76"/>
    <x v="1"/>
    <x v="2"/>
    <x v="4"/>
    <x v="8"/>
    <n v="2"/>
    <n v="11"/>
    <x v="246"/>
    <d v="1899-12-30T00:05:51"/>
  </r>
  <r>
    <x v="13"/>
    <x v="0"/>
    <n v="30.86"/>
    <x v="3"/>
    <x v="2"/>
    <x v="4"/>
    <x v="8"/>
    <n v="2"/>
    <n v="11"/>
    <x v="246"/>
    <d v="1899-12-30T00:06:39"/>
  </r>
  <r>
    <x v="12"/>
    <x v="0"/>
    <n v="35.76"/>
    <x v="0"/>
    <x v="0"/>
    <x v="5"/>
    <x v="8"/>
    <n v="3"/>
    <n v="11"/>
    <x v="247"/>
    <d v="1899-12-30T00:11:25"/>
  </r>
  <r>
    <x v="7"/>
    <x v="0"/>
    <n v="21.06"/>
    <x v="6"/>
    <x v="0"/>
    <x v="5"/>
    <x v="8"/>
    <n v="3"/>
    <n v="11"/>
    <x v="247"/>
    <d v="1899-12-30T00:45:31"/>
  </r>
  <r>
    <x v="2"/>
    <x v="0"/>
    <n v="25.96"/>
    <x v="2"/>
    <x v="1"/>
    <x v="5"/>
    <x v="8"/>
    <n v="3"/>
    <n v="11"/>
    <x v="247"/>
    <d v="1899-12-30T00:15:33"/>
  </r>
  <r>
    <x v="3"/>
    <x v="0"/>
    <n v="35.76"/>
    <x v="7"/>
    <x v="1"/>
    <x v="5"/>
    <x v="8"/>
    <n v="3"/>
    <n v="11"/>
    <x v="247"/>
    <d v="1899-12-30T00:44:17"/>
  </r>
  <r>
    <x v="4"/>
    <x v="0"/>
    <n v="35.76"/>
    <x v="0"/>
    <x v="1"/>
    <x v="5"/>
    <x v="8"/>
    <n v="3"/>
    <n v="11"/>
    <x v="247"/>
    <d v="1899-12-30T00:00:44"/>
  </r>
  <r>
    <x v="4"/>
    <x v="0"/>
    <n v="35.76"/>
    <x v="7"/>
    <x v="1"/>
    <x v="5"/>
    <x v="8"/>
    <n v="3"/>
    <n v="11"/>
    <x v="247"/>
    <d v="1899-12-30T00:02:05"/>
  </r>
  <r>
    <x v="5"/>
    <x v="0"/>
    <n v="35.76"/>
    <x v="1"/>
    <x v="2"/>
    <x v="5"/>
    <x v="8"/>
    <n v="3"/>
    <n v="11"/>
    <x v="247"/>
    <d v="1899-12-30T00:40:43"/>
  </r>
  <r>
    <x v="5"/>
    <x v="0"/>
    <n v="35.76"/>
    <x v="1"/>
    <x v="2"/>
    <x v="5"/>
    <x v="8"/>
    <n v="3"/>
    <n v="11"/>
    <x v="247"/>
    <d v="1899-12-30T00:41:31"/>
  </r>
  <r>
    <x v="1"/>
    <x v="0"/>
    <n v="35.76"/>
    <x v="0"/>
    <x v="1"/>
    <x v="6"/>
    <x v="8"/>
    <n v="4"/>
    <n v="11"/>
    <x v="248"/>
    <d v="1899-12-30T00:17:16"/>
  </r>
  <r>
    <x v="3"/>
    <x v="0"/>
    <n v="25.96"/>
    <x v="2"/>
    <x v="1"/>
    <x v="6"/>
    <x v="8"/>
    <n v="4"/>
    <n v="11"/>
    <x v="248"/>
    <d v="1899-12-30T00:50:11"/>
  </r>
  <r>
    <x v="4"/>
    <x v="0"/>
    <n v="25.96"/>
    <x v="2"/>
    <x v="1"/>
    <x v="6"/>
    <x v="8"/>
    <n v="4"/>
    <n v="11"/>
    <x v="248"/>
    <d v="1899-12-30T00:39:39"/>
  </r>
  <r>
    <x v="5"/>
    <x v="0"/>
    <n v="35.76"/>
    <x v="4"/>
    <x v="2"/>
    <x v="6"/>
    <x v="8"/>
    <n v="4"/>
    <n v="11"/>
    <x v="248"/>
    <d v="1899-12-30T00:17:34"/>
  </r>
  <r>
    <x v="6"/>
    <x v="0"/>
    <n v="35.76"/>
    <x v="1"/>
    <x v="2"/>
    <x v="6"/>
    <x v="8"/>
    <n v="4"/>
    <n v="11"/>
    <x v="248"/>
    <d v="1899-12-30T00:20:15"/>
  </r>
  <r>
    <x v="6"/>
    <x v="0"/>
    <n v="35.76"/>
    <x v="0"/>
    <x v="2"/>
    <x v="6"/>
    <x v="8"/>
    <n v="4"/>
    <n v="11"/>
    <x v="248"/>
    <d v="1899-12-30T00:21:38"/>
  </r>
  <r>
    <x v="11"/>
    <x v="0"/>
    <n v="35.76"/>
    <x v="0"/>
    <x v="2"/>
    <x v="6"/>
    <x v="8"/>
    <n v="4"/>
    <n v="11"/>
    <x v="248"/>
    <d v="1899-12-30T00:02:31"/>
  </r>
  <r>
    <x v="10"/>
    <x v="0"/>
    <n v="30.86"/>
    <x v="3"/>
    <x v="0"/>
    <x v="0"/>
    <x v="8"/>
    <n v="5"/>
    <n v="11"/>
    <x v="249"/>
    <d v="1899-12-30T00:05:42"/>
  </r>
  <r>
    <x v="10"/>
    <x v="0"/>
    <n v="25.96"/>
    <x v="2"/>
    <x v="0"/>
    <x v="0"/>
    <x v="8"/>
    <n v="5"/>
    <n v="11"/>
    <x v="249"/>
    <d v="1899-12-30T00:47:31"/>
  </r>
  <r>
    <x v="10"/>
    <x v="0"/>
    <n v="25.96"/>
    <x v="2"/>
    <x v="0"/>
    <x v="0"/>
    <x v="8"/>
    <n v="5"/>
    <n v="11"/>
    <x v="249"/>
    <d v="1899-12-30T00:49:00"/>
  </r>
  <r>
    <x v="7"/>
    <x v="0"/>
    <n v="35.76"/>
    <x v="7"/>
    <x v="0"/>
    <x v="0"/>
    <x v="8"/>
    <n v="5"/>
    <n v="11"/>
    <x v="249"/>
    <d v="1899-12-30T00:47:11"/>
  </r>
  <r>
    <x v="2"/>
    <x v="0"/>
    <n v="35.76"/>
    <x v="0"/>
    <x v="1"/>
    <x v="0"/>
    <x v="8"/>
    <n v="5"/>
    <n v="11"/>
    <x v="249"/>
    <d v="1899-12-30T00:25:13"/>
  </r>
  <r>
    <x v="2"/>
    <x v="0"/>
    <n v="35.76"/>
    <x v="0"/>
    <x v="1"/>
    <x v="0"/>
    <x v="8"/>
    <n v="5"/>
    <n v="11"/>
    <x v="249"/>
    <d v="1899-12-30T00:26:18"/>
  </r>
  <r>
    <x v="4"/>
    <x v="0"/>
    <n v="30.86"/>
    <x v="3"/>
    <x v="1"/>
    <x v="0"/>
    <x v="8"/>
    <n v="5"/>
    <n v="11"/>
    <x v="249"/>
    <d v="1899-12-30T00:33:03"/>
  </r>
  <r>
    <x v="4"/>
    <x v="0"/>
    <n v="30.86"/>
    <x v="3"/>
    <x v="1"/>
    <x v="0"/>
    <x v="8"/>
    <n v="5"/>
    <n v="11"/>
    <x v="249"/>
    <d v="1899-12-30T00:55:28"/>
  </r>
  <r>
    <x v="11"/>
    <x v="0"/>
    <n v="35.76"/>
    <x v="1"/>
    <x v="2"/>
    <x v="0"/>
    <x v="8"/>
    <n v="5"/>
    <n v="11"/>
    <x v="249"/>
    <d v="1899-12-30T00:13:32"/>
  </r>
  <r>
    <x v="11"/>
    <x v="0"/>
    <n v="35.76"/>
    <x v="1"/>
    <x v="2"/>
    <x v="0"/>
    <x v="8"/>
    <n v="5"/>
    <n v="11"/>
    <x v="249"/>
    <d v="1899-12-30T00:14:24"/>
  </r>
  <r>
    <x v="11"/>
    <x v="0"/>
    <n v="35.76"/>
    <x v="1"/>
    <x v="2"/>
    <x v="0"/>
    <x v="8"/>
    <n v="5"/>
    <n v="11"/>
    <x v="249"/>
    <d v="1899-12-30T20:15:20"/>
  </r>
  <r>
    <x v="13"/>
    <x v="0"/>
    <n v="35.76"/>
    <x v="0"/>
    <x v="2"/>
    <x v="0"/>
    <x v="8"/>
    <n v="5"/>
    <n v="11"/>
    <x v="249"/>
    <d v="1899-12-30T00:27:10"/>
  </r>
  <r>
    <x v="0"/>
    <x v="0"/>
    <n v="30.86"/>
    <x v="3"/>
    <x v="0"/>
    <x v="1"/>
    <x v="8"/>
    <n v="6"/>
    <n v="11"/>
    <x v="250"/>
    <d v="1899-12-30T00:08:19"/>
  </r>
  <r>
    <x v="7"/>
    <x v="0"/>
    <n v="25.96"/>
    <x v="5"/>
    <x v="0"/>
    <x v="1"/>
    <x v="8"/>
    <n v="6"/>
    <n v="11"/>
    <x v="250"/>
    <d v="1899-12-30T00:02:08"/>
  </r>
  <r>
    <x v="7"/>
    <x v="0"/>
    <n v="25.96"/>
    <x v="5"/>
    <x v="0"/>
    <x v="1"/>
    <x v="8"/>
    <n v="6"/>
    <n v="11"/>
    <x v="250"/>
    <d v="1899-12-30T00:03:01"/>
  </r>
  <r>
    <x v="7"/>
    <x v="0"/>
    <n v="35.76"/>
    <x v="0"/>
    <x v="0"/>
    <x v="1"/>
    <x v="8"/>
    <n v="6"/>
    <n v="11"/>
    <x v="250"/>
    <d v="1899-12-30T00:08:44"/>
  </r>
  <r>
    <x v="2"/>
    <x v="0"/>
    <n v="35.76"/>
    <x v="1"/>
    <x v="1"/>
    <x v="1"/>
    <x v="8"/>
    <n v="6"/>
    <n v="11"/>
    <x v="250"/>
    <d v="1899-12-30T00:50:15"/>
  </r>
  <r>
    <x v="2"/>
    <x v="0"/>
    <n v="35.76"/>
    <x v="1"/>
    <x v="1"/>
    <x v="1"/>
    <x v="8"/>
    <n v="6"/>
    <n v="11"/>
    <x v="250"/>
    <d v="1899-12-30T00:50:55"/>
  </r>
  <r>
    <x v="8"/>
    <x v="0"/>
    <n v="35.76"/>
    <x v="1"/>
    <x v="1"/>
    <x v="1"/>
    <x v="8"/>
    <n v="6"/>
    <n v="11"/>
    <x v="250"/>
    <d v="1899-12-30T00:21:52"/>
  </r>
  <r>
    <x v="8"/>
    <x v="0"/>
    <n v="35.76"/>
    <x v="1"/>
    <x v="1"/>
    <x v="1"/>
    <x v="8"/>
    <n v="6"/>
    <n v="11"/>
    <x v="250"/>
    <d v="1899-12-30T00:22:50"/>
  </r>
  <r>
    <x v="8"/>
    <x v="0"/>
    <n v="25.96"/>
    <x v="2"/>
    <x v="1"/>
    <x v="1"/>
    <x v="8"/>
    <n v="6"/>
    <n v="11"/>
    <x v="250"/>
    <d v="1899-12-30T00:37:33"/>
  </r>
  <r>
    <x v="3"/>
    <x v="0"/>
    <n v="30.86"/>
    <x v="3"/>
    <x v="1"/>
    <x v="1"/>
    <x v="8"/>
    <n v="6"/>
    <n v="11"/>
    <x v="250"/>
    <d v="1899-12-30T00:29:51"/>
  </r>
  <r>
    <x v="4"/>
    <x v="0"/>
    <n v="35.76"/>
    <x v="0"/>
    <x v="1"/>
    <x v="1"/>
    <x v="8"/>
    <n v="6"/>
    <n v="11"/>
    <x v="250"/>
    <d v="1899-12-30T00:15:48"/>
  </r>
  <r>
    <x v="4"/>
    <x v="0"/>
    <n v="35.76"/>
    <x v="4"/>
    <x v="1"/>
    <x v="1"/>
    <x v="8"/>
    <n v="6"/>
    <n v="11"/>
    <x v="250"/>
    <d v="1899-12-30T00:16:52"/>
  </r>
  <r>
    <x v="11"/>
    <x v="0"/>
    <n v="25.96"/>
    <x v="2"/>
    <x v="2"/>
    <x v="1"/>
    <x v="8"/>
    <n v="6"/>
    <n v="11"/>
    <x v="250"/>
    <d v="1899-12-30T00:42:05"/>
  </r>
  <r>
    <x v="11"/>
    <x v="0"/>
    <n v="35.76"/>
    <x v="0"/>
    <x v="2"/>
    <x v="1"/>
    <x v="8"/>
    <n v="6"/>
    <n v="11"/>
    <x v="250"/>
    <d v="1899-12-30T00:43:28"/>
  </r>
  <r>
    <x v="13"/>
    <x v="0"/>
    <n v="35.76"/>
    <x v="4"/>
    <x v="2"/>
    <x v="1"/>
    <x v="8"/>
    <n v="6"/>
    <n v="11"/>
    <x v="250"/>
    <d v="1899-12-30T00:13:28"/>
  </r>
  <r>
    <x v="13"/>
    <x v="0"/>
    <n v="25.96"/>
    <x v="2"/>
    <x v="2"/>
    <x v="1"/>
    <x v="8"/>
    <n v="6"/>
    <n v="11"/>
    <x v="250"/>
    <d v="1899-12-30T00:52:58"/>
  </r>
  <r>
    <x v="13"/>
    <x v="0"/>
    <n v="25.96"/>
    <x v="2"/>
    <x v="2"/>
    <x v="1"/>
    <x v="8"/>
    <n v="6"/>
    <n v="11"/>
    <x v="250"/>
    <d v="1899-12-30T00:54:19"/>
  </r>
  <r>
    <x v="10"/>
    <x v="0"/>
    <n v="25.96"/>
    <x v="2"/>
    <x v="0"/>
    <x v="2"/>
    <x v="8"/>
    <n v="7"/>
    <n v="11"/>
    <x v="251"/>
    <d v="1899-12-30T00:46:22"/>
  </r>
  <r>
    <x v="9"/>
    <x v="0"/>
    <n v="35.76"/>
    <x v="4"/>
    <x v="2"/>
    <x v="2"/>
    <x v="8"/>
    <n v="7"/>
    <n v="11"/>
    <x v="251"/>
    <d v="1899-12-30T00:52:48"/>
  </r>
  <r>
    <x v="5"/>
    <x v="0"/>
    <n v="35.76"/>
    <x v="1"/>
    <x v="2"/>
    <x v="2"/>
    <x v="8"/>
    <n v="7"/>
    <n v="11"/>
    <x v="251"/>
    <d v="1899-12-30T00:12:53"/>
  </r>
  <r>
    <x v="5"/>
    <x v="0"/>
    <n v="35.76"/>
    <x v="1"/>
    <x v="2"/>
    <x v="2"/>
    <x v="8"/>
    <n v="7"/>
    <n v="11"/>
    <x v="251"/>
    <d v="1899-12-30T00:14:04"/>
  </r>
  <r>
    <x v="11"/>
    <x v="0"/>
    <n v="35.76"/>
    <x v="7"/>
    <x v="2"/>
    <x v="2"/>
    <x v="8"/>
    <n v="7"/>
    <n v="11"/>
    <x v="251"/>
    <d v="1899-12-30T00:38:08"/>
  </r>
  <r>
    <x v="11"/>
    <x v="0"/>
    <n v="35.76"/>
    <x v="7"/>
    <x v="2"/>
    <x v="2"/>
    <x v="8"/>
    <n v="7"/>
    <n v="11"/>
    <x v="251"/>
    <d v="1899-12-30T00:39:07"/>
  </r>
  <r>
    <x v="14"/>
    <x v="0"/>
    <n v="35.76"/>
    <x v="7"/>
    <x v="0"/>
    <x v="3"/>
    <x v="8"/>
    <n v="1"/>
    <n v="11"/>
    <x v="252"/>
    <d v="1899-12-30T00:48:27"/>
  </r>
  <r>
    <x v="10"/>
    <x v="0"/>
    <n v="30.86"/>
    <x v="3"/>
    <x v="0"/>
    <x v="3"/>
    <x v="8"/>
    <n v="1"/>
    <n v="11"/>
    <x v="252"/>
    <d v="1899-12-30T00:52:26"/>
  </r>
  <r>
    <x v="0"/>
    <x v="0"/>
    <n v="25.96"/>
    <x v="5"/>
    <x v="0"/>
    <x v="3"/>
    <x v="8"/>
    <n v="1"/>
    <n v="11"/>
    <x v="252"/>
    <d v="1899-12-30T00:19:10"/>
  </r>
  <r>
    <x v="4"/>
    <x v="0"/>
    <n v="35.76"/>
    <x v="7"/>
    <x v="1"/>
    <x v="3"/>
    <x v="8"/>
    <n v="1"/>
    <n v="11"/>
    <x v="252"/>
    <d v="1899-12-30T16:18:44"/>
  </r>
  <r>
    <x v="4"/>
    <x v="0"/>
    <n v="35.76"/>
    <x v="1"/>
    <x v="1"/>
    <x v="3"/>
    <x v="8"/>
    <n v="1"/>
    <n v="11"/>
    <x v="252"/>
    <d v="1899-12-30T00:19:53"/>
  </r>
  <r>
    <x v="9"/>
    <x v="0"/>
    <n v="35.76"/>
    <x v="7"/>
    <x v="2"/>
    <x v="3"/>
    <x v="8"/>
    <n v="1"/>
    <n v="11"/>
    <x v="252"/>
    <d v="1899-12-30T00:33:32"/>
  </r>
  <r>
    <x v="6"/>
    <x v="0"/>
    <n v="35.76"/>
    <x v="0"/>
    <x v="2"/>
    <x v="3"/>
    <x v="8"/>
    <n v="1"/>
    <n v="11"/>
    <x v="252"/>
    <d v="1899-12-30T00:00:47"/>
  </r>
  <r>
    <x v="6"/>
    <x v="0"/>
    <n v="35.76"/>
    <x v="1"/>
    <x v="2"/>
    <x v="3"/>
    <x v="8"/>
    <n v="1"/>
    <n v="11"/>
    <x v="252"/>
    <d v="1899-12-30T00:04:16"/>
  </r>
  <r>
    <x v="15"/>
    <x v="0"/>
    <n v="35.76"/>
    <x v="0"/>
    <x v="2"/>
    <x v="3"/>
    <x v="8"/>
    <n v="1"/>
    <n v="11"/>
    <x v="252"/>
    <d v="1899-12-30T00:08:32"/>
  </r>
  <r>
    <x v="15"/>
    <x v="0"/>
    <n v="35.76"/>
    <x v="0"/>
    <x v="2"/>
    <x v="3"/>
    <x v="8"/>
    <n v="1"/>
    <n v="11"/>
    <x v="252"/>
    <d v="1899-12-30T00:09:47"/>
  </r>
  <r>
    <x v="0"/>
    <x v="0"/>
    <n v="35.76"/>
    <x v="0"/>
    <x v="0"/>
    <x v="4"/>
    <x v="8"/>
    <n v="2"/>
    <n v="11"/>
    <x v="253"/>
    <d v="1899-12-30T00:03:09"/>
  </r>
  <r>
    <x v="2"/>
    <x v="0"/>
    <n v="35.76"/>
    <x v="0"/>
    <x v="1"/>
    <x v="4"/>
    <x v="8"/>
    <n v="2"/>
    <n v="11"/>
    <x v="253"/>
    <d v="1899-12-30T00:15:45"/>
  </r>
  <r>
    <x v="8"/>
    <x v="0"/>
    <n v="35.76"/>
    <x v="0"/>
    <x v="1"/>
    <x v="4"/>
    <x v="8"/>
    <n v="2"/>
    <n v="11"/>
    <x v="253"/>
    <d v="1899-12-30T00:39:15"/>
  </r>
  <r>
    <x v="4"/>
    <x v="0"/>
    <n v="35.76"/>
    <x v="1"/>
    <x v="1"/>
    <x v="4"/>
    <x v="8"/>
    <n v="2"/>
    <n v="11"/>
    <x v="253"/>
    <d v="1899-12-30T00:47:14"/>
  </r>
  <r>
    <x v="4"/>
    <x v="0"/>
    <n v="35.76"/>
    <x v="1"/>
    <x v="1"/>
    <x v="4"/>
    <x v="8"/>
    <n v="2"/>
    <n v="11"/>
    <x v="253"/>
    <d v="1899-12-30T00:48:05"/>
  </r>
  <r>
    <x v="4"/>
    <x v="0"/>
    <n v="35.76"/>
    <x v="4"/>
    <x v="1"/>
    <x v="4"/>
    <x v="8"/>
    <n v="2"/>
    <n v="11"/>
    <x v="253"/>
    <d v="1899-12-30T00:49:04"/>
  </r>
  <r>
    <x v="5"/>
    <x v="0"/>
    <n v="35.76"/>
    <x v="7"/>
    <x v="2"/>
    <x v="4"/>
    <x v="8"/>
    <n v="2"/>
    <n v="11"/>
    <x v="253"/>
    <d v="1899-12-30T00:45:14"/>
  </r>
  <r>
    <x v="11"/>
    <x v="0"/>
    <n v="35.76"/>
    <x v="0"/>
    <x v="2"/>
    <x v="4"/>
    <x v="8"/>
    <n v="2"/>
    <n v="11"/>
    <x v="253"/>
    <d v="1899-12-30T00:07:58"/>
  </r>
  <r>
    <x v="11"/>
    <x v="0"/>
    <n v="35.76"/>
    <x v="4"/>
    <x v="2"/>
    <x v="4"/>
    <x v="8"/>
    <n v="2"/>
    <n v="11"/>
    <x v="253"/>
    <d v="1899-12-30T00:09:22"/>
  </r>
  <r>
    <x v="12"/>
    <x v="0"/>
    <n v="30.86"/>
    <x v="3"/>
    <x v="0"/>
    <x v="5"/>
    <x v="8"/>
    <n v="3"/>
    <n v="11"/>
    <x v="254"/>
    <d v="1899-12-30T00:09:11"/>
  </r>
  <r>
    <x v="0"/>
    <x v="0"/>
    <n v="35.76"/>
    <x v="0"/>
    <x v="0"/>
    <x v="5"/>
    <x v="8"/>
    <n v="3"/>
    <n v="11"/>
    <x v="254"/>
    <d v="1899-12-30T00:37:43"/>
  </r>
  <r>
    <x v="2"/>
    <x v="0"/>
    <n v="30.86"/>
    <x v="3"/>
    <x v="1"/>
    <x v="5"/>
    <x v="8"/>
    <n v="3"/>
    <n v="11"/>
    <x v="254"/>
    <d v="1899-12-30T00:19:55"/>
  </r>
  <r>
    <x v="2"/>
    <x v="0"/>
    <n v="30.86"/>
    <x v="3"/>
    <x v="1"/>
    <x v="5"/>
    <x v="8"/>
    <n v="3"/>
    <n v="11"/>
    <x v="254"/>
    <d v="1899-12-30T00:20:59"/>
  </r>
  <r>
    <x v="8"/>
    <x v="0"/>
    <n v="30.86"/>
    <x v="3"/>
    <x v="1"/>
    <x v="5"/>
    <x v="8"/>
    <n v="3"/>
    <n v="11"/>
    <x v="254"/>
    <d v="1899-12-30T00:17:30"/>
  </r>
  <r>
    <x v="8"/>
    <x v="0"/>
    <n v="35.76"/>
    <x v="0"/>
    <x v="1"/>
    <x v="5"/>
    <x v="8"/>
    <n v="3"/>
    <n v="11"/>
    <x v="254"/>
    <d v="1899-12-30T00:46:58"/>
  </r>
  <r>
    <x v="10"/>
    <x v="0"/>
    <n v="35.76"/>
    <x v="0"/>
    <x v="0"/>
    <x v="6"/>
    <x v="8"/>
    <n v="4"/>
    <n v="11"/>
    <x v="255"/>
    <d v="1899-12-30T00:36:28"/>
  </r>
  <r>
    <x v="0"/>
    <x v="0"/>
    <n v="25.96"/>
    <x v="2"/>
    <x v="0"/>
    <x v="6"/>
    <x v="8"/>
    <n v="4"/>
    <n v="11"/>
    <x v="255"/>
    <d v="1899-12-30T00:06:43"/>
  </r>
  <r>
    <x v="1"/>
    <x v="0"/>
    <n v="21.06"/>
    <x v="6"/>
    <x v="1"/>
    <x v="6"/>
    <x v="8"/>
    <n v="4"/>
    <n v="11"/>
    <x v="255"/>
    <d v="1899-12-30T00:48:51"/>
  </r>
  <r>
    <x v="3"/>
    <x v="0"/>
    <n v="35.76"/>
    <x v="7"/>
    <x v="1"/>
    <x v="6"/>
    <x v="8"/>
    <n v="4"/>
    <n v="11"/>
    <x v="255"/>
    <d v="1899-12-30T00:03:45"/>
  </r>
  <r>
    <x v="3"/>
    <x v="0"/>
    <n v="35.76"/>
    <x v="0"/>
    <x v="1"/>
    <x v="6"/>
    <x v="8"/>
    <n v="4"/>
    <n v="11"/>
    <x v="255"/>
    <d v="1899-12-30T00:04:57"/>
  </r>
  <r>
    <x v="3"/>
    <x v="0"/>
    <n v="35.76"/>
    <x v="7"/>
    <x v="1"/>
    <x v="6"/>
    <x v="8"/>
    <n v="4"/>
    <n v="11"/>
    <x v="255"/>
    <d v="1899-12-30T00:05:50"/>
  </r>
  <r>
    <x v="4"/>
    <x v="0"/>
    <n v="30.86"/>
    <x v="3"/>
    <x v="1"/>
    <x v="6"/>
    <x v="8"/>
    <n v="4"/>
    <n v="11"/>
    <x v="255"/>
    <d v="1899-12-30T00:13:08"/>
  </r>
  <r>
    <x v="4"/>
    <x v="0"/>
    <n v="35.76"/>
    <x v="7"/>
    <x v="1"/>
    <x v="6"/>
    <x v="8"/>
    <n v="4"/>
    <n v="11"/>
    <x v="255"/>
    <d v="1899-12-30T00:14:22"/>
  </r>
  <r>
    <x v="6"/>
    <x v="0"/>
    <n v="35.76"/>
    <x v="1"/>
    <x v="2"/>
    <x v="6"/>
    <x v="8"/>
    <n v="4"/>
    <n v="11"/>
    <x v="255"/>
    <d v="1899-12-30T00:43:27"/>
  </r>
  <r>
    <x v="6"/>
    <x v="0"/>
    <n v="35.76"/>
    <x v="1"/>
    <x v="2"/>
    <x v="6"/>
    <x v="8"/>
    <n v="4"/>
    <n v="11"/>
    <x v="255"/>
    <d v="1899-12-30T00:46:37"/>
  </r>
  <r>
    <x v="11"/>
    <x v="0"/>
    <n v="35.76"/>
    <x v="4"/>
    <x v="2"/>
    <x v="6"/>
    <x v="8"/>
    <n v="4"/>
    <n v="11"/>
    <x v="255"/>
    <d v="1899-12-30T00:31:30"/>
  </r>
  <r>
    <x v="11"/>
    <x v="0"/>
    <n v="35.76"/>
    <x v="1"/>
    <x v="2"/>
    <x v="6"/>
    <x v="8"/>
    <n v="4"/>
    <n v="11"/>
    <x v="255"/>
    <d v="1899-12-30T00:32:31"/>
  </r>
  <r>
    <x v="15"/>
    <x v="0"/>
    <n v="35.76"/>
    <x v="0"/>
    <x v="2"/>
    <x v="6"/>
    <x v="8"/>
    <n v="4"/>
    <n v="11"/>
    <x v="255"/>
    <d v="1899-12-30T00:24:32"/>
  </r>
  <r>
    <x v="13"/>
    <x v="0"/>
    <n v="35.76"/>
    <x v="0"/>
    <x v="2"/>
    <x v="6"/>
    <x v="8"/>
    <n v="4"/>
    <n v="11"/>
    <x v="255"/>
    <d v="1899-12-30T00:40:42"/>
  </r>
  <r>
    <x v="12"/>
    <x v="0"/>
    <n v="30.86"/>
    <x v="3"/>
    <x v="0"/>
    <x v="0"/>
    <x v="8"/>
    <n v="5"/>
    <n v="11"/>
    <x v="256"/>
    <d v="1899-12-30T00:45:51"/>
  </r>
  <r>
    <x v="7"/>
    <x v="0"/>
    <n v="30.86"/>
    <x v="3"/>
    <x v="0"/>
    <x v="0"/>
    <x v="8"/>
    <n v="5"/>
    <n v="11"/>
    <x v="256"/>
    <d v="1899-12-30T00:05:53"/>
  </r>
  <r>
    <x v="1"/>
    <x v="0"/>
    <n v="35.76"/>
    <x v="4"/>
    <x v="1"/>
    <x v="0"/>
    <x v="8"/>
    <n v="5"/>
    <n v="11"/>
    <x v="256"/>
    <d v="1899-12-30T00:09:01"/>
  </r>
  <r>
    <x v="1"/>
    <x v="0"/>
    <n v="35.76"/>
    <x v="4"/>
    <x v="1"/>
    <x v="0"/>
    <x v="8"/>
    <n v="5"/>
    <n v="11"/>
    <x v="256"/>
    <d v="1899-12-30T00:14:19"/>
  </r>
  <r>
    <x v="2"/>
    <x v="0"/>
    <n v="35.76"/>
    <x v="0"/>
    <x v="1"/>
    <x v="0"/>
    <x v="8"/>
    <n v="5"/>
    <n v="11"/>
    <x v="256"/>
    <d v="1899-12-30T00:57:34"/>
  </r>
  <r>
    <x v="3"/>
    <x v="0"/>
    <n v="25.96"/>
    <x v="2"/>
    <x v="1"/>
    <x v="0"/>
    <x v="8"/>
    <n v="5"/>
    <n v="11"/>
    <x v="256"/>
    <d v="1899-12-30T00:19:51"/>
  </r>
  <r>
    <x v="9"/>
    <x v="0"/>
    <n v="30.86"/>
    <x v="3"/>
    <x v="2"/>
    <x v="0"/>
    <x v="8"/>
    <n v="5"/>
    <n v="11"/>
    <x v="256"/>
    <d v="1899-12-30T00:35:41"/>
  </r>
  <r>
    <x v="9"/>
    <x v="0"/>
    <n v="35.76"/>
    <x v="0"/>
    <x v="2"/>
    <x v="0"/>
    <x v="8"/>
    <n v="5"/>
    <n v="11"/>
    <x v="256"/>
    <d v="1899-12-30T00:55:02"/>
  </r>
  <r>
    <x v="5"/>
    <x v="0"/>
    <n v="35.76"/>
    <x v="1"/>
    <x v="2"/>
    <x v="0"/>
    <x v="8"/>
    <n v="5"/>
    <n v="11"/>
    <x v="256"/>
    <d v="1899-12-30T00:12:45"/>
  </r>
  <r>
    <x v="5"/>
    <x v="0"/>
    <n v="30.86"/>
    <x v="3"/>
    <x v="2"/>
    <x v="0"/>
    <x v="8"/>
    <n v="5"/>
    <n v="11"/>
    <x v="256"/>
    <d v="1899-12-30T00:42:22"/>
  </r>
  <r>
    <x v="5"/>
    <x v="0"/>
    <n v="30.86"/>
    <x v="3"/>
    <x v="2"/>
    <x v="0"/>
    <x v="8"/>
    <n v="5"/>
    <n v="11"/>
    <x v="256"/>
    <d v="1899-12-30T00:43:21"/>
  </r>
  <r>
    <x v="0"/>
    <x v="0"/>
    <n v="25.96"/>
    <x v="5"/>
    <x v="0"/>
    <x v="1"/>
    <x v="8"/>
    <n v="6"/>
    <n v="11"/>
    <x v="257"/>
    <d v="1899-12-30T00:21:35"/>
  </r>
  <r>
    <x v="0"/>
    <x v="0"/>
    <n v="25.96"/>
    <x v="5"/>
    <x v="0"/>
    <x v="1"/>
    <x v="8"/>
    <n v="6"/>
    <n v="11"/>
    <x v="257"/>
    <d v="1899-12-30T00:45:51"/>
  </r>
  <r>
    <x v="7"/>
    <x v="0"/>
    <n v="35.76"/>
    <x v="1"/>
    <x v="0"/>
    <x v="1"/>
    <x v="8"/>
    <n v="6"/>
    <n v="11"/>
    <x v="257"/>
    <d v="1899-12-30T00:02:01"/>
  </r>
  <r>
    <x v="7"/>
    <x v="0"/>
    <n v="35.76"/>
    <x v="0"/>
    <x v="0"/>
    <x v="1"/>
    <x v="8"/>
    <n v="6"/>
    <n v="11"/>
    <x v="257"/>
    <d v="1899-12-30T00:03:07"/>
  </r>
  <r>
    <x v="7"/>
    <x v="0"/>
    <n v="25.96"/>
    <x v="2"/>
    <x v="0"/>
    <x v="1"/>
    <x v="8"/>
    <n v="6"/>
    <n v="11"/>
    <x v="257"/>
    <d v="1899-12-30T00:39:25"/>
  </r>
  <r>
    <x v="1"/>
    <x v="0"/>
    <n v="35.76"/>
    <x v="7"/>
    <x v="1"/>
    <x v="1"/>
    <x v="8"/>
    <n v="6"/>
    <n v="11"/>
    <x v="257"/>
    <d v="1899-12-30T00:30:15"/>
  </r>
  <r>
    <x v="1"/>
    <x v="0"/>
    <n v="30.86"/>
    <x v="3"/>
    <x v="1"/>
    <x v="1"/>
    <x v="8"/>
    <n v="6"/>
    <n v="11"/>
    <x v="257"/>
    <d v="1899-12-30T00:31:51"/>
  </r>
  <r>
    <x v="1"/>
    <x v="0"/>
    <n v="35.76"/>
    <x v="0"/>
    <x v="1"/>
    <x v="1"/>
    <x v="8"/>
    <n v="6"/>
    <n v="11"/>
    <x v="257"/>
    <d v="1899-12-30T00:48:36"/>
  </r>
  <r>
    <x v="1"/>
    <x v="0"/>
    <n v="35.76"/>
    <x v="0"/>
    <x v="1"/>
    <x v="1"/>
    <x v="8"/>
    <n v="6"/>
    <n v="11"/>
    <x v="257"/>
    <d v="1899-12-30T00:49:35"/>
  </r>
  <r>
    <x v="2"/>
    <x v="0"/>
    <n v="30.86"/>
    <x v="3"/>
    <x v="1"/>
    <x v="1"/>
    <x v="8"/>
    <n v="6"/>
    <n v="11"/>
    <x v="257"/>
    <d v="1899-12-30T00:16:56"/>
  </r>
  <r>
    <x v="2"/>
    <x v="0"/>
    <n v="35.76"/>
    <x v="0"/>
    <x v="1"/>
    <x v="1"/>
    <x v="8"/>
    <n v="6"/>
    <n v="11"/>
    <x v="257"/>
    <d v="1899-12-30T00:18:01"/>
  </r>
  <r>
    <x v="2"/>
    <x v="0"/>
    <n v="35.76"/>
    <x v="0"/>
    <x v="1"/>
    <x v="1"/>
    <x v="8"/>
    <n v="6"/>
    <n v="11"/>
    <x v="257"/>
    <d v="1899-12-30T00:19:09"/>
  </r>
  <r>
    <x v="8"/>
    <x v="0"/>
    <n v="30.86"/>
    <x v="3"/>
    <x v="1"/>
    <x v="1"/>
    <x v="8"/>
    <n v="6"/>
    <n v="11"/>
    <x v="257"/>
    <d v="1899-12-30T00:25:47"/>
  </r>
  <r>
    <x v="0"/>
    <x v="0"/>
    <n v="30.86"/>
    <x v="3"/>
    <x v="0"/>
    <x v="2"/>
    <x v="8"/>
    <n v="7"/>
    <n v="11"/>
    <x v="258"/>
    <d v="1899-12-30T00:29:37"/>
  </r>
  <r>
    <x v="2"/>
    <x v="0"/>
    <n v="30.86"/>
    <x v="3"/>
    <x v="1"/>
    <x v="2"/>
    <x v="8"/>
    <n v="7"/>
    <n v="11"/>
    <x v="258"/>
    <d v="1899-12-30T00:35:20"/>
  </r>
  <r>
    <x v="8"/>
    <x v="0"/>
    <n v="25.96"/>
    <x v="2"/>
    <x v="1"/>
    <x v="2"/>
    <x v="8"/>
    <n v="7"/>
    <n v="11"/>
    <x v="258"/>
    <d v="1899-12-30T00:18:42"/>
  </r>
  <r>
    <x v="8"/>
    <x v="0"/>
    <n v="30.86"/>
    <x v="3"/>
    <x v="1"/>
    <x v="2"/>
    <x v="8"/>
    <n v="7"/>
    <n v="11"/>
    <x v="258"/>
    <d v="1899-12-30T00:33:40"/>
  </r>
  <r>
    <x v="4"/>
    <x v="0"/>
    <n v="35.76"/>
    <x v="0"/>
    <x v="1"/>
    <x v="2"/>
    <x v="8"/>
    <n v="7"/>
    <n v="11"/>
    <x v="258"/>
    <d v="1899-12-30T00:27:26"/>
  </r>
  <r>
    <x v="4"/>
    <x v="0"/>
    <n v="35.76"/>
    <x v="0"/>
    <x v="1"/>
    <x v="2"/>
    <x v="8"/>
    <n v="7"/>
    <n v="11"/>
    <x v="258"/>
    <d v="1899-12-30T00:28:36"/>
  </r>
  <r>
    <x v="5"/>
    <x v="0"/>
    <n v="35.76"/>
    <x v="1"/>
    <x v="2"/>
    <x v="2"/>
    <x v="8"/>
    <n v="7"/>
    <n v="11"/>
    <x v="258"/>
    <d v="1899-12-30T00:10:07"/>
  </r>
  <r>
    <x v="6"/>
    <x v="0"/>
    <n v="35.76"/>
    <x v="1"/>
    <x v="2"/>
    <x v="2"/>
    <x v="8"/>
    <n v="7"/>
    <n v="11"/>
    <x v="258"/>
    <d v="1899-12-30T00:17:34"/>
  </r>
  <r>
    <x v="6"/>
    <x v="0"/>
    <n v="35.76"/>
    <x v="1"/>
    <x v="2"/>
    <x v="2"/>
    <x v="8"/>
    <n v="7"/>
    <n v="11"/>
    <x v="258"/>
    <d v="1899-12-30T00:18:28"/>
  </r>
  <r>
    <x v="14"/>
    <x v="0"/>
    <n v="30.86"/>
    <x v="3"/>
    <x v="0"/>
    <x v="3"/>
    <x v="8"/>
    <n v="1"/>
    <n v="11"/>
    <x v="259"/>
    <d v="1899-12-30T00:52:20"/>
  </r>
  <r>
    <x v="14"/>
    <x v="0"/>
    <n v="30.86"/>
    <x v="3"/>
    <x v="0"/>
    <x v="3"/>
    <x v="8"/>
    <n v="1"/>
    <n v="11"/>
    <x v="259"/>
    <d v="1899-12-30T00:53:16"/>
  </r>
  <r>
    <x v="14"/>
    <x v="0"/>
    <n v="35.76"/>
    <x v="0"/>
    <x v="0"/>
    <x v="3"/>
    <x v="8"/>
    <n v="1"/>
    <n v="11"/>
    <x v="259"/>
    <d v="1899-12-30T00:57:22"/>
  </r>
  <r>
    <x v="4"/>
    <x v="0"/>
    <n v="35.76"/>
    <x v="0"/>
    <x v="1"/>
    <x v="3"/>
    <x v="8"/>
    <n v="1"/>
    <n v="11"/>
    <x v="259"/>
    <d v="1899-12-30T00:44:49"/>
  </r>
  <r>
    <x v="4"/>
    <x v="0"/>
    <n v="35.76"/>
    <x v="0"/>
    <x v="1"/>
    <x v="3"/>
    <x v="8"/>
    <n v="1"/>
    <n v="11"/>
    <x v="259"/>
    <d v="1899-12-30T00:46:53"/>
  </r>
  <r>
    <x v="5"/>
    <x v="0"/>
    <n v="35.76"/>
    <x v="0"/>
    <x v="2"/>
    <x v="3"/>
    <x v="8"/>
    <n v="1"/>
    <n v="11"/>
    <x v="259"/>
    <d v="1899-12-30T00:50:54"/>
  </r>
  <r>
    <x v="14"/>
    <x v="0"/>
    <n v="35.76"/>
    <x v="4"/>
    <x v="0"/>
    <x v="4"/>
    <x v="8"/>
    <n v="2"/>
    <n v="11"/>
    <x v="260"/>
    <d v="1899-12-30T00:49:01"/>
  </r>
  <r>
    <x v="14"/>
    <x v="0"/>
    <n v="30.86"/>
    <x v="3"/>
    <x v="0"/>
    <x v="4"/>
    <x v="8"/>
    <n v="2"/>
    <n v="11"/>
    <x v="260"/>
    <d v="1899-12-30T00:51:14"/>
  </r>
  <r>
    <x v="14"/>
    <x v="0"/>
    <n v="35.76"/>
    <x v="0"/>
    <x v="0"/>
    <x v="4"/>
    <x v="8"/>
    <n v="2"/>
    <n v="11"/>
    <x v="260"/>
    <d v="1899-12-30T00:52:13"/>
  </r>
  <r>
    <x v="14"/>
    <x v="0"/>
    <n v="21.06"/>
    <x v="6"/>
    <x v="0"/>
    <x v="4"/>
    <x v="8"/>
    <n v="2"/>
    <n v="11"/>
    <x v="260"/>
    <d v="1899-12-30T00:53:38"/>
  </r>
  <r>
    <x v="14"/>
    <x v="0"/>
    <n v="35.76"/>
    <x v="0"/>
    <x v="0"/>
    <x v="4"/>
    <x v="8"/>
    <n v="2"/>
    <n v="11"/>
    <x v="260"/>
    <d v="1899-12-30T00:54:47"/>
  </r>
  <r>
    <x v="0"/>
    <x v="0"/>
    <n v="30.86"/>
    <x v="3"/>
    <x v="0"/>
    <x v="4"/>
    <x v="8"/>
    <n v="2"/>
    <n v="11"/>
    <x v="260"/>
    <d v="1899-12-30T00:29:23"/>
  </r>
  <r>
    <x v="7"/>
    <x v="0"/>
    <n v="35.76"/>
    <x v="0"/>
    <x v="0"/>
    <x v="4"/>
    <x v="8"/>
    <n v="2"/>
    <n v="11"/>
    <x v="260"/>
    <d v="1899-12-30T00:07:09"/>
  </r>
  <r>
    <x v="4"/>
    <x v="0"/>
    <n v="35.76"/>
    <x v="4"/>
    <x v="1"/>
    <x v="4"/>
    <x v="8"/>
    <n v="2"/>
    <n v="11"/>
    <x v="260"/>
    <d v="1899-12-30T00:22:41"/>
  </r>
  <r>
    <x v="4"/>
    <x v="0"/>
    <n v="35.76"/>
    <x v="4"/>
    <x v="1"/>
    <x v="4"/>
    <x v="8"/>
    <n v="2"/>
    <n v="11"/>
    <x v="260"/>
    <d v="1899-12-30T00:23:59"/>
  </r>
  <r>
    <x v="4"/>
    <x v="0"/>
    <n v="35.76"/>
    <x v="7"/>
    <x v="1"/>
    <x v="4"/>
    <x v="8"/>
    <n v="2"/>
    <n v="11"/>
    <x v="260"/>
    <d v="1899-12-30T00:41:04"/>
  </r>
  <r>
    <x v="4"/>
    <x v="0"/>
    <n v="35.76"/>
    <x v="7"/>
    <x v="1"/>
    <x v="4"/>
    <x v="8"/>
    <n v="2"/>
    <n v="11"/>
    <x v="260"/>
    <d v="1899-12-30T00:47:41"/>
  </r>
  <r>
    <x v="2"/>
    <x v="0"/>
    <n v="30.86"/>
    <x v="3"/>
    <x v="1"/>
    <x v="5"/>
    <x v="8"/>
    <n v="3"/>
    <n v="11"/>
    <x v="261"/>
    <d v="1899-12-30T00:29:39"/>
  </r>
  <r>
    <x v="4"/>
    <x v="0"/>
    <n v="35.76"/>
    <x v="0"/>
    <x v="1"/>
    <x v="5"/>
    <x v="8"/>
    <n v="3"/>
    <n v="11"/>
    <x v="261"/>
    <d v="1899-12-30T00:34:50"/>
  </r>
  <r>
    <x v="9"/>
    <x v="0"/>
    <n v="35.76"/>
    <x v="7"/>
    <x v="2"/>
    <x v="5"/>
    <x v="8"/>
    <n v="3"/>
    <n v="11"/>
    <x v="261"/>
    <d v="1899-12-30T00:49:52"/>
  </r>
  <r>
    <x v="9"/>
    <x v="0"/>
    <n v="35.76"/>
    <x v="1"/>
    <x v="2"/>
    <x v="5"/>
    <x v="8"/>
    <n v="3"/>
    <n v="11"/>
    <x v="261"/>
    <d v="1899-12-30T00:50:50"/>
  </r>
  <r>
    <x v="7"/>
    <x v="0"/>
    <n v="25.96"/>
    <x v="5"/>
    <x v="0"/>
    <x v="6"/>
    <x v="8"/>
    <n v="4"/>
    <n v="11"/>
    <x v="262"/>
    <d v="1899-12-30T00:06:11"/>
  </r>
  <r>
    <x v="1"/>
    <x v="0"/>
    <n v="35.76"/>
    <x v="0"/>
    <x v="1"/>
    <x v="6"/>
    <x v="8"/>
    <n v="4"/>
    <n v="11"/>
    <x v="262"/>
    <d v="1899-12-30T00:33:36"/>
  </r>
  <r>
    <x v="1"/>
    <x v="0"/>
    <n v="35.76"/>
    <x v="4"/>
    <x v="1"/>
    <x v="6"/>
    <x v="8"/>
    <n v="4"/>
    <n v="11"/>
    <x v="262"/>
    <d v="1899-12-30T00:59:45"/>
  </r>
  <r>
    <x v="2"/>
    <x v="0"/>
    <n v="35.76"/>
    <x v="4"/>
    <x v="1"/>
    <x v="6"/>
    <x v="8"/>
    <n v="4"/>
    <n v="11"/>
    <x v="262"/>
    <d v="1899-12-30T00:00:47"/>
  </r>
  <r>
    <x v="4"/>
    <x v="0"/>
    <n v="35.76"/>
    <x v="0"/>
    <x v="1"/>
    <x v="6"/>
    <x v="8"/>
    <n v="4"/>
    <n v="11"/>
    <x v="262"/>
    <d v="1899-12-30T00:14:14"/>
  </r>
  <r>
    <x v="9"/>
    <x v="0"/>
    <n v="30.86"/>
    <x v="3"/>
    <x v="2"/>
    <x v="6"/>
    <x v="8"/>
    <n v="4"/>
    <n v="11"/>
    <x v="262"/>
    <d v="1899-12-30T00:35:27"/>
  </r>
  <r>
    <x v="9"/>
    <x v="0"/>
    <n v="25.96"/>
    <x v="5"/>
    <x v="2"/>
    <x v="6"/>
    <x v="8"/>
    <n v="4"/>
    <n v="11"/>
    <x v="262"/>
    <d v="1899-12-30T00:39:23"/>
  </r>
  <r>
    <x v="6"/>
    <x v="0"/>
    <n v="35.76"/>
    <x v="1"/>
    <x v="2"/>
    <x v="6"/>
    <x v="8"/>
    <n v="4"/>
    <n v="11"/>
    <x v="262"/>
    <d v="1899-12-30T00:01:03"/>
  </r>
  <r>
    <x v="14"/>
    <x v="0"/>
    <n v="35.76"/>
    <x v="0"/>
    <x v="0"/>
    <x v="0"/>
    <x v="8"/>
    <n v="5"/>
    <n v="11"/>
    <x v="263"/>
    <d v="1899-12-30T00:50:36"/>
  </r>
  <r>
    <x v="0"/>
    <x v="0"/>
    <n v="35.76"/>
    <x v="7"/>
    <x v="0"/>
    <x v="0"/>
    <x v="8"/>
    <n v="5"/>
    <n v="11"/>
    <x v="263"/>
    <d v="1899-12-30T00:03:43"/>
  </r>
  <r>
    <x v="7"/>
    <x v="0"/>
    <n v="35.76"/>
    <x v="0"/>
    <x v="0"/>
    <x v="0"/>
    <x v="8"/>
    <n v="5"/>
    <n v="11"/>
    <x v="263"/>
    <d v="1899-12-30T00:02:32"/>
  </r>
  <r>
    <x v="7"/>
    <x v="0"/>
    <n v="35.76"/>
    <x v="4"/>
    <x v="0"/>
    <x v="0"/>
    <x v="8"/>
    <n v="5"/>
    <n v="11"/>
    <x v="263"/>
    <d v="1899-12-30T00:24:26"/>
  </r>
  <r>
    <x v="4"/>
    <x v="0"/>
    <n v="35.76"/>
    <x v="1"/>
    <x v="1"/>
    <x v="0"/>
    <x v="8"/>
    <n v="5"/>
    <n v="11"/>
    <x v="263"/>
    <d v="1899-12-30T00:33:05"/>
  </r>
  <r>
    <x v="4"/>
    <x v="0"/>
    <n v="35.76"/>
    <x v="0"/>
    <x v="1"/>
    <x v="0"/>
    <x v="8"/>
    <n v="5"/>
    <n v="11"/>
    <x v="263"/>
    <d v="1899-12-30T00:33:50"/>
  </r>
  <r>
    <x v="10"/>
    <x v="0"/>
    <n v="25.96"/>
    <x v="5"/>
    <x v="0"/>
    <x v="1"/>
    <x v="8"/>
    <n v="6"/>
    <n v="11"/>
    <x v="264"/>
    <d v="1899-12-30T00:10:46"/>
  </r>
  <r>
    <x v="10"/>
    <x v="0"/>
    <n v="25.96"/>
    <x v="5"/>
    <x v="0"/>
    <x v="1"/>
    <x v="8"/>
    <n v="6"/>
    <n v="11"/>
    <x v="264"/>
    <d v="1899-12-30T00:11:49"/>
  </r>
  <r>
    <x v="0"/>
    <x v="0"/>
    <n v="35.76"/>
    <x v="0"/>
    <x v="0"/>
    <x v="1"/>
    <x v="8"/>
    <n v="6"/>
    <n v="11"/>
    <x v="264"/>
    <d v="1899-12-30T00:05:16"/>
  </r>
  <r>
    <x v="7"/>
    <x v="0"/>
    <n v="35.76"/>
    <x v="7"/>
    <x v="0"/>
    <x v="1"/>
    <x v="8"/>
    <n v="6"/>
    <n v="11"/>
    <x v="264"/>
    <d v="1899-12-30T00:03:00"/>
  </r>
  <r>
    <x v="7"/>
    <x v="0"/>
    <n v="25.96"/>
    <x v="2"/>
    <x v="0"/>
    <x v="1"/>
    <x v="8"/>
    <n v="6"/>
    <n v="11"/>
    <x v="264"/>
    <d v="1899-12-30T00:09:28"/>
  </r>
  <r>
    <x v="7"/>
    <x v="0"/>
    <n v="25.96"/>
    <x v="2"/>
    <x v="0"/>
    <x v="1"/>
    <x v="8"/>
    <n v="6"/>
    <n v="11"/>
    <x v="264"/>
    <d v="1899-12-30T00:10:26"/>
  </r>
  <r>
    <x v="7"/>
    <x v="0"/>
    <n v="35.76"/>
    <x v="1"/>
    <x v="0"/>
    <x v="1"/>
    <x v="8"/>
    <n v="6"/>
    <n v="11"/>
    <x v="264"/>
    <d v="1899-12-30T00:41:28"/>
  </r>
  <r>
    <x v="13"/>
    <x v="0"/>
    <n v="35.76"/>
    <x v="0"/>
    <x v="2"/>
    <x v="1"/>
    <x v="8"/>
    <n v="6"/>
    <n v="11"/>
    <x v="264"/>
    <d v="1899-12-30T00:37:04"/>
  </r>
  <r>
    <x v="12"/>
    <x v="0"/>
    <n v="35.76"/>
    <x v="0"/>
    <x v="0"/>
    <x v="2"/>
    <x v="8"/>
    <n v="7"/>
    <n v="11"/>
    <x v="265"/>
    <d v="1899-12-30T00:17:08"/>
  </r>
  <r>
    <x v="14"/>
    <x v="0"/>
    <n v="35.76"/>
    <x v="7"/>
    <x v="0"/>
    <x v="3"/>
    <x v="8"/>
    <n v="1"/>
    <n v="11"/>
    <x v="266"/>
    <d v="1899-12-30T00:49:18"/>
  </r>
  <r>
    <x v="14"/>
    <x v="0"/>
    <n v="35.76"/>
    <x v="0"/>
    <x v="0"/>
    <x v="3"/>
    <x v="8"/>
    <n v="1"/>
    <n v="11"/>
    <x v="266"/>
    <d v="1899-12-30T00:54:24"/>
  </r>
  <r>
    <x v="10"/>
    <x v="0"/>
    <n v="30.86"/>
    <x v="3"/>
    <x v="0"/>
    <x v="3"/>
    <x v="8"/>
    <n v="1"/>
    <n v="11"/>
    <x v="266"/>
    <d v="1899-12-30T00:12:21"/>
  </r>
  <r>
    <x v="0"/>
    <x v="0"/>
    <n v="25.96"/>
    <x v="5"/>
    <x v="0"/>
    <x v="3"/>
    <x v="8"/>
    <n v="1"/>
    <n v="11"/>
    <x v="266"/>
    <d v="1899-12-30T00:38:08"/>
  </r>
  <r>
    <x v="1"/>
    <x v="0"/>
    <n v="35.76"/>
    <x v="0"/>
    <x v="1"/>
    <x v="3"/>
    <x v="8"/>
    <n v="1"/>
    <n v="11"/>
    <x v="266"/>
    <d v="1899-12-30T00:50:58"/>
  </r>
  <r>
    <x v="1"/>
    <x v="0"/>
    <n v="35.76"/>
    <x v="0"/>
    <x v="1"/>
    <x v="3"/>
    <x v="8"/>
    <n v="1"/>
    <n v="11"/>
    <x v="266"/>
    <d v="1899-12-30T00:52:41"/>
  </r>
  <r>
    <x v="4"/>
    <x v="0"/>
    <n v="35.76"/>
    <x v="1"/>
    <x v="1"/>
    <x v="3"/>
    <x v="8"/>
    <n v="1"/>
    <n v="11"/>
    <x v="266"/>
    <d v="1899-12-30T00:30:57"/>
  </r>
  <r>
    <x v="6"/>
    <x v="0"/>
    <n v="30.86"/>
    <x v="3"/>
    <x v="2"/>
    <x v="3"/>
    <x v="8"/>
    <n v="1"/>
    <n v="11"/>
    <x v="266"/>
    <d v="1899-12-30T00:01:59"/>
  </r>
  <r>
    <x v="6"/>
    <x v="0"/>
    <n v="35.76"/>
    <x v="1"/>
    <x v="2"/>
    <x v="3"/>
    <x v="8"/>
    <n v="1"/>
    <n v="11"/>
    <x v="266"/>
    <d v="1899-12-30T00:37:59"/>
  </r>
  <r>
    <x v="15"/>
    <x v="0"/>
    <n v="35.76"/>
    <x v="1"/>
    <x v="2"/>
    <x v="3"/>
    <x v="8"/>
    <n v="1"/>
    <n v="11"/>
    <x v="266"/>
    <d v="1899-12-30T00:42:15"/>
  </r>
  <r>
    <x v="15"/>
    <x v="0"/>
    <n v="35.76"/>
    <x v="7"/>
    <x v="2"/>
    <x v="3"/>
    <x v="8"/>
    <n v="1"/>
    <n v="11"/>
    <x v="266"/>
    <d v="1899-12-30T00:43:01"/>
  </r>
  <r>
    <x v="14"/>
    <x v="0"/>
    <n v="35.76"/>
    <x v="0"/>
    <x v="0"/>
    <x v="4"/>
    <x v="8"/>
    <n v="2"/>
    <n v="11"/>
    <x v="267"/>
    <d v="1899-12-30T00:54:38"/>
  </r>
  <r>
    <x v="7"/>
    <x v="0"/>
    <n v="35.76"/>
    <x v="4"/>
    <x v="0"/>
    <x v="4"/>
    <x v="8"/>
    <n v="2"/>
    <n v="11"/>
    <x v="267"/>
    <d v="1899-12-30T00:02:56"/>
  </r>
  <r>
    <x v="7"/>
    <x v="0"/>
    <n v="25.96"/>
    <x v="2"/>
    <x v="0"/>
    <x v="4"/>
    <x v="8"/>
    <n v="2"/>
    <n v="11"/>
    <x v="267"/>
    <d v="1899-12-30T00:03:47"/>
  </r>
  <r>
    <x v="7"/>
    <x v="0"/>
    <n v="35.76"/>
    <x v="4"/>
    <x v="0"/>
    <x v="4"/>
    <x v="8"/>
    <n v="2"/>
    <n v="11"/>
    <x v="267"/>
    <d v="1899-12-30T00:06:09"/>
  </r>
  <r>
    <x v="7"/>
    <x v="0"/>
    <n v="35.76"/>
    <x v="4"/>
    <x v="0"/>
    <x v="4"/>
    <x v="8"/>
    <n v="2"/>
    <n v="11"/>
    <x v="267"/>
    <d v="1899-12-30T00:07:10"/>
  </r>
  <r>
    <x v="4"/>
    <x v="0"/>
    <n v="35.76"/>
    <x v="0"/>
    <x v="1"/>
    <x v="4"/>
    <x v="8"/>
    <n v="2"/>
    <n v="11"/>
    <x v="267"/>
    <d v="1899-12-30T00:03:54"/>
  </r>
  <r>
    <x v="4"/>
    <x v="0"/>
    <n v="35.76"/>
    <x v="0"/>
    <x v="1"/>
    <x v="4"/>
    <x v="8"/>
    <n v="2"/>
    <n v="11"/>
    <x v="267"/>
    <d v="1899-12-30T00:05:01"/>
  </r>
  <r>
    <x v="9"/>
    <x v="0"/>
    <n v="25.96"/>
    <x v="2"/>
    <x v="2"/>
    <x v="4"/>
    <x v="8"/>
    <n v="2"/>
    <n v="11"/>
    <x v="267"/>
    <d v="1899-12-30T00:11:38"/>
  </r>
  <r>
    <x v="9"/>
    <x v="0"/>
    <n v="30.86"/>
    <x v="3"/>
    <x v="2"/>
    <x v="4"/>
    <x v="8"/>
    <n v="2"/>
    <n v="11"/>
    <x v="267"/>
    <d v="1899-12-30T00:12:34"/>
  </r>
  <r>
    <x v="6"/>
    <x v="0"/>
    <n v="35.76"/>
    <x v="4"/>
    <x v="2"/>
    <x v="4"/>
    <x v="8"/>
    <n v="2"/>
    <n v="11"/>
    <x v="267"/>
    <d v="1899-12-30T00:47:25"/>
  </r>
  <r>
    <x v="12"/>
    <x v="0"/>
    <n v="35.76"/>
    <x v="7"/>
    <x v="0"/>
    <x v="6"/>
    <x v="8"/>
    <n v="4"/>
    <n v="11"/>
    <x v="268"/>
    <d v="1899-12-30T00:41:17"/>
  </r>
  <r>
    <x v="10"/>
    <x v="0"/>
    <n v="30.86"/>
    <x v="3"/>
    <x v="0"/>
    <x v="6"/>
    <x v="8"/>
    <n v="4"/>
    <n v="11"/>
    <x v="268"/>
    <d v="1899-12-30T00:14:01"/>
  </r>
  <r>
    <x v="11"/>
    <x v="0"/>
    <n v="30.86"/>
    <x v="3"/>
    <x v="2"/>
    <x v="6"/>
    <x v="8"/>
    <n v="4"/>
    <n v="11"/>
    <x v="268"/>
    <d v="1899-12-30T00:24:42"/>
  </r>
  <r>
    <x v="11"/>
    <x v="0"/>
    <n v="35.76"/>
    <x v="0"/>
    <x v="2"/>
    <x v="6"/>
    <x v="8"/>
    <n v="4"/>
    <n v="11"/>
    <x v="268"/>
    <d v="1899-12-30T00:25:46"/>
  </r>
  <r>
    <x v="11"/>
    <x v="0"/>
    <n v="35.76"/>
    <x v="0"/>
    <x v="2"/>
    <x v="6"/>
    <x v="8"/>
    <n v="4"/>
    <n v="11"/>
    <x v="268"/>
    <d v="1899-12-30T00:55:00"/>
  </r>
  <r>
    <x v="13"/>
    <x v="0"/>
    <n v="35.76"/>
    <x v="7"/>
    <x v="2"/>
    <x v="6"/>
    <x v="8"/>
    <n v="4"/>
    <n v="11"/>
    <x v="268"/>
    <d v="1899-12-30T00:00:16"/>
  </r>
  <r>
    <x v="14"/>
    <x v="0"/>
    <n v="35.76"/>
    <x v="4"/>
    <x v="0"/>
    <x v="0"/>
    <x v="8"/>
    <n v="5"/>
    <n v="11"/>
    <x v="269"/>
    <d v="1899-12-30T00:53:16"/>
  </r>
  <r>
    <x v="14"/>
    <x v="0"/>
    <n v="35.76"/>
    <x v="0"/>
    <x v="0"/>
    <x v="0"/>
    <x v="8"/>
    <n v="5"/>
    <n v="11"/>
    <x v="269"/>
    <d v="1899-12-30T00:57:42"/>
  </r>
  <r>
    <x v="10"/>
    <x v="0"/>
    <n v="30.86"/>
    <x v="3"/>
    <x v="0"/>
    <x v="0"/>
    <x v="8"/>
    <n v="5"/>
    <n v="11"/>
    <x v="269"/>
    <d v="1899-12-30T00:07:32"/>
  </r>
  <r>
    <x v="10"/>
    <x v="0"/>
    <n v="30.86"/>
    <x v="3"/>
    <x v="0"/>
    <x v="0"/>
    <x v="8"/>
    <n v="5"/>
    <n v="11"/>
    <x v="269"/>
    <d v="1899-12-30T00:08:30"/>
  </r>
  <r>
    <x v="3"/>
    <x v="0"/>
    <n v="30.86"/>
    <x v="3"/>
    <x v="1"/>
    <x v="0"/>
    <x v="8"/>
    <n v="5"/>
    <n v="11"/>
    <x v="269"/>
    <d v="1899-12-30T00:18:07"/>
  </r>
  <r>
    <x v="3"/>
    <x v="0"/>
    <n v="35.76"/>
    <x v="0"/>
    <x v="1"/>
    <x v="0"/>
    <x v="8"/>
    <n v="5"/>
    <n v="11"/>
    <x v="269"/>
    <d v="1899-12-30T00:19:20"/>
  </r>
  <r>
    <x v="11"/>
    <x v="0"/>
    <n v="35.76"/>
    <x v="4"/>
    <x v="2"/>
    <x v="0"/>
    <x v="8"/>
    <n v="5"/>
    <n v="11"/>
    <x v="269"/>
    <d v="1899-12-30T00:57:55"/>
  </r>
  <r>
    <x v="1"/>
    <x v="0"/>
    <n v="35.76"/>
    <x v="4"/>
    <x v="1"/>
    <x v="1"/>
    <x v="8"/>
    <n v="6"/>
    <n v="11"/>
    <x v="270"/>
    <d v="1899-12-30T00:58:12"/>
  </r>
  <r>
    <x v="8"/>
    <x v="0"/>
    <n v="25.96"/>
    <x v="2"/>
    <x v="1"/>
    <x v="1"/>
    <x v="8"/>
    <n v="6"/>
    <n v="11"/>
    <x v="270"/>
    <d v="1899-12-30T00:04:56"/>
  </r>
  <r>
    <x v="8"/>
    <x v="0"/>
    <n v="35.76"/>
    <x v="1"/>
    <x v="1"/>
    <x v="1"/>
    <x v="8"/>
    <n v="6"/>
    <n v="11"/>
    <x v="270"/>
    <d v="1899-12-30T00:05:58"/>
  </r>
  <r>
    <x v="8"/>
    <x v="0"/>
    <n v="35.76"/>
    <x v="4"/>
    <x v="1"/>
    <x v="1"/>
    <x v="8"/>
    <n v="6"/>
    <n v="11"/>
    <x v="270"/>
    <d v="1899-12-30T00:16:52"/>
  </r>
  <r>
    <x v="3"/>
    <x v="0"/>
    <n v="30.86"/>
    <x v="3"/>
    <x v="1"/>
    <x v="1"/>
    <x v="8"/>
    <n v="6"/>
    <n v="11"/>
    <x v="270"/>
    <d v="1899-12-30T00:33:44"/>
  </r>
  <r>
    <x v="13"/>
    <x v="0"/>
    <n v="30.86"/>
    <x v="3"/>
    <x v="2"/>
    <x v="1"/>
    <x v="8"/>
    <n v="6"/>
    <n v="11"/>
    <x v="270"/>
    <d v="1899-12-30T00:03:49"/>
  </r>
  <r>
    <x v="0"/>
    <x v="0"/>
    <n v="30.86"/>
    <x v="3"/>
    <x v="0"/>
    <x v="2"/>
    <x v="9"/>
    <n v="7"/>
    <n v="12"/>
    <x v="271"/>
    <d v="1899-12-30T00:15:32"/>
  </r>
  <r>
    <x v="0"/>
    <x v="0"/>
    <n v="30.86"/>
    <x v="3"/>
    <x v="0"/>
    <x v="2"/>
    <x v="9"/>
    <n v="7"/>
    <n v="12"/>
    <x v="271"/>
    <d v="1899-12-30T00:16:32"/>
  </r>
  <r>
    <x v="0"/>
    <x v="0"/>
    <n v="30.86"/>
    <x v="3"/>
    <x v="0"/>
    <x v="2"/>
    <x v="9"/>
    <n v="7"/>
    <n v="12"/>
    <x v="271"/>
    <d v="1899-12-30T00:22:47"/>
  </r>
  <r>
    <x v="8"/>
    <x v="0"/>
    <n v="30.86"/>
    <x v="3"/>
    <x v="1"/>
    <x v="2"/>
    <x v="9"/>
    <n v="7"/>
    <n v="12"/>
    <x v="271"/>
    <d v="1899-12-30T00:34:23"/>
  </r>
  <r>
    <x v="3"/>
    <x v="0"/>
    <n v="35.76"/>
    <x v="4"/>
    <x v="1"/>
    <x v="2"/>
    <x v="9"/>
    <n v="7"/>
    <n v="12"/>
    <x v="271"/>
    <d v="1899-12-30T00:09:13"/>
  </r>
  <r>
    <x v="3"/>
    <x v="0"/>
    <n v="35.76"/>
    <x v="4"/>
    <x v="1"/>
    <x v="2"/>
    <x v="9"/>
    <n v="7"/>
    <n v="12"/>
    <x v="271"/>
    <d v="1899-12-30T00:09:57"/>
  </r>
  <r>
    <x v="3"/>
    <x v="0"/>
    <n v="35.76"/>
    <x v="7"/>
    <x v="1"/>
    <x v="2"/>
    <x v="9"/>
    <n v="7"/>
    <n v="12"/>
    <x v="271"/>
    <d v="1899-12-30T00:43:02"/>
  </r>
  <r>
    <x v="3"/>
    <x v="0"/>
    <n v="35.76"/>
    <x v="0"/>
    <x v="1"/>
    <x v="2"/>
    <x v="9"/>
    <n v="7"/>
    <n v="12"/>
    <x v="271"/>
    <d v="1899-12-30T00:56:31"/>
  </r>
  <r>
    <x v="3"/>
    <x v="0"/>
    <n v="35.76"/>
    <x v="0"/>
    <x v="1"/>
    <x v="2"/>
    <x v="9"/>
    <n v="7"/>
    <n v="12"/>
    <x v="271"/>
    <d v="1899-12-30T00:57:49"/>
  </r>
  <r>
    <x v="4"/>
    <x v="0"/>
    <n v="35.76"/>
    <x v="0"/>
    <x v="1"/>
    <x v="2"/>
    <x v="9"/>
    <n v="7"/>
    <n v="12"/>
    <x v="271"/>
    <d v="1899-12-30T00:33:00"/>
  </r>
  <r>
    <x v="4"/>
    <x v="0"/>
    <n v="35.76"/>
    <x v="0"/>
    <x v="1"/>
    <x v="2"/>
    <x v="9"/>
    <n v="7"/>
    <n v="12"/>
    <x v="271"/>
    <d v="1899-12-30T00:34:30"/>
  </r>
  <r>
    <x v="9"/>
    <x v="0"/>
    <n v="30.86"/>
    <x v="3"/>
    <x v="2"/>
    <x v="2"/>
    <x v="9"/>
    <n v="7"/>
    <n v="12"/>
    <x v="271"/>
    <d v="1899-12-30T00:10:24"/>
  </r>
  <r>
    <x v="9"/>
    <x v="0"/>
    <n v="30.86"/>
    <x v="3"/>
    <x v="2"/>
    <x v="2"/>
    <x v="9"/>
    <n v="7"/>
    <n v="12"/>
    <x v="271"/>
    <d v="1899-12-30T00:11:32"/>
  </r>
  <r>
    <x v="5"/>
    <x v="0"/>
    <n v="30.86"/>
    <x v="3"/>
    <x v="2"/>
    <x v="2"/>
    <x v="9"/>
    <n v="7"/>
    <n v="12"/>
    <x v="271"/>
    <d v="1899-12-30T00:38:29"/>
  </r>
  <r>
    <x v="14"/>
    <x v="0"/>
    <n v="35.76"/>
    <x v="0"/>
    <x v="0"/>
    <x v="3"/>
    <x v="9"/>
    <n v="1"/>
    <n v="12"/>
    <x v="272"/>
    <d v="1899-12-30T00:50:37"/>
  </r>
  <r>
    <x v="14"/>
    <x v="0"/>
    <n v="25.96"/>
    <x v="2"/>
    <x v="0"/>
    <x v="3"/>
    <x v="9"/>
    <n v="1"/>
    <n v="12"/>
    <x v="272"/>
    <d v="1899-12-30T00:51:59"/>
  </r>
  <r>
    <x v="12"/>
    <x v="0"/>
    <n v="30.86"/>
    <x v="3"/>
    <x v="0"/>
    <x v="3"/>
    <x v="9"/>
    <n v="1"/>
    <n v="12"/>
    <x v="272"/>
    <d v="1899-12-30T00:21:30"/>
  </r>
  <r>
    <x v="12"/>
    <x v="0"/>
    <n v="35.76"/>
    <x v="4"/>
    <x v="0"/>
    <x v="3"/>
    <x v="9"/>
    <n v="1"/>
    <n v="12"/>
    <x v="272"/>
    <d v="1899-12-30T00:53:15"/>
  </r>
  <r>
    <x v="7"/>
    <x v="0"/>
    <n v="25.96"/>
    <x v="5"/>
    <x v="0"/>
    <x v="3"/>
    <x v="9"/>
    <n v="1"/>
    <n v="12"/>
    <x v="272"/>
    <d v="1899-12-30T00:04:25"/>
  </r>
  <r>
    <x v="3"/>
    <x v="0"/>
    <n v="21.06"/>
    <x v="6"/>
    <x v="1"/>
    <x v="3"/>
    <x v="9"/>
    <n v="1"/>
    <n v="12"/>
    <x v="272"/>
    <d v="1899-12-30T00:28:24"/>
  </r>
  <r>
    <x v="4"/>
    <x v="0"/>
    <n v="35.76"/>
    <x v="7"/>
    <x v="1"/>
    <x v="3"/>
    <x v="9"/>
    <n v="1"/>
    <n v="12"/>
    <x v="272"/>
    <d v="1899-12-30T00:12:24"/>
  </r>
  <r>
    <x v="9"/>
    <x v="0"/>
    <n v="25.96"/>
    <x v="2"/>
    <x v="2"/>
    <x v="3"/>
    <x v="9"/>
    <n v="1"/>
    <n v="12"/>
    <x v="272"/>
    <d v="1899-12-30T00:34:22"/>
  </r>
  <r>
    <x v="5"/>
    <x v="0"/>
    <n v="35.76"/>
    <x v="7"/>
    <x v="2"/>
    <x v="3"/>
    <x v="9"/>
    <n v="1"/>
    <n v="12"/>
    <x v="272"/>
    <d v="1899-12-30T00:00:32"/>
  </r>
  <r>
    <x v="12"/>
    <x v="0"/>
    <n v="35.76"/>
    <x v="0"/>
    <x v="0"/>
    <x v="4"/>
    <x v="9"/>
    <n v="2"/>
    <n v="12"/>
    <x v="273"/>
    <d v="1899-12-30T00:11:19"/>
  </r>
  <r>
    <x v="10"/>
    <x v="0"/>
    <n v="30.86"/>
    <x v="3"/>
    <x v="0"/>
    <x v="4"/>
    <x v="9"/>
    <n v="2"/>
    <n v="12"/>
    <x v="273"/>
    <d v="1899-12-30T00:23:31"/>
  </r>
  <r>
    <x v="10"/>
    <x v="0"/>
    <n v="30.86"/>
    <x v="3"/>
    <x v="0"/>
    <x v="4"/>
    <x v="9"/>
    <n v="2"/>
    <n v="12"/>
    <x v="273"/>
    <d v="1899-12-30T00:24:27"/>
  </r>
  <r>
    <x v="7"/>
    <x v="0"/>
    <n v="25.96"/>
    <x v="2"/>
    <x v="0"/>
    <x v="4"/>
    <x v="9"/>
    <n v="2"/>
    <n v="12"/>
    <x v="273"/>
    <d v="1899-12-30T00:17:58"/>
  </r>
  <r>
    <x v="7"/>
    <x v="0"/>
    <n v="30.86"/>
    <x v="3"/>
    <x v="0"/>
    <x v="4"/>
    <x v="9"/>
    <n v="2"/>
    <n v="12"/>
    <x v="273"/>
    <d v="1899-12-30T00:42:08"/>
  </r>
  <r>
    <x v="7"/>
    <x v="0"/>
    <n v="30.86"/>
    <x v="3"/>
    <x v="0"/>
    <x v="4"/>
    <x v="9"/>
    <n v="2"/>
    <n v="12"/>
    <x v="273"/>
    <d v="1899-12-30T00:43:16"/>
  </r>
  <r>
    <x v="7"/>
    <x v="0"/>
    <n v="30.86"/>
    <x v="3"/>
    <x v="0"/>
    <x v="4"/>
    <x v="9"/>
    <n v="2"/>
    <n v="12"/>
    <x v="273"/>
    <d v="1899-12-30T00:45:54"/>
  </r>
  <r>
    <x v="11"/>
    <x v="0"/>
    <n v="35.76"/>
    <x v="4"/>
    <x v="2"/>
    <x v="4"/>
    <x v="9"/>
    <n v="2"/>
    <n v="12"/>
    <x v="273"/>
    <d v="1899-12-30T00:50:56"/>
  </r>
  <r>
    <x v="15"/>
    <x v="0"/>
    <n v="35.76"/>
    <x v="0"/>
    <x v="2"/>
    <x v="4"/>
    <x v="9"/>
    <n v="2"/>
    <n v="12"/>
    <x v="273"/>
    <d v="1899-12-30T00:33:17"/>
  </r>
  <r>
    <x v="15"/>
    <x v="0"/>
    <n v="35.76"/>
    <x v="7"/>
    <x v="2"/>
    <x v="4"/>
    <x v="9"/>
    <n v="2"/>
    <n v="12"/>
    <x v="273"/>
    <d v="1899-12-30T00:34:13"/>
  </r>
  <r>
    <x v="15"/>
    <x v="0"/>
    <n v="35.76"/>
    <x v="1"/>
    <x v="2"/>
    <x v="4"/>
    <x v="9"/>
    <n v="2"/>
    <n v="12"/>
    <x v="273"/>
    <d v="1899-12-30T00:35:19"/>
  </r>
  <r>
    <x v="13"/>
    <x v="0"/>
    <n v="30.86"/>
    <x v="3"/>
    <x v="2"/>
    <x v="4"/>
    <x v="9"/>
    <n v="2"/>
    <n v="12"/>
    <x v="273"/>
    <d v="1899-12-30T00:19:14"/>
  </r>
  <r>
    <x v="13"/>
    <x v="0"/>
    <n v="35.76"/>
    <x v="7"/>
    <x v="2"/>
    <x v="4"/>
    <x v="9"/>
    <n v="2"/>
    <n v="12"/>
    <x v="273"/>
    <d v="1899-12-30T00:21:42"/>
  </r>
  <r>
    <x v="12"/>
    <x v="0"/>
    <n v="25.96"/>
    <x v="5"/>
    <x v="0"/>
    <x v="5"/>
    <x v="9"/>
    <n v="3"/>
    <n v="12"/>
    <x v="274"/>
    <d v="1899-12-30T00:32:48"/>
  </r>
  <r>
    <x v="12"/>
    <x v="0"/>
    <n v="35.76"/>
    <x v="0"/>
    <x v="0"/>
    <x v="5"/>
    <x v="9"/>
    <n v="3"/>
    <n v="12"/>
    <x v="274"/>
    <d v="1899-12-30T00:50:30"/>
  </r>
  <r>
    <x v="12"/>
    <x v="0"/>
    <n v="35.76"/>
    <x v="0"/>
    <x v="0"/>
    <x v="5"/>
    <x v="9"/>
    <n v="3"/>
    <n v="12"/>
    <x v="274"/>
    <d v="1899-12-30T00:52:15"/>
  </r>
  <r>
    <x v="10"/>
    <x v="0"/>
    <n v="25.96"/>
    <x v="2"/>
    <x v="0"/>
    <x v="5"/>
    <x v="9"/>
    <n v="3"/>
    <n v="12"/>
    <x v="274"/>
    <d v="1899-12-30T00:04:14"/>
  </r>
  <r>
    <x v="0"/>
    <x v="0"/>
    <n v="30.86"/>
    <x v="3"/>
    <x v="0"/>
    <x v="5"/>
    <x v="9"/>
    <n v="3"/>
    <n v="12"/>
    <x v="274"/>
    <d v="1899-12-30T00:23:01"/>
  </r>
  <r>
    <x v="0"/>
    <x v="0"/>
    <n v="30.86"/>
    <x v="3"/>
    <x v="0"/>
    <x v="5"/>
    <x v="9"/>
    <n v="3"/>
    <n v="12"/>
    <x v="274"/>
    <d v="1899-12-30T00:24:08"/>
  </r>
  <r>
    <x v="0"/>
    <x v="0"/>
    <n v="30.86"/>
    <x v="3"/>
    <x v="0"/>
    <x v="5"/>
    <x v="9"/>
    <n v="3"/>
    <n v="12"/>
    <x v="274"/>
    <d v="1899-12-30T00:26:58"/>
  </r>
  <r>
    <x v="0"/>
    <x v="0"/>
    <n v="35.76"/>
    <x v="1"/>
    <x v="0"/>
    <x v="5"/>
    <x v="9"/>
    <n v="3"/>
    <n v="12"/>
    <x v="274"/>
    <d v="1899-12-30T00:29:48"/>
  </r>
  <r>
    <x v="7"/>
    <x v="0"/>
    <n v="30.86"/>
    <x v="3"/>
    <x v="0"/>
    <x v="5"/>
    <x v="9"/>
    <n v="3"/>
    <n v="12"/>
    <x v="274"/>
    <d v="1899-12-30T00:45:58"/>
  </r>
  <r>
    <x v="8"/>
    <x v="0"/>
    <n v="35.76"/>
    <x v="1"/>
    <x v="1"/>
    <x v="5"/>
    <x v="9"/>
    <n v="3"/>
    <n v="12"/>
    <x v="274"/>
    <d v="1899-12-30T00:33:55"/>
  </r>
  <r>
    <x v="12"/>
    <x v="0"/>
    <n v="25.96"/>
    <x v="2"/>
    <x v="0"/>
    <x v="6"/>
    <x v="9"/>
    <n v="4"/>
    <n v="12"/>
    <x v="275"/>
    <d v="1899-12-30T00:53:48"/>
  </r>
  <r>
    <x v="10"/>
    <x v="0"/>
    <n v="25.96"/>
    <x v="5"/>
    <x v="0"/>
    <x v="6"/>
    <x v="9"/>
    <n v="4"/>
    <n v="12"/>
    <x v="275"/>
    <d v="1899-12-30T00:20:29"/>
  </r>
  <r>
    <x v="0"/>
    <x v="0"/>
    <n v="30.86"/>
    <x v="3"/>
    <x v="0"/>
    <x v="6"/>
    <x v="9"/>
    <n v="4"/>
    <n v="12"/>
    <x v="275"/>
    <d v="1899-12-30T00:02:51"/>
  </r>
  <r>
    <x v="0"/>
    <x v="0"/>
    <n v="30.86"/>
    <x v="3"/>
    <x v="0"/>
    <x v="6"/>
    <x v="9"/>
    <n v="4"/>
    <n v="12"/>
    <x v="275"/>
    <d v="1899-12-30T00:05:06"/>
  </r>
  <r>
    <x v="7"/>
    <x v="0"/>
    <n v="35.76"/>
    <x v="0"/>
    <x v="0"/>
    <x v="6"/>
    <x v="9"/>
    <n v="4"/>
    <n v="12"/>
    <x v="275"/>
    <d v="1899-12-30T00:31:58"/>
  </r>
  <r>
    <x v="7"/>
    <x v="0"/>
    <n v="25.96"/>
    <x v="2"/>
    <x v="0"/>
    <x v="6"/>
    <x v="9"/>
    <n v="4"/>
    <n v="12"/>
    <x v="275"/>
    <d v="1899-12-30T00:50:45"/>
  </r>
  <r>
    <x v="8"/>
    <x v="0"/>
    <n v="35.76"/>
    <x v="7"/>
    <x v="1"/>
    <x v="6"/>
    <x v="9"/>
    <n v="4"/>
    <n v="12"/>
    <x v="275"/>
    <d v="1899-12-30T00:30:58"/>
  </r>
  <r>
    <x v="3"/>
    <x v="0"/>
    <n v="35.76"/>
    <x v="0"/>
    <x v="1"/>
    <x v="6"/>
    <x v="9"/>
    <n v="4"/>
    <n v="12"/>
    <x v="275"/>
    <d v="1899-12-30T00:21:20"/>
  </r>
  <r>
    <x v="4"/>
    <x v="0"/>
    <n v="35.76"/>
    <x v="0"/>
    <x v="1"/>
    <x v="6"/>
    <x v="9"/>
    <n v="4"/>
    <n v="12"/>
    <x v="275"/>
    <d v="1899-12-30T00:02:10"/>
  </r>
  <r>
    <x v="7"/>
    <x v="0"/>
    <n v="35.76"/>
    <x v="0"/>
    <x v="0"/>
    <x v="0"/>
    <x v="9"/>
    <n v="5"/>
    <n v="12"/>
    <x v="276"/>
    <d v="1899-12-30T00:42:19"/>
  </r>
  <r>
    <x v="4"/>
    <x v="0"/>
    <n v="35.76"/>
    <x v="1"/>
    <x v="1"/>
    <x v="0"/>
    <x v="9"/>
    <n v="5"/>
    <n v="12"/>
    <x v="276"/>
    <d v="1899-12-30T00:31:58"/>
  </r>
  <r>
    <x v="13"/>
    <x v="0"/>
    <n v="35.76"/>
    <x v="0"/>
    <x v="2"/>
    <x v="0"/>
    <x v="9"/>
    <n v="5"/>
    <n v="12"/>
    <x v="276"/>
    <d v="1899-12-30T00:30:33"/>
  </r>
  <r>
    <x v="13"/>
    <x v="0"/>
    <n v="35.76"/>
    <x v="1"/>
    <x v="2"/>
    <x v="0"/>
    <x v="9"/>
    <n v="5"/>
    <n v="12"/>
    <x v="276"/>
    <d v="1899-12-30T00:31:30"/>
  </r>
  <r>
    <x v="7"/>
    <x v="0"/>
    <n v="30.86"/>
    <x v="3"/>
    <x v="0"/>
    <x v="1"/>
    <x v="9"/>
    <n v="6"/>
    <n v="12"/>
    <x v="277"/>
    <d v="1899-12-30T00:17:10"/>
  </r>
  <r>
    <x v="8"/>
    <x v="0"/>
    <n v="25.96"/>
    <x v="2"/>
    <x v="1"/>
    <x v="1"/>
    <x v="9"/>
    <n v="6"/>
    <n v="12"/>
    <x v="277"/>
    <d v="1899-12-30T00:16:43"/>
  </r>
  <r>
    <x v="3"/>
    <x v="0"/>
    <n v="35.76"/>
    <x v="0"/>
    <x v="1"/>
    <x v="1"/>
    <x v="9"/>
    <n v="6"/>
    <n v="12"/>
    <x v="277"/>
    <d v="1899-12-30T00:44:05"/>
  </r>
  <r>
    <x v="6"/>
    <x v="0"/>
    <n v="35.76"/>
    <x v="7"/>
    <x v="2"/>
    <x v="1"/>
    <x v="9"/>
    <n v="6"/>
    <n v="12"/>
    <x v="277"/>
    <d v="1899-12-30T00:11:14"/>
  </r>
  <r>
    <x v="13"/>
    <x v="0"/>
    <n v="30.86"/>
    <x v="3"/>
    <x v="2"/>
    <x v="1"/>
    <x v="9"/>
    <n v="6"/>
    <n v="12"/>
    <x v="277"/>
    <d v="1899-12-30T00:00:10"/>
  </r>
  <r>
    <x v="13"/>
    <x v="0"/>
    <n v="25.96"/>
    <x v="2"/>
    <x v="2"/>
    <x v="1"/>
    <x v="9"/>
    <n v="6"/>
    <n v="12"/>
    <x v="277"/>
    <d v="1899-12-30T00:28:17"/>
  </r>
  <r>
    <x v="12"/>
    <x v="0"/>
    <n v="25.96"/>
    <x v="5"/>
    <x v="0"/>
    <x v="2"/>
    <x v="9"/>
    <n v="7"/>
    <n v="12"/>
    <x v="278"/>
    <d v="1899-12-30T00:29:25"/>
  </r>
  <r>
    <x v="0"/>
    <x v="0"/>
    <n v="35.76"/>
    <x v="0"/>
    <x v="0"/>
    <x v="2"/>
    <x v="9"/>
    <n v="7"/>
    <n v="12"/>
    <x v="278"/>
    <d v="1899-12-30T00:42:38"/>
  </r>
  <r>
    <x v="0"/>
    <x v="0"/>
    <n v="35.76"/>
    <x v="7"/>
    <x v="0"/>
    <x v="2"/>
    <x v="9"/>
    <n v="7"/>
    <n v="12"/>
    <x v="278"/>
    <d v="1899-12-30T00:43:43"/>
  </r>
  <r>
    <x v="1"/>
    <x v="0"/>
    <n v="25.96"/>
    <x v="5"/>
    <x v="1"/>
    <x v="2"/>
    <x v="9"/>
    <n v="7"/>
    <n v="12"/>
    <x v="278"/>
    <d v="1899-12-30T00:51:41"/>
  </r>
  <r>
    <x v="2"/>
    <x v="0"/>
    <n v="30.86"/>
    <x v="3"/>
    <x v="1"/>
    <x v="2"/>
    <x v="9"/>
    <n v="7"/>
    <n v="12"/>
    <x v="278"/>
    <d v="1899-12-30T00:02:36"/>
  </r>
  <r>
    <x v="2"/>
    <x v="0"/>
    <n v="30.86"/>
    <x v="3"/>
    <x v="1"/>
    <x v="2"/>
    <x v="9"/>
    <n v="7"/>
    <n v="12"/>
    <x v="278"/>
    <d v="1899-12-30T00:03:39"/>
  </r>
  <r>
    <x v="9"/>
    <x v="0"/>
    <n v="35.76"/>
    <x v="7"/>
    <x v="2"/>
    <x v="2"/>
    <x v="9"/>
    <n v="7"/>
    <n v="12"/>
    <x v="278"/>
    <d v="1899-12-30T00:26:29"/>
  </r>
  <r>
    <x v="5"/>
    <x v="0"/>
    <n v="21.06"/>
    <x v="6"/>
    <x v="2"/>
    <x v="2"/>
    <x v="9"/>
    <n v="7"/>
    <n v="12"/>
    <x v="278"/>
    <d v="1899-12-30T00:41:49"/>
  </r>
  <r>
    <x v="11"/>
    <x v="0"/>
    <n v="35.76"/>
    <x v="7"/>
    <x v="2"/>
    <x v="2"/>
    <x v="9"/>
    <n v="7"/>
    <n v="12"/>
    <x v="278"/>
    <d v="1899-12-30T00:47:19"/>
  </r>
  <r>
    <x v="15"/>
    <x v="0"/>
    <n v="30.86"/>
    <x v="3"/>
    <x v="2"/>
    <x v="2"/>
    <x v="9"/>
    <n v="7"/>
    <n v="12"/>
    <x v="278"/>
    <d v="1899-12-30T00:28:30"/>
  </r>
  <r>
    <x v="15"/>
    <x v="0"/>
    <n v="30.86"/>
    <x v="3"/>
    <x v="2"/>
    <x v="2"/>
    <x v="9"/>
    <n v="7"/>
    <n v="12"/>
    <x v="278"/>
    <d v="1899-12-30T00:41:24"/>
  </r>
  <r>
    <x v="12"/>
    <x v="0"/>
    <n v="35.76"/>
    <x v="7"/>
    <x v="0"/>
    <x v="3"/>
    <x v="9"/>
    <n v="1"/>
    <n v="12"/>
    <x v="279"/>
    <d v="1899-12-30T00:32:41"/>
  </r>
  <r>
    <x v="10"/>
    <x v="0"/>
    <n v="25.96"/>
    <x v="2"/>
    <x v="0"/>
    <x v="3"/>
    <x v="9"/>
    <n v="1"/>
    <n v="12"/>
    <x v="279"/>
    <d v="1899-12-30T00:12:25"/>
  </r>
  <r>
    <x v="10"/>
    <x v="0"/>
    <n v="30.86"/>
    <x v="3"/>
    <x v="0"/>
    <x v="3"/>
    <x v="9"/>
    <n v="1"/>
    <n v="12"/>
    <x v="279"/>
    <d v="1899-12-30T00:33:57"/>
  </r>
  <r>
    <x v="2"/>
    <x v="0"/>
    <n v="25.96"/>
    <x v="5"/>
    <x v="1"/>
    <x v="3"/>
    <x v="9"/>
    <n v="1"/>
    <n v="12"/>
    <x v="279"/>
    <d v="1899-12-30T00:00:55"/>
  </r>
  <r>
    <x v="15"/>
    <x v="0"/>
    <n v="35.76"/>
    <x v="4"/>
    <x v="2"/>
    <x v="3"/>
    <x v="9"/>
    <n v="1"/>
    <n v="12"/>
    <x v="279"/>
    <d v="1899-12-30T00:21:51"/>
  </r>
  <r>
    <x v="1"/>
    <x v="0"/>
    <n v="25.96"/>
    <x v="5"/>
    <x v="1"/>
    <x v="4"/>
    <x v="9"/>
    <n v="2"/>
    <n v="12"/>
    <x v="280"/>
    <d v="1899-12-30T00:25:50"/>
  </r>
  <r>
    <x v="5"/>
    <x v="0"/>
    <n v="35.76"/>
    <x v="1"/>
    <x v="2"/>
    <x v="4"/>
    <x v="9"/>
    <n v="2"/>
    <n v="12"/>
    <x v="280"/>
    <d v="1899-12-30T00:21:58"/>
  </r>
  <r>
    <x v="14"/>
    <x v="0"/>
    <n v="35.76"/>
    <x v="0"/>
    <x v="0"/>
    <x v="5"/>
    <x v="9"/>
    <n v="3"/>
    <n v="12"/>
    <x v="281"/>
    <d v="1899-12-30T00:49:46"/>
  </r>
  <r>
    <x v="0"/>
    <x v="0"/>
    <n v="25.96"/>
    <x v="5"/>
    <x v="0"/>
    <x v="5"/>
    <x v="9"/>
    <n v="3"/>
    <n v="12"/>
    <x v="281"/>
    <d v="1899-12-30T00:45:48"/>
  </r>
  <r>
    <x v="1"/>
    <x v="0"/>
    <n v="35.76"/>
    <x v="1"/>
    <x v="1"/>
    <x v="5"/>
    <x v="9"/>
    <n v="3"/>
    <n v="12"/>
    <x v="281"/>
    <d v="1899-12-30T00:13:06"/>
  </r>
  <r>
    <x v="1"/>
    <x v="0"/>
    <n v="21.06"/>
    <x v="6"/>
    <x v="1"/>
    <x v="5"/>
    <x v="9"/>
    <n v="3"/>
    <n v="12"/>
    <x v="281"/>
    <d v="1899-12-30T00:56:48"/>
  </r>
  <r>
    <x v="9"/>
    <x v="0"/>
    <n v="35.76"/>
    <x v="4"/>
    <x v="2"/>
    <x v="5"/>
    <x v="9"/>
    <n v="3"/>
    <n v="12"/>
    <x v="281"/>
    <d v="1899-12-30T00:59:26"/>
  </r>
  <r>
    <x v="15"/>
    <x v="0"/>
    <n v="35.76"/>
    <x v="0"/>
    <x v="2"/>
    <x v="5"/>
    <x v="9"/>
    <n v="3"/>
    <n v="12"/>
    <x v="281"/>
    <d v="1899-12-30T00:01:08"/>
  </r>
  <r>
    <x v="15"/>
    <x v="0"/>
    <n v="35.76"/>
    <x v="0"/>
    <x v="2"/>
    <x v="5"/>
    <x v="9"/>
    <n v="3"/>
    <n v="12"/>
    <x v="281"/>
    <d v="1899-12-30T00:18:17"/>
  </r>
  <r>
    <x v="14"/>
    <x v="0"/>
    <n v="30.86"/>
    <x v="3"/>
    <x v="0"/>
    <x v="6"/>
    <x v="9"/>
    <n v="4"/>
    <n v="12"/>
    <x v="282"/>
    <d v="1899-12-30T00:58:31"/>
  </r>
  <r>
    <x v="1"/>
    <x v="0"/>
    <n v="25.96"/>
    <x v="2"/>
    <x v="1"/>
    <x v="6"/>
    <x v="9"/>
    <n v="4"/>
    <n v="12"/>
    <x v="282"/>
    <d v="1899-12-30T00:49:24"/>
  </r>
  <r>
    <x v="4"/>
    <x v="0"/>
    <n v="21.06"/>
    <x v="6"/>
    <x v="1"/>
    <x v="6"/>
    <x v="9"/>
    <n v="4"/>
    <n v="12"/>
    <x v="282"/>
    <d v="1899-12-30T00:55:02"/>
  </r>
  <r>
    <x v="4"/>
    <x v="0"/>
    <n v="21.06"/>
    <x v="6"/>
    <x v="1"/>
    <x v="6"/>
    <x v="9"/>
    <n v="4"/>
    <n v="12"/>
    <x v="282"/>
    <d v="1899-12-30T00:55:49"/>
  </r>
  <r>
    <x v="4"/>
    <x v="0"/>
    <n v="25.96"/>
    <x v="2"/>
    <x v="1"/>
    <x v="6"/>
    <x v="9"/>
    <n v="4"/>
    <n v="12"/>
    <x v="282"/>
    <d v="1899-12-30T00:57:01"/>
  </r>
  <r>
    <x v="6"/>
    <x v="0"/>
    <n v="35.76"/>
    <x v="4"/>
    <x v="2"/>
    <x v="6"/>
    <x v="9"/>
    <n v="4"/>
    <n v="12"/>
    <x v="282"/>
    <d v="1899-12-30T00:50:01"/>
  </r>
  <r>
    <x v="6"/>
    <x v="0"/>
    <n v="35.76"/>
    <x v="4"/>
    <x v="2"/>
    <x v="6"/>
    <x v="9"/>
    <n v="4"/>
    <n v="12"/>
    <x v="282"/>
    <d v="1899-12-30T00:50:58"/>
  </r>
  <r>
    <x v="1"/>
    <x v="0"/>
    <n v="25.96"/>
    <x v="2"/>
    <x v="1"/>
    <x v="0"/>
    <x v="9"/>
    <n v="5"/>
    <n v="12"/>
    <x v="283"/>
    <d v="1899-12-30T00:27:26"/>
  </r>
  <r>
    <x v="1"/>
    <x v="0"/>
    <n v="25.96"/>
    <x v="2"/>
    <x v="1"/>
    <x v="0"/>
    <x v="9"/>
    <n v="5"/>
    <n v="12"/>
    <x v="283"/>
    <d v="1899-12-30T00:53:06"/>
  </r>
  <r>
    <x v="1"/>
    <x v="0"/>
    <n v="35.76"/>
    <x v="1"/>
    <x v="1"/>
    <x v="0"/>
    <x v="9"/>
    <n v="5"/>
    <n v="12"/>
    <x v="283"/>
    <d v="1899-12-30T00:54:40"/>
  </r>
  <r>
    <x v="8"/>
    <x v="0"/>
    <n v="35.76"/>
    <x v="1"/>
    <x v="1"/>
    <x v="0"/>
    <x v="9"/>
    <n v="5"/>
    <n v="12"/>
    <x v="283"/>
    <d v="1899-12-30T00:01:58"/>
  </r>
  <r>
    <x v="4"/>
    <x v="0"/>
    <n v="35.76"/>
    <x v="4"/>
    <x v="1"/>
    <x v="0"/>
    <x v="9"/>
    <n v="5"/>
    <n v="12"/>
    <x v="283"/>
    <d v="1899-12-30T00:23:24"/>
  </r>
  <r>
    <x v="6"/>
    <x v="0"/>
    <n v="35.76"/>
    <x v="7"/>
    <x v="2"/>
    <x v="0"/>
    <x v="9"/>
    <n v="5"/>
    <n v="12"/>
    <x v="283"/>
    <d v="1899-12-30T00:19:04"/>
  </r>
  <r>
    <x v="6"/>
    <x v="0"/>
    <n v="35.76"/>
    <x v="7"/>
    <x v="2"/>
    <x v="0"/>
    <x v="9"/>
    <n v="5"/>
    <n v="12"/>
    <x v="283"/>
    <d v="1899-12-30T00:20:10"/>
  </r>
  <r>
    <x v="15"/>
    <x v="0"/>
    <n v="35.76"/>
    <x v="0"/>
    <x v="2"/>
    <x v="0"/>
    <x v="9"/>
    <n v="5"/>
    <n v="12"/>
    <x v="283"/>
    <d v="1899-12-30T00:35:42"/>
  </r>
  <r>
    <x v="12"/>
    <x v="0"/>
    <n v="30.86"/>
    <x v="3"/>
    <x v="0"/>
    <x v="1"/>
    <x v="9"/>
    <n v="6"/>
    <n v="12"/>
    <x v="284"/>
    <d v="1899-12-30T00:27:32"/>
  </r>
  <r>
    <x v="10"/>
    <x v="0"/>
    <n v="35.76"/>
    <x v="4"/>
    <x v="0"/>
    <x v="1"/>
    <x v="9"/>
    <n v="6"/>
    <n v="12"/>
    <x v="284"/>
    <d v="1899-12-30T00:03:06"/>
  </r>
  <r>
    <x v="7"/>
    <x v="0"/>
    <n v="35.76"/>
    <x v="7"/>
    <x v="0"/>
    <x v="1"/>
    <x v="9"/>
    <n v="6"/>
    <n v="12"/>
    <x v="284"/>
    <d v="1899-12-30T00:41:58"/>
  </r>
  <r>
    <x v="2"/>
    <x v="0"/>
    <n v="25.96"/>
    <x v="2"/>
    <x v="1"/>
    <x v="1"/>
    <x v="9"/>
    <n v="6"/>
    <n v="12"/>
    <x v="284"/>
    <d v="1899-12-30T00:19:07"/>
  </r>
  <r>
    <x v="2"/>
    <x v="0"/>
    <n v="35.76"/>
    <x v="0"/>
    <x v="1"/>
    <x v="1"/>
    <x v="9"/>
    <n v="6"/>
    <n v="12"/>
    <x v="284"/>
    <d v="1899-12-30T00:20:09"/>
  </r>
  <r>
    <x v="4"/>
    <x v="0"/>
    <n v="35.76"/>
    <x v="4"/>
    <x v="1"/>
    <x v="1"/>
    <x v="9"/>
    <n v="6"/>
    <n v="12"/>
    <x v="284"/>
    <d v="1899-12-30T00:10:30"/>
  </r>
  <r>
    <x v="4"/>
    <x v="0"/>
    <n v="25.96"/>
    <x v="2"/>
    <x v="1"/>
    <x v="1"/>
    <x v="9"/>
    <n v="6"/>
    <n v="12"/>
    <x v="284"/>
    <d v="1899-12-30T00:29:59"/>
  </r>
  <r>
    <x v="4"/>
    <x v="0"/>
    <n v="25.96"/>
    <x v="2"/>
    <x v="1"/>
    <x v="1"/>
    <x v="9"/>
    <n v="6"/>
    <n v="12"/>
    <x v="284"/>
    <d v="1899-12-30T00:30:50"/>
  </r>
  <r>
    <x v="9"/>
    <x v="0"/>
    <n v="25.96"/>
    <x v="2"/>
    <x v="2"/>
    <x v="1"/>
    <x v="9"/>
    <n v="6"/>
    <n v="12"/>
    <x v="284"/>
    <d v="1899-12-30T00:00:16"/>
  </r>
  <r>
    <x v="9"/>
    <x v="0"/>
    <n v="25.96"/>
    <x v="2"/>
    <x v="2"/>
    <x v="1"/>
    <x v="9"/>
    <n v="6"/>
    <n v="12"/>
    <x v="284"/>
    <d v="1899-12-30T00:01:29"/>
  </r>
  <r>
    <x v="5"/>
    <x v="0"/>
    <n v="30.86"/>
    <x v="3"/>
    <x v="2"/>
    <x v="1"/>
    <x v="9"/>
    <n v="6"/>
    <n v="12"/>
    <x v="284"/>
    <d v="1899-12-30T00:23:44"/>
  </r>
  <r>
    <x v="7"/>
    <x v="0"/>
    <n v="35.76"/>
    <x v="0"/>
    <x v="0"/>
    <x v="2"/>
    <x v="9"/>
    <n v="7"/>
    <n v="12"/>
    <x v="285"/>
    <d v="1899-12-30T00:09:25"/>
  </r>
  <r>
    <x v="7"/>
    <x v="0"/>
    <n v="35.76"/>
    <x v="4"/>
    <x v="0"/>
    <x v="2"/>
    <x v="9"/>
    <n v="7"/>
    <n v="12"/>
    <x v="285"/>
    <d v="1899-12-30T00:10:26"/>
  </r>
  <r>
    <x v="9"/>
    <x v="0"/>
    <n v="35.76"/>
    <x v="1"/>
    <x v="2"/>
    <x v="2"/>
    <x v="9"/>
    <n v="7"/>
    <n v="12"/>
    <x v="285"/>
    <d v="1899-12-30T00:58:05"/>
  </r>
  <r>
    <x v="14"/>
    <x v="0"/>
    <n v="35.76"/>
    <x v="0"/>
    <x v="0"/>
    <x v="3"/>
    <x v="9"/>
    <n v="1"/>
    <n v="12"/>
    <x v="286"/>
    <d v="1899-12-30T00:52:18"/>
  </r>
  <r>
    <x v="12"/>
    <x v="0"/>
    <n v="35.76"/>
    <x v="1"/>
    <x v="0"/>
    <x v="3"/>
    <x v="9"/>
    <n v="1"/>
    <n v="12"/>
    <x v="286"/>
    <d v="1899-12-30T00:03:31"/>
  </r>
  <r>
    <x v="12"/>
    <x v="0"/>
    <n v="35.76"/>
    <x v="4"/>
    <x v="0"/>
    <x v="3"/>
    <x v="9"/>
    <n v="1"/>
    <n v="12"/>
    <x v="286"/>
    <d v="1899-12-30T00:46:54"/>
  </r>
  <r>
    <x v="1"/>
    <x v="0"/>
    <n v="30.86"/>
    <x v="3"/>
    <x v="1"/>
    <x v="3"/>
    <x v="9"/>
    <n v="1"/>
    <n v="12"/>
    <x v="286"/>
    <d v="1899-12-30T00:19:08"/>
  </r>
  <r>
    <x v="2"/>
    <x v="0"/>
    <n v="35.76"/>
    <x v="0"/>
    <x v="1"/>
    <x v="3"/>
    <x v="9"/>
    <n v="1"/>
    <n v="12"/>
    <x v="286"/>
    <d v="1899-12-30T00:08:53"/>
  </r>
  <r>
    <x v="8"/>
    <x v="0"/>
    <n v="35.76"/>
    <x v="1"/>
    <x v="1"/>
    <x v="3"/>
    <x v="9"/>
    <n v="1"/>
    <n v="12"/>
    <x v="286"/>
    <d v="1899-12-30T00:13:18"/>
  </r>
  <r>
    <x v="5"/>
    <x v="0"/>
    <n v="35.76"/>
    <x v="0"/>
    <x v="2"/>
    <x v="3"/>
    <x v="9"/>
    <n v="1"/>
    <n v="12"/>
    <x v="286"/>
    <d v="1899-12-30T00:23:07"/>
  </r>
  <r>
    <x v="5"/>
    <x v="0"/>
    <n v="30.86"/>
    <x v="3"/>
    <x v="2"/>
    <x v="3"/>
    <x v="9"/>
    <n v="1"/>
    <n v="12"/>
    <x v="286"/>
    <d v="1899-12-30T00:24:01"/>
  </r>
  <r>
    <x v="12"/>
    <x v="0"/>
    <n v="25.96"/>
    <x v="5"/>
    <x v="0"/>
    <x v="4"/>
    <x v="9"/>
    <n v="2"/>
    <n v="12"/>
    <x v="287"/>
    <d v="1899-12-30T00:48:18"/>
  </r>
  <r>
    <x v="12"/>
    <x v="0"/>
    <n v="35.76"/>
    <x v="7"/>
    <x v="0"/>
    <x v="4"/>
    <x v="9"/>
    <n v="2"/>
    <n v="12"/>
    <x v="287"/>
    <d v="1899-12-30T00:52:33"/>
  </r>
  <r>
    <x v="0"/>
    <x v="0"/>
    <n v="30.86"/>
    <x v="3"/>
    <x v="0"/>
    <x v="4"/>
    <x v="9"/>
    <n v="2"/>
    <n v="12"/>
    <x v="287"/>
    <d v="1899-12-30T00:49:06"/>
  </r>
  <r>
    <x v="4"/>
    <x v="0"/>
    <n v="25.96"/>
    <x v="2"/>
    <x v="1"/>
    <x v="4"/>
    <x v="9"/>
    <n v="2"/>
    <n v="12"/>
    <x v="287"/>
    <d v="1899-12-30T00:22:35"/>
  </r>
  <r>
    <x v="4"/>
    <x v="0"/>
    <n v="35.76"/>
    <x v="4"/>
    <x v="1"/>
    <x v="4"/>
    <x v="9"/>
    <n v="2"/>
    <n v="12"/>
    <x v="287"/>
    <d v="1899-12-30T00:23:37"/>
  </r>
  <r>
    <x v="9"/>
    <x v="0"/>
    <n v="35.76"/>
    <x v="7"/>
    <x v="2"/>
    <x v="4"/>
    <x v="9"/>
    <n v="2"/>
    <n v="12"/>
    <x v="287"/>
    <d v="1899-12-30T00:14:22"/>
  </r>
  <r>
    <x v="5"/>
    <x v="0"/>
    <n v="35.76"/>
    <x v="4"/>
    <x v="2"/>
    <x v="4"/>
    <x v="9"/>
    <n v="2"/>
    <n v="12"/>
    <x v="287"/>
    <d v="1899-12-30T00:54:57"/>
  </r>
  <r>
    <x v="10"/>
    <x v="0"/>
    <n v="35.76"/>
    <x v="0"/>
    <x v="0"/>
    <x v="5"/>
    <x v="9"/>
    <n v="3"/>
    <n v="12"/>
    <x v="288"/>
    <d v="1899-12-30T00:30:28"/>
  </r>
  <r>
    <x v="0"/>
    <x v="0"/>
    <n v="30.86"/>
    <x v="3"/>
    <x v="0"/>
    <x v="5"/>
    <x v="9"/>
    <n v="3"/>
    <n v="12"/>
    <x v="288"/>
    <d v="1899-12-30T00:01:22"/>
  </r>
  <r>
    <x v="0"/>
    <x v="0"/>
    <n v="35.76"/>
    <x v="0"/>
    <x v="0"/>
    <x v="5"/>
    <x v="9"/>
    <n v="3"/>
    <n v="12"/>
    <x v="288"/>
    <d v="1899-12-30T00:03:02"/>
  </r>
  <r>
    <x v="0"/>
    <x v="0"/>
    <n v="35.76"/>
    <x v="7"/>
    <x v="0"/>
    <x v="5"/>
    <x v="9"/>
    <n v="3"/>
    <n v="12"/>
    <x v="288"/>
    <d v="1899-12-30T00:04:03"/>
  </r>
  <r>
    <x v="0"/>
    <x v="0"/>
    <n v="35.76"/>
    <x v="1"/>
    <x v="0"/>
    <x v="6"/>
    <x v="9"/>
    <n v="4"/>
    <n v="12"/>
    <x v="289"/>
    <d v="1899-12-30T00:12:11"/>
  </r>
  <r>
    <x v="7"/>
    <x v="0"/>
    <n v="30.86"/>
    <x v="3"/>
    <x v="0"/>
    <x v="6"/>
    <x v="9"/>
    <n v="4"/>
    <n v="12"/>
    <x v="289"/>
    <d v="1899-12-30T00:25:44"/>
  </r>
  <r>
    <x v="1"/>
    <x v="0"/>
    <n v="21.06"/>
    <x v="6"/>
    <x v="1"/>
    <x v="6"/>
    <x v="9"/>
    <n v="4"/>
    <n v="12"/>
    <x v="289"/>
    <d v="1899-12-30T00:10:52"/>
  </r>
  <r>
    <x v="2"/>
    <x v="0"/>
    <n v="35.76"/>
    <x v="1"/>
    <x v="1"/>
    <x v="6"/>
    <x v="9"/>
    <n v="4"/>
    <n v="12"/>
    <x v="289"/>
    <d v="1899-12-30T00:38:57"/>
  </r>
  <r>
    <x v="6"/>
    <x v="0"/>
    <n v="35.76"/>
    <x v="7"/>
    <x v="2"/>
    <x v="6"/>
    <x v="9"/>
    <n v="4"/>
    <n v="12"/>
    <x v="289"/>
    <d v="1899-12-30T00:00:56"/>
  </r>
  <r>
    <x v="6"/>
    <x v="0"/>
    <n v="35.76"/>
    <x v="7"/>
    <x v="2"/>
    <x v="6"/>
    <x v="9"/>
    <n v="4"/>
    <n v="12"/>
    <x v="289"/>
    <d v="1899-12-30T00:10:41"/>
  </r>
  <r>
    <x v="6"/>
    <x v="0"/>
    <n v="30.86"/>
    <x v="3"/>
    <x v="2"/>
    <x v="6"/>
    <x v="9"/>
    <n v="4"/>
    <n v="12"/>
    <x v="289"/>
    <d v="1899-12-30T00:48:18"/>
  </r>
  <r>
    <x v="6"/>
    <x v="0"/>
    <n v="35.76"/>
    <x v="1"/>
    <x v="2"/>
    <x v="6"/>
    <x v="9"/>
    <n v="4"/>
    <n v="12"/>
    <x v="289"/>
    <d v="1899-12-30T00:49:43"/>
  </r>
  <r>
    <x v="15"/>
    <x v="0"/>
    <n v="35.76"/>
    <x v="0"/>
    <x v="2"/>
    <x v="6"/>
    <x v="9"/>
    <n v="4"/>
    <n v="12"/>
    <x v="289"/>
    <d v="1899-12-30T00:08:12"/>
  </r>
  <r>
    <x v="15"/>
    <x v="0"/>
    <n v="35.76"/>
    <x v="7"/>
    <x v="2"/>
    <x v="6"/>
    <x v="9"/>
    <n v="4"/>
    <n v="12"/>
    <x v="289"/>
    <d v="1899-12-30T00:09:16"/>
  </r>
  <r>
    <x v="12"/>
    <x v="0"/>
    <n v="25.96"/>
    <x v="5"/>
    <x v="0"/>
    <x v="0"/>
    <x v="9"/>
    <n v="5"/>
    <n v="12"/>
    <x v="290"/>
    <d v="1899-12-30T00:14:52"/>
  </r>
  <r>
    <x v="10"/>
    <x v="0"/>
    <n v="30.86"/>
    <x v="3"/>
    <x v="0"/>
    <x v="0"/>
    <x v="9"/>
    <n v="5"/>
    <n v="12"/>
    <x v="290"/>
    <d v="1899-12-30T00:39:30"/>
  </r>
  <r>
    <x v="0"/>
    <x v="0"/>
    <n v="35.76"/>
    <x v="7"/>
    <x v="0"/>
    <x v="0"/>
    <x v="9"/>
    <n v="5"/>
    <n v="12"/>
    <x v="290"/>
    <d v="1899-12-30T00:12:43"/>
  </r>
  <r>
    <x v="0"/>
    <x v="0"/>
    <n v="25.96"/>
    <x v="5"/>
    <x v="0"/>
    <x v="0"/>
    <x v="9"/>
    <n v="5"/>
    <n v="12"/>
    <x v="290"/>
    <d v="1899-12-30T00:55:29"/>
  </r>
  <r>
    <x v="1"/>
    <x v="0"/>
    <n v="21.06"/>
    <x v="6"/>
    <x v="1"/>
    <x v="0"/>
    <x v="9"/>
    <n v="5"/>
    <n v="12"/>
    <x v="290"/>
    <d v="1899-12-30T00:21:17"/>
  </r>
  <r>
    <x v="1"/>
    <x v="0"/>
    <n v="30.86"/>
    <x v="3"/>
    <x v="1"/>
    <x v="0"/>
    <x v="9"/>
    <n v="5"/>
    <n v="12"/>
    <x v="290"/>
    <d v="1899-12-30T00:22:49"/>
  </r>
  <r>
    <x v="8"/>
    <x v="0"/>
    <n v="25.96"/>
    <x v="5"/>
    <x v="1"/>
    <x v="0"/>
    <x v="9"/>
    <n v="5"/>
    <n v="12"/>
    <x v="290"/>
    <d v="1899-12-30T00:58:20"/>
  </r>
  <r>
    <x v="5"/>
    <x v="0"/>
    <n v="35.76"/>
    <x v="7"/>
    <x v="2"/>
    <x v="0"/>
    <x v="9"/>
    <n v="5"/>
    <n v="12"/>
    <x v="290"/>
    <d v="1899-12-30T00:28:22"/>
  </r>
  <r>
    <x v="5"/>
    <x v="0"/>
    <n v="35.76"/>
    <x v="7"/>
    <x v="2"/>
    <x v="0"/>
    <x v="9"/>
    <n v="5"/>
    <n v="12"/>
    <x v="290"/>
    <d v="1899-12-30T00:57:13"/>
  </r>
  <r>
    <x v="0"/>
    <x v="0"/>
    <n v="35.76"/>
    <x v="7"/>
    <x v="0"/>
    <x v="1"/>
    <x v="9"/>
    <n v="6"/>
    <n v="12"/>
    <x v="291"/>
    <d v="1899-12-30T00:19:24"/>
  </r>
  <r>
    <x v="0"/>
    <x v="0"/>
    <n v="35.76"/>
    <x v="0"/>
    <x v="0"/>
    <x v="1"/>
    <x v="9"/>
    <n v="6"/>
    <n v="12"/>
    <x v="291"/>
    <d v="1899-12-30T00:20:41"/>
  </r>
  <r>
    <x v="0"/>
    <x v="0"/>
    <n v="25.96"/>
    <x v="2"/>
    <x v="0"/>
    <x v="1"/>
    <x v="9"/>
    <n v="6"/>
    <n v="12"/>
    <x v="291"/>
    <d v="1899-12-30T00:32:03"/>
  </r>
  <r>
    <x v="3"/>
    <x v="0"/>
    <n v="35.76"/>
    <x v="1"/>
    <x v="1"/>
    <x v="1"/>
    <x v="9"/>
    <n v="6"/>
    <n v="12"/>
    <x v="291"/>
    <d v="1899-12-30T00:33:04"/>
  </r>
  <r>
    <x v="3"/>
    <x v="0"/>
    <n v="35.76"/>
    <x v="0"/>
    <x v="1"/>
    <x v="1"/>
    <x v="9"/>
    <n v="6"/>
    <n v="12"/>
    <x v="291"/>
    <d v="1899-12-30T00:33:50"/>
  </r>
  <r>
    <x v="3"/>
    <x v="0"/>
    <n v="30.86"/>
    <x v="3"/>
    <x v="1"/>
    <x v="1"/>
    <x v="9"/>
    <n v="6"/>
    <n v="12"/>
    <x v="291"/>
    <d v="1899-12-30T00:35:29"/>
  </r>
  <r>
    <x v="3"/>
    <x v="0"/>
    <n v="35.76"/>
    <x v="0"/>
    <x v="1"/>
    <x v="1"/>
    <x v="9"/>
    <n v="6"/>
    <n v="12"/>
    <x v="291"/>
    <d v="1899-12-30T00:58:07"/>
  </r>
  <r>
    <x v="9"/>
    <x v="0"/>
    <n v="35.76"/>
    <x v="4"/>
    <x v="2"/>
    <x v="1"/>
    <x v="9"/>
    <n v="6"/>
    <n v="12"/>
    <x v="291"/>
    <d v="1899-12-30T00:47:28"/>
  </r>
  <r>
    <x v="5"/>
    <x v="0"/>
    <n v="35.76"/>
    <x v="1"/>
    <x v="2"/>
    <x v="1"/>
    <x v="9"/>
    <n v="6"/>
    <n v="12"/>
    <x v="291"/>
    <d v="1899-12-30T00:02:37"/>
  </r>
  <r>
    <x v="5"/>
    <x v="0"/>
    <n v="25.96"/>
    <x v="5"/>
    <x v="2"/>
    <x v="1"/>
    <x v="9"/>
    <n v="6"/>
    <n v="12"/>
    <x v="291"/>
    <d v="1899-12-30T00:08:17"/>
  </r>
  <r>
    <x v="6"/>
    <x v="0"/>
    <n v="30.86"/>
    <x v="3"/>
    <x v="2"/>
    <x v="1"/>
    <x v="9"/>
    <n v="6"/>
    <n v="12"/>
    <x v="291"/>
    <d v="1899-12-30T00:48:14"/>
  </r>
  <r>
    <x v="6"/>
    <x v="0"/>
    <n v="25.96"/>
    <x v="5"/>
    <x v="2"/>
    <x v="1"/>
    <x v="9"/>
    <n v="6"/>
    <n v="12"/>
    <x v="291"/>
    <d v="1899-12-30T00:49:46"/>
  </r>
  <r>
    <x v="15"/>
    <x v="0"/>
    <n v="25.96"/>
    <x v="5"/>
    <x v="2"/>
    <x v="1"/>
    <x v="9"/>
    <n v="6"/>
    <n v="12"/>
    <x v="291"/>
    <d v="1899-12-30T00:49:47"/>
  </r>
  <r>
    <x v="15"/>
    <x v="0"/>
    <n v="35.76"/>
    <x v="0"/>
    <x v="2"/>
    <x v="1"/>
    <x v="9"/>
    <n v="6"/>
    <n v="12"/>
    <x v="291"/>
    <d v="1899-12-30T00:58:49"/>
  </r>
  <r>
    <x v="13"/>
    <x v="0"/>
    <n v="25.96"/>
    <x v="5"/>
    <x v="2"/>
    <x v="1"/>
    <x v="9"/>
    <n v="6"/>
    <n v="12"/>
    <x v="291"/>
    <d v="1899-12-30T00:16:14"/>
  </r>
  <r>
    <x v="0"/>
    <x v="0"/>
    <n v="35.76"/>
    <x v="7"/>
    <x v="0"/>
    <x v="2"/>
    <x v="9"/>
    <n v="7"/>
    <n v="12"/>
    <x v="292"/>
    <d v="1899-12-30T00:42:56"/>
  </r>
  <r>
    <x v="5"/>
    <x v="0"/>
    <n v="35.76"/>
    <x v="7"/>
    <x v="2"/>
    <x v="2"/>
    <x v="9"/>
    <n v="7"/>
    <n v="12"/>
    <x v="292"/>
    <d v="1899-12-30T00:55:45"/>
  </r>
  <r>
    <x v="6"/>
    <x v="0"/>
    <n v="35.76"/>
    <x v="1"/>
    <x v="2"/>
    <x v="2"/>
    <x v="9"/>
    <n v="7"/>
    <n v="12"/>
    <x v="292"/>
    <d v="1899-12-30T00:35:46"/>
  </r>
  <r>
    <x v="6"/>
    <x v="0"/>
    <n v="35.76"/>
    <x v="1"/>
    <x v="2"/>
    <x v="2"/>
    <x v="9"/>
    <n v="7"/>
    <n v="12"/>
    <x v="292"/>
    <d v="1899-12-30T00:36:30"/>
  </r>
  <r>
    <x v="11"/>
    <x v="0"/>
    <n v="35.76"/>
    <x v="1"/>
    <x v="2"/>
    <x v="2"/>
    <x v="9"/>
    <n v="7"/>
    <n v="12"/>
    <x v="292"/>
    <d v="1899-12-30T00:26:37"/>
  </r>
  <r>
    <x v="15"/>
    <x v="0"/>
    <n v="35.76"/>
    <x v="4"/>
    <x v="2"/>
    <x v="2"/>
    <x v="9"/>
    <n v="7"/>
    <n v="12"/>
    <x v="292"/>
    <d v="1899-12-30T00:55:19"/>
  </r>
  <r>
    <x v="15"/>
    <x v="0"/>
    <n v="25.96"/>
    <x v="5"/>
    <x v="2"/>
    <x v="2"/>
    <x v="9"/>
    <n v="7"/>
    <n v="12"/>
    <x v="292"/>
    <d v="1899-12-30T00:56:56"/>
  </r>
  <r>
    <x v="10"/>
    <x v="0"/>
    <n v="25.96"/>
    <x v="5"/>
    <x v="0"/>
    <x v="3"/>
    <x v="9"/>
    <n v="1"/>
    <n v="12"/>
    <x v="293"/>
    <d v="1899-12-30T00:03:21"/>
  </r>
  <r>
    <x v="10"/>
    <x v="0"/>
    <n v="30.86"/>
    <x v="3"/>
    <x v="0"/>
    <x v="3"/>
    <x v="9"/>
    <n v="1"/>
    <n v="12"/>
    <x v="293"/>
    <d v="1899-12-30T00:22:18"/>
  </r>
  <r>
    <x v="0"/>
    <x v="0"/>
    <n v="30.86"/>
    <x v="3"/>
    <x v="0"/>
    <x v="3"/>
    <x v="9"/>
    <n v="1"/>
    <n v="12"/>
    <x v="293"/>
    <d v="1899-12-30T00:42:03"/>
  </r>
  <r>
    <x v="7"/>
    <x v="0"/>
    <n v="35.76"/>
    <x v="7"/>
    <x v="0"/>
    <x v="3"/>
    <x v="9"/>
    <n v="1"/>
    <n v="12"/>
    <x v="293"/>
    <d v="1899-12-30T00:35:54"/>
  </r>
  <r>
    <x v="8"/>
    <x v="0"/>
    <n v="35.76"/>
    <x v="0"/>
    <x v="1"/>
    <x v="3"/>
    <x v="9"/>
    <n v="1"/>
    <n v="12"/>
    <x v="293"/>
    <d v="1899-12-30T00:05:32"/>
  </r>
  <r>
    <x v="3"/>
    <x v="0"/>
    <n v="30.86"/>
    <x v="3"/>
    <x v="1"/>
    <x v="3"/>
    <x v="9"/>
    <n v="1"/>
    <n v="12"/>
    <x v="293"/>
    <d v="1899-12-30T00:00:24"/>
  </r>
  <r>
    <x v="4"/>
    <x v="0"/>
    <n v="35.76"/>
    <x v="0"/>
    <x v="1"/>
    <x v="3"/>
    <x v="9"/>
    <n v="1"/>
    <n v="12"/>
    <x v="293"/>
    <d v="1899-12-30T00:14:50"/>
  </r>
  <r>
    <x v="9"/>
    <x v="0"/>
    <n v="25.96"/>
    <x v="5"/>
    <x v="2"/>
    <x v="3"/>
    <x v="9"/>
    <n v="1"/>
    <n v="12"/>
    <x v="293"/>
    <d v="1899-12-30T00:21:21"/>
  </r>
  <r>
    <x v="9"/>
    <x v="0"/>
    <n v="35.76"/>
    <x v="0"/>
    <x v="2"/>
    <x v="3"/>
    <x v="9"/>
    <n v="1"/>
    <n v="12"/>
    <x v="293"/>
    <d v="1899-12-30T00:22:40"/>
  </r>
  <r>
    <x v="11"/>
    <x v="0"/>
    <n v="25.96"/>
    <x v="5"/>
    <x v="2"/>
    <x v="3"/>
    <x v="9"/>
    <n v="1"/>
    <n v="12"/>
    <x v="293"/>
    <d v="1899-12-30T00:46:07"/>
  </r>
  <r>
    <x v="3"/>
    <x v="0"/>
    <n v="30.86"/>
    <x v="3"/>
    <x v="1"/>
    <x v="4"/>
    <x v="9"/>
    <n v="2"/>
    <n v="12"/>
    <x v="294"/>
    <d v="1899-12-30T00:10:43"/>
  </r>
  <r>
    <x v="4"/>
    <x v="0"/>
    <n v="35.76"/>
    <x v="1"/>
    <x v="1"/>
    <x v="4"/>
    <x v="9"/>
    <n v="2"/>
    <n v="12"/>
    <x v="294"/>
    <d v="1899-12-30T00:08:38"/>
  </r>
  <r>
    <x v="9"/>
    <x v="0"/>
    <n v="25.96"/>
    <x v="5"/>
    <x v="2"/>
    <x v="4"/>
    <x v="9"/>
    <n v="2"/>
    <n v="12"/>
    <x v="294"/>
    <d v="1899-12-30T00:55:29"/>
  </r>
  <r>
    <x v="6"/>
    <x v="0"/>
    <n v="35.76"/>
    <x v="1"/>
    <x v="2"/>
    <x v="4"/>
    <x v="9"/>
    <n v="2"/>
    <n v="12"/>
    <x v="294"/>
    <d v="1899-12-30T00:10:36"/>
  </r>
  <r>
    <x v="6"/>
    <x v="0"/>
    <n v="35.76"/>
    <x v="0"/>
    <x v="2"/>
    <x v="4"/>
    <x v="9"/>
    <n v="2"/>
    <n v="12"/>
    <x v="294"/>
    <d v="1899-12-30T00:11:37"/>
  </r>
  <r>
    <x v="6"/>
    <x v="0"/>
    <n v="21.06"/>
    <x v="6"/>
    <x v="2"/>
    <x v="4"/>
    <x v="9"/>
    <n v="2"/>
    <n v="12"/>
    <x v="294"/>
    <d v="1899-12-30T00:12:35"/>
  </r>
  <r>
    <x v="6"/>
    <x v="0"/>
    <n v="35.76"/>
    <x v="7"/>
    <x v="2"/>
    <x v="4"/>
    <x v="9"/>
    <n v="2"/>
    <n v="12"/>
    <x v="294"/>
    <d v="1899-12-30T00:36:02"/>
  </r>
  <r>
    <x v="0"/>
    <x v="0"/>
    <n v="35.76"/>
    <x v="0"/>
    <x v="0"/>
    <x v="5"/>
    <x v="9"/>
    <n v="3"/>
    <n v="12"/>
    <x v="295"/>
    <d v="1899-12-30T00:43:57"/>
  </r>
  <r>
    <x v="0"/>
    <x v="0"/>
    <n v="35.76"/>
    <x v="0"/>
    <x v="0"/>
    <x v="5"/>
    <x v="9"/>
    <n v="3"/>
    <n v="12"/>
    <x v="295"/>
    <d v="1899-12-30T00:45:02"/>
  </r>
  <r>
    <x v="1"/>
    <x v="0"/>
    <n v="30.86"/>
    <x v="3"/>
    <x v="1"/>
    <x v="5"/>
    <x v="9"/>
    <n v="3"/>
    <n v="12"/>
    <x v="295"/>
    <d v="1899-12-30T00:35:03"/>
  </r>
  <r>
    <x v="1"/>
    <x v="0"/>
    <n v="25.96"/>
    <x v="2"/>
    <x v="1"/>
    <x v="5"/>
    <x v="9"/>
    <n v="3"/>
    <n v="12"/>
    <x v="295"/>
    <d v="1899-12-30T00:36:00"/>
  </r>
  <r>
    <x v="2"/>
    <x v="0"/>
    <n v="30.86"/>
    <x v="3"/>
    <x v="1"/>
    <x v="5"/>
    <x v="9"/>
    <n v="3"/>
    <n v="12"/>
    <x v="295"/>
    <d v="1899-12-30T00:17:11"/>
  </r>
  <r>
    <x v="2"/>
    <x v="0"/>
    <n v="25.96"/>
    <x v="2"/>
    <x v="1"/>
    <x v="5"/>
    <x v="9"/>
    <n v="3"/>
    <n v="12"/>
    <x v="295"/>
    <d v="1899-12-30T00:32:48"/>
  </r>
  <r>
    <x v="11"/>
    <x v="0"/>
    <n v="35.76"/>
    <x v="7"/>
    <x v="2"/>
    <x v="5"/>
    <x v="9"/>
    <n v="3"/>
    <n v="12"/>
    <x v="295"/>
    <d v="1899-12-30T00:02:40"/>
  </r>
  <r>
    <x v="15"/>
    <x v="0"/>
    <n v="35.76"/>
    <x v="4"/>
    <x v="2"/>
    <x v="5"/>
    <x v="9"/>
    <n v="3"/>
    <n v="12"/>
    <x v="295"/>
    <d v="1899-12-30T00:18:50"/>
  </r>
  <r>
    <x v="15"/>
    <x v="0"/>
    <n v="35.76"/>
    <x v="4"/>
    <x v="2"/>
    <x v="5"/>
    <x v="9"/>
    <n v="3"/>
    <n v="12"/>
    <x v="295"/>
    <d v="1899-12-30T00:19:42"/>
  </r>
  <r>
    <x v="15"/>
    <x v="0"/>
    <n v="35.76"/>
    <x v="0"/>
    <x v="2"/>
    <x v="5"/>
    <x v="9"/>
    <n v="3"/>
    <n v="12"/>
    <x v="295"/>
    <d v="1899-12-30T00:57:30"/>
  </r>
  <r>
    <x v="13"/>
    <x v="0"/>
    <n v="35.76"/>
    <x v="7"/>
    <x v="2"/>
    <x v="5"/>
    <x v="9"/>
    <n v="3"/>
    <n v="12"/>
    <x v="295"/>
    <d v="1899-12-30T00:51:03"/>
  </r>
  <r>
    <x v="13"/>
    <x v="0"/>
    <n v="30.86"/>
    <x v="3"/>
    <x v="2"/>
    <x v="5"/>
    <x v="9"/>
    <n v="3"/>
    <n v="12"/>
    <x v="295"/>
    <d v="1899-12-30T00:53:06"/>
  </r>
  <r>
    <x v="2"/>
    <x v="0"/>
    <n v="35.76"/>
    <x v="7"/>
    <x v="1"/>
    <x v="6"/>
    <x v="9"/>
    <n v="4"/>
    <n v="12"/>
    <x v="296"/>
    <d v="1899-12-30T00:12:38"/>
  </r>
  <r>
    <x v="3"/>
    <x v="0"/>
    <n v="21.06"/>
    <x v="6"/>
    <x v="1"/>
    <x v="6"/>
    <x v="9"/>
    <n v="4"/>
    <n v="12"/>
    <x v="296"/>
    <d v="1899-12-30T00:04:35"/>
  </r>
  <r>
    <x v="14"/>
    <x v="0"/>
    <n v="25.96"/>
    <x v="2"/>
    <x v="0"/>
    <x v="0"/>
    <x v="9"/>
    <n v="5"/>
    <n v="12"/>
    <x v="297"/>
    <d v="1899-12-30T00:50:21"/>
  </r>
  <r>
    <x v="12"/>
    <x v="0"/>
    <n v="25.96"/>
    <x v="5"/>
    <x v="0"/>
    <x v="0"/>
    <x v="9"/>
    <n v="5"/>
    <n v="12"/>
    <x v="297"/>
    <d v="1899-12-30T00:57:39"/>
  </r>
  <r>
    <x v="10"/>
    <x v="0"/>
    <n v="25.96"/>
    <x v="5"/>
    <x v="0"/>
    <x v="0"/>
    <x v="9"/>
    <n v="5"/>
    <n v="12"/>
    <x v="297"/>
    <d v="1899-12-30T00:09:55"/>
  </r>
  <r>
    <x v="0"/>
    <x v="0"/>
    <n v="30.86"/>
    <x v="3"/>
    <x v="0"/>
    <x v="0"/>
    <x v="9"/>
    <n v="5"/>
    <n v="12"/>
    <x v="297"/>
    <d v="1899-12-30T00:12:53"/>
  </r>
  <r>
    <x v="9"/>
    <x v="0"/>
    <n v="35.76"/>
    <x v="0"/>
    <x v="2"/>
    <x v="0"/>
    <x v="9"/>
    <n v="5"/>
    <n v="12"/>
    <x v="297"/>
    <d v="1899-12-30T00:12:05"/>
  </r>
  <r>
    <x v="6"/>
    <x v="0"/>
    <n v="25.96"/>
    <x v="2"/>
    <x v="2"/>
    <x v="0"/>
    <x v="9"/>
    <n v="5"/>
    <n v="12"/>
    <x v="297"/>
    <d v="1899-12-30T00:47:28"/>
  </r>
  <r>
    <x v="6"/>
    <x v="0"/>
    <n v="30.86"/>
    <x v="3"/>
    <x v="2"/>
    <x v="0"/>
    <x v="9"/>
    <n v="5"/>
    <n v="12"/>
    <x v="297"/>
    <d v="1899-12-30T00:48:22"/>
  </r>
  <r>
    <x v="13"/>
    <x v="0"/>
    <n v="35.76"/>
    <x v="4"/>
    <x v="2"/>
    <x v="0"/>
    <x v="9"/>
    <n v="5"/>
    <n v="12"/>
    <x v="297"/>
    <d v="1899-12-30T00:54:33"/>
  </r>
  <r>
    <x v="10"/>
    <x v="0"/>
    <n v="25.96"/>
    <x v="5"/>
    <x v="0"/>
    <x v="1"/>
    <x v="9"/>
    <n v="6"/>
    <n v="12"/>
    <x v="298"/>
    <d v="1899-12-30T00:00:24"/>
  </r>
  <r>
    <x v="10"/>
    <x v="0"/>
    <n v="25.96"/>
    <x v="5"/>
    <x v="0"/>
    <x v="1"/>
    <x v="9"/>
    <n v="6"/>
    <n v="12"/>
    <x v="298"/>
    <d v="1899-12-30T00:50:38"/>
  </r>
  <r>
    <x v="0"/>
    <x v="0"/>
    <n v="30.86"/>
    <x v="3"/>
    <x v="0"/>
    <x v="1"/>
    <x v="9"/>
    <n v="6"/>
    <n v="12"/>
    <x v="298"/>
    <d v="1899-12-30T00:18:44"/>
  </r>
  <r>
    <x v="0"/>
    <x v="0"/>
    <n v="35.76"/>
    <x v="0"/>
    <x v="0"/>
    <x v="1"/>
    <x v="9"/>
    <n v="6"/>
    <n v="12"/>
    <x v="298"/>
    <d v="1899-12-30T00:52:03"/>
  </r>
  <r>
    <x v="8"/>
    <x v="0"/>
    <n v="35.76"/>
    <x v="7"/>
    <x v="1"/>
    <x v="1"/>
    <x v="9"/>
    <n v="6"/>
    <n v="12"/>
    <x v="298"/>
    <d v="1899-12-30T00:10:01"/>
  </r>
  <r>
    <x v="8"/>
    <x v="0"/>
    <n v="35.76"/>
    <x v="1"/>
    <x v="1"/>
    <x v="1"/>
    <x v="9"/>
    <n v="6"/>
    <n v="12"/>
    <x v="298"/>
    <d v="1899-12-30T00:13:17"/>
  </r>
  <r>
    <x v="9"/>
    <x v="0"/>
    <n v="35.76"/>
    <x v="0"/>
    <x v="2"/>
    <x v="1"/>
    <x v="9"/>
    <n v="6"/>
    <n v="12"/>
    <x v="298"/>
    <d v="1899-12-30T00:23:40"/>
  </r>
  <r>
    <x v="13"/>
    <x v="0"/>
    <n v="35.76"/>
    <x v="7"/>
    <x v="2"/>
    <x v="1"/>
    <x v="9"/>
    <n v="6"/>
    <n v="12"/>
    <x v="298"/>
    <d v="1899-12-30T00:11:02"/>
  </r>
  <r>
    <x v="2"/>
    <x v="0"/>
    <n v="25.96"/>
    <x v="5"/>
    <x v="1"/>
    <x v="2"/>
    <x v="9"/>
    <n v="7"/>
    <n v="12"/>
    <x v="299"/>
    <d v="1899-12-30T00:46:16"/>
  </r>
  <r>
    <x v="3"/>
    <x v="0"/>
    <n v="21.06"/>
    <x v="6"/>
    <x v="1"/>
    <x v="2"/>
    <x v="9"/>
    <n v="7"/>
    <n v="12"/>
    <x v="299"/>
    <d v="1899-12-30T00:04:27"/>
  </r>
  <r>
    <x v="3"/>
    <x v="0"/>
    <n v="25.96"/>
    <x v="2"/>
    <x v="1"/>
    <x v="2"/>
    <x v="9"/>
    <n v="7"/>
    <n v="12"/>
    <x v="299"/>
    <d v="1899-12-30T00:05:16"/>
  </r>
  <r>
    <x v="9"/>
    <x v="0"/>
    <n v="25.96"/>
    <x v="5"/>
    <x v="2"/>
    <x v="2"/>
    <x v="9"/>
    <n v="7"/>
    <n v="12"/>
    <x v="299"/>
    <d v="1899-12-30T00:30:05"/>
  </r>
  <r>
    <x v="9"/>
    <x v="0"/>
    <n v="21.06"/>
    <x v="6"/>
    <x v="2"/>
    <x v="2"/>
    <x v="9"/>
    <n v="7"/>
    <n v="12"/>
    <x v="299"/>
    <d v="1899-12-30T00:31:47"/>
  </r>
  <r>
    <x v="6"/>
    <x v="0"/>
    <n v="25.96"/>
    <x v="5"/>
    <x v="2"/>
    <x v="2"/>
    <x v="9"/>
    <n v="7"/>
    <n v="12"/>
    <x v="299"/>
    <d v="1899-12-30T00:47:44"/>
  </r>
  <r>
    <x v="11"/>
    <x v="0"/>
    <n v="35.76"/>
    <x v="1"/>
    <x v="2"/>
    <x v="2"/>
    <x v="9"/>
    <n v="7"/>
    <n v="12"/>
    <x v="299"/>
    <d v="1899-12-30T00:25:54"/>
  </r>
  <r>
    <x v="15"/>
    <x v="0"/>
    <n v="35.76"/>
    <x v="0"/>
    <x v="2"/>
    <x v="2"/>
    <x v="9"/>
    <n v="7"/>
    <n v="12"/>
    <x v="299"/>
    <d v="1899-12-30T00:17:19"/>
  </r>
  <r>
    <x v="10"/>
    <x v="0"/>
    <n v="25.96"/>
    <x v="5"/>
    <x v="0"/>
    <x v="3"/>
    <x v="9"/>
    <n v="1"/>
    <n v="12"/>
    <x v="300"/>
    <d v="1899-12-30T00:02:44"/>
  </r>
  <r>
    <x v="10"/>
    <x v="0"/>
    <n v="30.86"/>
    <x v="3"/>
    <x v="0"/>
    <x v="3"/>
    <x v="9"/>
    <n v="1"/>
    <n v="12"/>
    <x v="300"/>
    <d v="1899-12-30T00:44:12"/>
  </r>
  <r>
    <x v="2"/>
    <x v="0"/>
    <n v="35.76"/>
    <x v="0"/>
    <x v="1"/>
    <x v="3"/>
    <x v="9"/>
    <n v="1"/>
    <n v="12"/>
    <x v="300"/>
    <d v="1899-12-30T00:52:31"/>
  </r>
  <r>
    <x v="2"/>
    <x v="0"/>
    <n v="35.76"/>
    <x v="1"/>
    <x v="1"/>
    <x v="3"/>
    <x v="9"/>
    <n v="1"/>
    <n v="12"/>
    <x v="300"/>
    <d v="1899-12-30T00:53:39"/>
  </r>
  <r>
    <x v="3"/>
    <x v="0"/>
    <n v="35.76"/>
    <x v="0"/>
    <x v="1"/>
    <x v="3"/>
    <x v="9"/>
    <n v="1"/>
    <n v="12"/>
    <x v="300"/>
    <d v="1899-12-30T00:12:45"/>
  </r>
  <r>
    <x v="3"/>
    <x v="0"/>
    <n v="30.86"/>
    <x v="3"/>
    <x v="1"/>
    <x v="3"/>
    <x v="9"/>
    <n v="1"/>
    <n v="12"/>
    <x v="300"/>
    <d v="1899-12-30T00:13:39"/>
  </r>
  <r>
    <x v="4"/>
    <x v="0"/>
    <n v="30.86"/>
    <x v="3"/>
    <x v="1"/>
    <x v="3"/>
    <x v="9"/>
    <n v="1"/>
    <n v="12"/>
    <x v="300"/>
    <d v="1899-12-30T00:29:54"/>
  </r>
  <r>
    <x v="4"/>
    <x v="0"/>
    <n v="25.96"/>
    <x v="2"/>
    <x v="1"/>
    <x v="3"/>
    <x v="9"/>
    <n v="1"/>
    <n v="12"/>
    <x v="300"/>
    <d v="1899-12-30T00:31:29"/>
  </r>
  <r>
    <x v="4"/>
    <x v="0"/>
    <n v="35.76"/>
    <x v="7"/>
    <x v="1"/>
    <x v="3"/>
    <x v="9"/>
    <n v="1"/>
    <n v="12"/>
    <x v="300"/>
    <d v="1899-12-30T00:36:46"/>
  </r>
  <r>
    <x v="12"/>
    <x v="0"/>
    <n v="25.96"/>
    <x v="5"/>
    <x v="0"/>
    <x v="4"/>
    <x v="9"/>
    <n v="2"/>
    <n v="12"/>
    <x v="301"/>
    <d v="1899-12-30T00:52:29"/>
  </r>
  <r>
    <x v="10"/>
    <x v="0"/>
    <n v="35.76"/>
    <x v="7"/>
    <x v="0"/>
    <x v="4"/>
    <x v="9"/>
    <n v="2"/>
    <n v="12"/>
    <x v="301"/>
    <d v="1899-12-30T00:36:50"/>
  </r>
  <r>
    <x v="10"/>
    <x v="0"/>
    <n v="25.96"/>
    <x v="5"/>
    <x v="0"/>
    <x v="4"/>
    <x v="9"/>
    <n v="2"/>
    <n v="12"/>
    <x v="301"/>
    <d v="1899-12-30T00:39:42"/>
  </r>
  <r>
    <x v="10"/>
    <x v="0"/>
    <n v="35.76"/>
    <x v="4"/>
    <x v="0"/>
    <x v="4"/>
    <x v="9"/>
    <n v="2"/>
    <n v="12"/>
    <x v="301"/>
    <d v="1899-12-30T00:45:29"/>
  </r>
  <r>
    <x v="0"/>
    <x v="0"/>
    <n v="30.86"/>
    <x v="3"/>
    <x v="0"/>
    <x v="4"/>
    <x v="9"/>
    <n v="2"/>
    <n v="12"/>
    <x v="301"/>
    <d v="1899-12-30T00:26:53"/>
  </r>
  <r>
    <x v="0"/>
    <x v="0"/>
    <n v="30.86"/>
    <x v="3"/>
    <x v="0"/>
    <x v="4"/>
    <x v="9"/>
    <n v="2"/>
    <n v="12"/>
    <x v="301"/>
    <d v="1899-12-30T00:29:28"/>
  </r>
  <r>
    <x v="7"/>
    <x v="0"/>
    <n v="35.76"/>
    <x v="7"/>
    <x v="0"/>
    <x v="4"/>
    <x v="9"/>
    <n v="2"/>
    <n v="12"/>
    <x v="301"/>
    <d v="1899-12-30T00:11:31"/>
  </r>
  <r>
    <x v="7"/>
    <x v="0"/>
    <n v="30.86"/>
    <x v="3"/>
    <x v="0"/>
    <x v="4"/>
    <x v="9"/>
    <n v="2"/>
    <n v="12"/>
    <x v="301"/>
    <d v="1899-12-30T00:12:42"/>
  </r>
  <r>
    <x v="3"/>
    <x v="0"/>
    <n v="21.06"/>
    <x v="6"/>
    <x v="1"/>
    <x v="4"/>
    <x v="9"/>
    <n v="2"/>
    <n v="12"/>
    <x v="301"/>
    <d v="1899-12-30T00:42:14"/>
  </r>
  <r>
    <x v="3"/>
    <x v="0"/>
    <n v="25.96"/>
    <x v="2"/>
    <x v="1"/>
    <x v="4"/>
    <x v="9"/>
    <n v="2"/>
    <n v="12"/>
    <x v="301"/>
    <d v="1899-12-30T00:43:13"/>
  </r>
  <r>
    <x v="4"/>
    <x v="0"/>
    <n v="35.76"/>
    <x v="7"/>
    <x v="1"/>
    <x v="4"/>
    <x v="9"/>
    <n v="2"/>
    <n v="12"/>
    <x v="301"/>
    <d v="1899-12-30T00:07:19"/>
  </r>
  <r>
    <x v="9"/>
    <x v="0"/>
    <n v="35.76"/>
    <x v="0"/>
    <x v="2"/>
    <x v="4"/>
    <x v="9"/>
    <n v="2"/>
    <n v="12"/>
    <x v="301"/>
    <d v="1899-12-30T00:10:18"/>
  </r>
  <r>
    <x v="9"/>
    <x v="0"/>
    <n v="30.86"/>
    <x v="3"/>
    <x v="2"/>
    <x v="4"/>
    <x v="9"/>
    <n v="2"/>
    <n v="12"/>
    <x v="301"/>
    <d v="1899-12-30T00:30:53"/>
  </r>
  <r>
    <x v="9"/>
    <x v="0"/>
    <n v="35.76"/>
    <x v="7"/>
    <x v="2"/>
    <x v="4"/>
    <x v="9"/>
    <n v="2"/>
    <n v="12"/>
    <x v="301"/>
    <d v="1899-12-30T00:31:49"/>
  </r>
  <r>
    <x v="6"/>
    <x v="0"/>
    <n v="35.76"/>
    <x v="0"/>
    <x v="2"/>
    <x v="4"/>
    <x v="9"/>
    <n v="2"/>
    <n v="12"/>
    <x v="301"/>
    <d v="1899-12-30T00:07:25"/>
  </r>
  <r>
    <x v="6"/>
    <x v="0"/>
    <n v="35.76"/>
    <x v="1"/>
    <x v="2"/>
    <x v="4"/>
    <x v="9"/>
    <n v="2"/>
    <n v="12"/>
    <x v="301"/>
    <d v="1899-12-30T00:08:39"/>
  </r>
  <r>
    <x v="10"/>
    <x v="0"/>
    <n v="30.86"/>
    <x v="3"/>
    <x v="0"/>
    <x v="6"/>
    <x v="10"/>
    <n v="4"/>
    <n v="1"/>
    <x v="302"/>
    <d v="1899-12-30T00:58:05"/>
  </r>
  <r>
    <x v="2"/>
    <x v="0"/>
    <n v="35.76"/>
    <x v="4"/>
    <x v="1"/>
    <x v="6"/>
    <x v="10"/>
    <n v="4"/>
    <n v="1"/>
    <x v="302"/>
    <d v="1899-12-30T00:29:40"/>
  </r>
  <r>
    <x v="2"/>
    <x v="0"/>
    <n v="35.76"/>
    <x v="4"/>
    <x v="1"/>
    <x v="6"/>
    <x v="10"/>
    <n v="4"/>
    <n v="1"/>
    <x v="302"/>
    <d v="1899-12-30T00:30:39"/>
  </r>
  <r>
    <x v="8"/>
    <x v="0"/>
    <n v="25.96"/>
    <x v="5"/>
    <x v="1"/>
    <x v="6"/>
    <x v="10"/>
    <n v="4"/>
    <n v="1"/>
    <x v="302"/>
    <d v="1899-12-30T00:41:11"/>
  </r>
  <r>
    <x v="8"/>
    <x v="0"/>
    <n v="25.96"/>
    <x v="5"/>
    <x v="1"/>
    <x v="6"/>
    <x v="10"/>
    <n v="4"/>
    <n v="1"/>
    <x v="302"/>
    <d v="1899-12-30T00:42:46"/>
  </r>
  <r>
    <x v="4"/>
    <x v="0"/>
    <n v="25.96"/>
    <x v="2"/>
    <x v="1"/>
    <x v="6"/>
    <x v="10"/>
    <n v="4"/>
    <n v="1"/>
    <x v="302"/>
    <d v="1899-12-30T00:22:32"/>
  </r>
  <r>
    <x v="4"/>
    <x v="0"/>
    <n v="35.76"/>
    <x v="1"/>
    <x v="1"/>
    <x v="6"/>
    <x v="10"/>
    <n v="4"/>
    <n v="1"/>
    <x v="302"/>
    <d v="1899-12-30T00:35:00"/>
  </r>
  <r>
    <x v="4"/>
    <x v="0"/>
    <n v="30.86"/>
    <x v="3"/>
    <x v="1"/>
    <x v="6"/>
    <x v="10"/>
    <n v="4"/>
    <n v="1"/>
    <x v="302"/>
    <d v="1899-12-30T00:35:44"/>
  </r>
  <r>
    <x v="9"/>
    <x v="0"/>
    <n v="35.76"/>
    <x v="7"/>
    <x v="2"/>
    <x v="6"/>
    <x v="10"/>
    <n v="4"/>
    <n v="1"/>
    <x v="302"/>
    <d v="1899-12-30T00:43:10"/>
  </r>
  <r>
    <x v="10"/>
    <x v="0"/>
    <n v="25.96"/>
    <x v="5"/>
    <x v="0"/>
    <x v="0"/>
    <x v="10"/>
    <n v="5"/>
    <n v="1"/>
    <x v="303"/>
    <d v="1899-12-30T00:03:23"/>
  </r>
  <r>
    <x v="0"/>
    <x v="0"/>
    <n v="30.86"/>
    <x v="3"/>
    <x v="0"/>
    <x v="0"/>
    <x v="10"/>
    <n v="5"/>
    <n v="1"/>
    <x v="303"/>
    <d v="1899-12-30T00:10:31"/>
  </r>
  <r>
    <x v="4"/>
    <x v="0"/>
    <n v="30.86"/>
    <x v="3"/>
    <x v="1"/>
    <x v="0"/>
    <x v="10"/>
    <n v="5"/>
    <n v="1"/>
    <x v="303"/>
    <d v="1899-12-30T00:58:09"/>
  </r>
  <r>
    <x v="13"/>
    <x v="0"/>
    <n v="35.76"/>
    <x v="7"/>
    <x v="2"/>
    <x v="0"/>
    <x v="10"/>
    <n v="5"/>
    <n v="1"/>
    <x v="303"/>
    <d v="1899-12-30T00:13:29"/>
  </r>
  <r>
    <x v="13"/>
    <x v="0"/>
    <n v="25.96"/>
    <x v="2"/>
    <x v="2"/>
    <x v="0"/>
    <x v="10"/>
    <n v="5"/>
    <n v="1"/>
    <x v="303"/>
    <d v="1899-12-30T00:18:20"/>
  </r>
  <r>
    <x v="13"/>
    <x v="0"/>
    <n v="25.96"/>
    <x v="2"/>
    <x v="2"/>
    <x v="0"/>
    <x v="10"/>
    <n v="5"/>
    <n v="1"/>
    <x v="303"/>
    <d v="1899-12-30T00:19:14"/>
  </r>
  <r>
    <x v="13"/>
    <x v="0"/>
    <n v="35.76"/>
    <x v="0"/>
    <x v="2"/>
    <x v="0"/>
    <x v="10"/>
    <n v="5"/>
    <n v="1"/>
    <x v="303"/>
    <d v="1899-12-30T00:21:26"/>
  </r>
  <r>
    <x v="12"/>
    <x v="0"/>
    <n v="25.96"/>
    <x v="5"/>
    <x v="0"/>
    <x v="1"/>
    <x v="10"/>
    <n v="6"/>
    <n v="1"/>
    <x v="304"/>
    <d v="1899-12-30T00:58:27"/>
  </r>
  <r>
    <x v="10"/>
    <x v="0"/>
    <n v="25.96"/>
    <x v="2"/>
    <x v="0"/>
    <x v="1"/>
    <x v="10"/>
    <n v="6"/>
    <n v="1"/>
    <x v="304"/>
    <d v="1899-12-30T00:59:28"/>
  </r>
  <r>
    <x v="2"/>
    <x v="0"/>
    <n v="35.76"/>
    <x v="7"/>
    <x v="1"/>
    <x v="1"/>
    <x v="10"/>
    <n v="6"/>
    <n v="1"/>
    <x v="304"/>
    <d v="1899-12-30T00:40:00"/>
  </r>
  <r>
    <x v="3"/>
    <x v="0"/>
    <n v="35.76"/>
    <x v="4"/>
    <x v="1"/>
    <x v="1"/>
    <x v="10"/>
    <n v="6"/>
    <n v="1"/>
    <x v="304"/>
    <d v="1899-12-30T00:59:33"/>
  </r>
  <r>
    <x v="4"/>
    <x v="0"/>
    <n v="30.86"/>
    <x v="3"/>
    <x v="1"/>
    <x v="1"/>
    <x v="10"/>
    <n v="6"/>
    <n v="1"/>
    <x v="304"/>
    <d v="1899-12-30T00:12:55"/>
  </r>
  <r>
    <x v="4"/>
    <x v="0"/>
    <n v="35.76"/>
    <x v="7"/>
    <x v="1"/>
    <x v="1"/>
    <x v="10"/>
    <n v="6"/>
    <n v="1"/>
    <x v="304"/>
    <d v="1899-12-30T00:14:10"/>
  </r>
  <r>
    <x v="4"/>
    <x v="0"/>
    <n v="35.76"/>
    <x v="7"/>
    <x v="1"/>
    <x v="1"/>
    <x v="10"/>
    <n v="6"/>
    <n v="1"/>
    <x v="304"/>
    <d v="1899-12-30T00:16:11"/>
  </r>
  <r>
    <x v="4"/>
    <x v="0"/>
    <n v="25.96"/>
    <x v="5"/>
    <x v="1"/>
    <x v="1"/>
    <x v="10"/>
    <n v="6"/>
    <n v="1"/>
    <x v="304"/>
    <d v="1899-12-30T00:18:04"/>
  </r>
  <r>
    <x v="5"/>
    <x v="0"/>
    <n v="25.96"/>
    <x v="2"/>
    <x v="2"/>
    <x v="1"/>
    <x v="10"/>
    <n v="6"/>
    <n v="1"/>
    <x v="304"/>
    <d v="1899-12-30T00:11:39"/>
  </r>
  <r>
    <x v="13"/>
    <x v="0"/>
    <n v="35.76"/>
    <x v="0"/>
    <x v="2"/>
    <x v="1"/>
    <x v="10"/>
    <n v="6"/>
    <n v="1"/>
    <x v="304"/>
    <d v="1899-12-30T00:23:31"/>
  </r>
  <r>
    <x v="10"/>
    <x v="0"/>
    <n v="30.86"/>
    <x v="3"/>
    <x v="0"/>
    <x v="2"/>
    <x v="10"/>
    <n v="7"/>
    <n v="1"/>
    <x v="305"/>
    <d v="1899-12-30T00:45:58"/>
  </r>
  <r>
    <x v="0"/>
    <x v="0"/>
    <n v="35.76"/>
    <x v="0"/>
    <x v="0"/>
    <x v="2"/>
    <x v="10"/>
    <n v="7"/>
    <n v="1"/>
    <x v="305"/>
    <d v="1899-12-30T00:53:01"/>
  </r>
  <r>
    <x v="13"/>
    <x v="0"/>
    <n v="30.86"/>
    <x v="3"/>
    <x v="2"/>
    <x v="2"/>
    <x v="10"/>
    <n v="7"/>
    <n v="1"/>
    <x v="305"/>
    <d v="1899-12-30T00:07:17"/>
  </r>
  <r>
    <x v="6"/>
    <x v="0"/>
    <n v="25.96"/>
    <x v="2"/>
    <x v="2"/>
    <x v="3"/>
    <x v="10"/>
    <n v="1"/>
    <n v="1"/>
    <x v="306"/>
    <d v="1899-12-30T00:58:51"/>
  </r>
  <r>
    <x v="2"/>
    <x v="0"/>
    <n v="35.76"/>
    <x v="7"/>
    <x v="1"/>
    <x v="4"/>
    <x v="10"/>
    <n v="2"/>
    <n v="1"/>
    <x v="307"/>
    <d v="1899-12-30T00:29:03"/>
  </r>
  <r>
    <x v="13"/>
    <x v="0"/>
    <n v="35.76"/>
    <x v="4"/>
    <x v="2"/>
    <x v="4"/>
    <x v="10"/>
    <n v="2"/>
    <n v="1"/>
    <x v="307"/>
    <d v="1899-12-30T00:32:45"/>
  </r>
  <r>
    <x v="13"/>
    <x v="0"/>
    <n v="35.76"/>
    <x v="4"/>
    <x v="2"/>
    <x v="4"/>
    <x v="10"/>
    <n v="2"/>
    <n v="1"/>
    <x v="307"/>
    <d v="1899-12-30T00:33:59"/>
  </r>
  <r>
    <x v="14"/>
    <x v="0"/>
    <n v="30.86"/>
    <x v="3"/>
    <x v="0"/>
    <x v="5"/>
    <x v="10"/>
    <n v="3"/>
    <n v="1"/>
    <x v="308"/>
    <d v="1899-12-30T00:30:02"/>
  </r>
  <r>
    <x v="10"/>
    <x v="0"/>
    <n v="35.76"/>
    <x v="0"/>
    <x v="0"/>
    <x v="5"/>
    <x v="10"/>
    <n v="3"/>
    <n v="1"/>
    <x v="308"/>
    <d v="1899-12-30T00:11:15"/>
  </r>
  <r>
    <x v="0"/>
    <x v="0"/>
    <n v="25.96"/>
    <x v="5"/>
    <x v="0"/>
    <x v="5"/>
    <x v="10"/>
    <n v="3"/>
    <n v="1"/>
    <x v="308"/>
    <d v="1899-12-30T00:30:29"/>
  </r>
  <r>
    <x v="9"/>
    <x v="0"/>
    <n v="35.76"/>
    <x v="7"/>
    <x v="2"/>
    <x v="5"/>
    <x v="10"/>
    <n v="3"/>
    <n v="1"/>
    <x v="308"/>
    <d v="1899-12-30T00:22:52"/>
  </r>
  <r>
    <x v="12"/>
    <x v="0"/>
    <n v="25.96"/>
    <x v="2"/>
    <x v="0"/>
    <x v="6"/>
    <x v="10"/>
    <n v="4"/>
    <n v="1"/>
    <x v="309"/>
    <d v="1899-12-30T00:07:08"/>
  </r>
  <r>
    <x v="12"/>
    <x v="0"/>
    <n v="35.76"/>
    <x v="0"/>
    <x v="0"/>
    <x v="6"/>
    <x v="10"/>
    <n v="4"/>
    <n v="1"/>
    <x v="309"/>
    <d v="1899-12-30T00:56:35"/>
  </r>
  <r>
    <x v="10"/>
    <x v="0"/>
    <n v="30.86"/>
    <x v="3"/>
    <x v="0"/>
    <x v="6"/>
    <x v="10"/>
    <n v="4"/>
    <n v="1"/>
    <x v="309"/>
    <d v="1899-12-30T00:02:32"/>
  </r>
  <r>
    <x v="8"/>
    <x v="0"/>
    <n v="21.06"/>
    <x v="6"/>
    <x v="1"/>
    <x v="6"/>
    <x v="10"/>
    <n v="4"/>
    <n v="1"/>
    <x v="309"/>
    <d v="1899-12-30T00:27:24"/>
  </r>
  <r>
    <x v="3"/>
    <x v="0"/>
    <n v="35.76"/>
    <x v="0"/>
    <x v="1"/>
    <x v="6"/>
    <x v="10"/>
    <n v="4"/>
    <n v="1"/>
    <x v="309"/>
    <d v="1899-12-30T00:36:59"/>
  </r>
  <r>
    <x v="3"/>
    <x v="0"/>
    <n v="30.86"/>
    <x v="3"/>
    <x v="1"/>
    <x v="6"/>
    <x v="10"/>
    <n v="4"/>
    <n v="1"/>
    <x v="309"/>
    <d v="1899-12-30T00:48:10"/>
  </r>
  <r>
    <x v="3"/>
    <x v="0"/>
    <n v="25.96"/>
    <x v="5"/>
    <x v="1"/>
    <x v="6"/>
    <x v="10"/>
    <n v="4"/>
    <n v="1"/>
    <x v="309"/>
    <d v="1899-12-30T00:49:12"/>
  </r>
  <r>
    <x v="11"/>
    <x v="0"/>
    <n v="30.86"/>
    <x v="3"/>
    <x v="2"/>
    <x v="6"/>
    <x v="10"/>
    <n v="4"/>
    <n v="1"/>
    <x v="309"/>
    <d v="1899-12-30T00:30:29"/>
  </r>
  <r>
    <x v="13"/>
    <x v="0"/>
    <n v="35.76"/>
    <x v="0"/>
    <x v="2"/>
    <x v="6"/>
    <x v="10"/>
    <n v="4"/>
    <n v="1"/>
    <x v="309"/>
    <d v="1899-12-30T00:10:21"/>
  </r>
  <r>
    <x v="12"/>
    <x v="0"/>
    <n v="30.86"/>
    <x v="3"/>
    <x v="0"/>
    <x v="0"/>
    <x v="10"/>
    <n v="5"/>
    <n v="1"/>
    <x v="310"/>
    <d v="1899-12-30T00:49:21"/>
  </r>
  <r>
    <x v="10"/>
    <x v="0"/>
    <n v="30.86"/>
    <x v="3"/>
    <x v="0"/>
    <x v="0"/>
    <x v="10"/>
    <n v="5"/>
    <n v="1"/>
    <x v="310"/>
    <d v="1899-12-30T00:16:37"/>
  </r>
  <r>
    <x v="9"/>
    <x v="0"/>
    <n v="35.76"/>
    <x v="7"/>
    <x v="2"/>
    <x v="0"/>
    <x v="10"/>
    <n v="5"/>
    <n v="1"/>
    <x v="310"/>
    <d v="1899-12-30T00:51:19"/>
  </r>
  <r>
    <x v="9"/>
    <x v="0"/>
    <n v="35.76"/>
    <x v="1"/>
    <x v="2"/>
    <x v="0"/>
    <x v="10"/>
    <n v="5"/>
    <n v="1"/>
    <x v="310"/>
    <d v="1899-12-30T00:55:53"/>
  </r>
  <r>
    <x v="9"/>
    <x v="0"/>
    <n v="30.86"/>
    <x v="3"/>
    <x v="2"/>
    <x v="0"/>
    <x v="10"/>
    <n v="5"/>
    <n v="1"/>
    <x v="310"/>
    <d v="1899-12-30T00:59:39"/>
  </r>
  <r>
    <x v="14"/>
    <x v="0"/>
    <n v="30.86"/>
    <x v="3"/>
    <x v="0"/>
    <x v="1"/>
    <x v="10"/>
    <n v="6"/>
    <n v="1"/>
    <x v="311"/>
    <d v="1899-12-30T00:44:31"/>
  </r>
  <r>
    <x v="0"/>
    <x v="0"/>
    <n v="35.76"/>
    <x v="1"/>
    <x v="0"/>
    <x v="1"/>
    <x v="10"/>
    <n v="6"/>
    <n v="1"/>
    <x v="311"/>
    <d v="1899-12-30T00:49:41"/>
  </r>
  <r>
    <x v="7"/>
    <x v="0"/>
    <n v="25.96"/>
    <x v="2"/>
    <x v="0"/>
    <x v="1"/>
    <x v="10"/>
    <n v="6"/>
    <n v="1"/>
    <x v="311"/>
    <d v="1899-12-30T00:13:54"/>
  </r>
  <r>
    <x v="7"/>
    <x v="0"/>
    <n v="35.76"/>
    <x v="0"/>
    <x v="0"/>
    <x v="1"/>
    <x v="10"/>
    <n v="6"/>
    <n v="1"/>
    <x v="311"/>
    <d v="1899-12-30T00:20:18"/>
  </r>
  <r>
    <x v="7"/>
    <x v="0"/>
    <n v="35.76"/>
    <x v="0"/>
    <x v="0"/>
    <x v="1"/>
    <x v="10"/>
    <n v="6"/>
    <n v="1"/>
    <x v="311"/>
    <d v="1899-12-30T00:21:26"/>
  </r>
  <r>
    <x v="1"/>
    <x v="0"/>
    <n v="35.76"/>
    <x v="0"/>
    <x v="1"/>
    <x v="1"/>
    <x v="10"/>
    <n v="6"/>
    <n v="1"/>
    <x v="311"/>
    <d v="1899-12-30T00:10:59"/>
  </r>
  <r>
    <x v="1"/>
    <x v="0"/>
    <n v="35.76"/>
    <x v="0"/>
    <x v="1"/>
    <x v="1"/>
    <x v="10"/>
    <n v="6"/>
    <n v="1"/>
    <x v="311"/>
    <d v="1899-12-30T00:13:25"/>
  </r>
  <r>
    <x v="8"/>
    <x v="0"/>
    <n v="30.86"/>
    <x v="3"/>
    <x v="1"/>
    <x v="1"/>
    <x v="10"/>
    <n v="6"/>
    <n v="1"/>
    <x v="311"/>
    <d v="1899-12-30T00:12:55"/>
  </r>
  <r>
    <x v="8"/>
    <x v="0"/>
    <n v="30.86"/>
    <x v="3"/>
    <x v="1"/>
    <x v="1"/>
    <x v="10"/>
    <n v="6"/>
    <n v="1"/>
    <x v="311"/>
    <d v="1899-12-30T00:15:38"/>
  </r>
  <r>
    <x v="8"/>
    <x v="0"/>
    <n v="35.76"/>
    <x v="7"/>
    <x v="1"/>
    <x v="1"/>
    <x v="10"/>
    <n v="6"/>
    <n v="1"/>
    <x v="311"/>
    <d v="1899-12-30T00:16:44"/>
  </r>
  <r>
    <x v="8"/>
    <x v="0"/>
    <n v="35.76"/>
    <x v="0"/>
    <x v="1"/>
    <x v="1"/>
    <x v="10"/>
    <n v="6"/>
    <n v="1"/>
    <x v="311"/>
    <d v="1899-12-30T00:47:03"/>
  </r>
  <r>
    <x v="9"/>
    <x v="0"/>
    <n v="25.96"/>
    <x v="5"/>
    <x v="2"/>
    <x v="1"/>
    <x v="10"/>
    <n v="6"/>
    <n v="1"/>
    <x v="311"/>
    <d v="1899-12-30T00:19:34"/>
  </r>
  <r>
    <x v="9"/>
    <x v="0"/>
    <n v="35.76"/>
    <x v="0"/>
    <x v="2"/>
    <x v="1"/>
    <x v="10"/>
    <n v="6"/>
    <n v="1"/>
    <x v="311"/>
    <d v="1899-12-30T00:20:57"/>
  </r>
  <r>
    <x v="9"/>
    <x v="0"/>
    <n v="25.96"/>
    <x v="5"/>
    <x v="2"/>
    <x v="1"/>
    <x v="10"/>
    <n v="6"/>
    <n v="1"/>
    <x v="311"/>
    <d v="1899-12-30T00:22:05"/>
  </r>
  <r>
    <x v="5"/>
    <x v="0"/>
    <n v="30.86"/>
    <x v="3"/>
    <x v="2"/>
    <x v="1"/>
    <x v="10"/>
    <n v="6"/>
    <n v="1"/>
    <x v="311"/>
    <d v="1899-12-30T00:01:29"/>
  </r>
  <r>
    <x v="7"/>
    <x v="0"/>
    <n v="30.86"/>
    <x v="3"/>
    <x v="0"/>
    <x v="2"/>
    <x v="10"/>
    <n v="7"/>
    <n v="1"/>
    <x v="312"/>
    <d v="1899-12-30T00:45:32"/>
  </r>
  <r>
    <x v="7"/>
    <x v="0"/>
    <n v="25.96"/>
    <x v="2"/>
    <x v="0"/>
    <x v="2"/>
    <x v="10"/>
    <n v="7"/>
    <n v="1"/>
    <x v="312"/>
    <d v="1899-12-30T00:48:19"/>
  </r>
  <r>
    <x v="7"/>
    <x v="0"/>
    <n v="30.86"/>
    <x v="3"/>
    <x v="0"/>
    <x v="2"/>
    <x v="10"/>
    <n v="7"/>
    <n v="1"/>
    <x v="312"/>
    <d v="1899-12-30T00:49:50"/>
  </r>
  <r>
    <x v="4"/>
    <x v="0"/>
    <n v="35.76"/>
    <x v="1"/>
    <x v="1"/>
    <x v="2"/>
    <x v="10"/>
    <n v="7"/>
    <n v="1"/>
    <x v="312"/>
    <d v="1899-12-30T00:15:59"/>
  </r>
  <r>
    <x v="11"/>
    <x v="0"/>
    <n v="30.86"/>
    <x v="3"/>
    <x v="2"/>
    <x v="2"/>
    <x v="10"/>
    <n v="7"/>
    <n v="1"/>
    <x v="312"/>
    <d v="1899-12-30T00:56:04"/>
  </r>
  <r>
    <x v="12"/>
    <x v="0"/>
    <n v="30.86"/>
    <x v="3"/>
    <x v="0"/>
    <x v="3"/>
    <x v="10"/>
    <n v="1"/>
    <n v="1"/>
    <x v="313"/>
    <d v="1899-12-30T00:08:20"/>
  </r>
  <r>
    <x v="10"/>
    <x v="0"/>
    <n v="30.86"/>
    <x v="3"/>
    <x v="0"/>
    <x v="3"/>
    <x v="10"/>
    <n v="1"/>
    <n v="1"/>
    <x v="313"/>
    <d v="1899-12-30T00:17:20"/>
  </r>
  <r>
    <x v="2"/>
    <x v="0"/>
    <n v="25.96"/>
    <x v="5"/>
    <x v="1"/>
    <x v="3"/>
    <x v="10"/>
    <n v="1"/>
    <n v="1"/>
    <x v="313"/>
    <d v="1899-12-30T00:02:57"/>
  </r>
  <r>
    <x v="2"/>
    <x v="0"/>
    <n v="35.76"/>
    <x v="0"/>
    <x v="1"/>
    <x v="3"/>
    <x v="10"/>
    <n v="1"/>
    <n v="1"/>
    <x v="313"/>
    <d v="1899-12-30T00:50:47"/>
  </r>
  <r>
    <x v="8"/>
    <x v="0"/>
    <n v="35.76"/>
    <x v="0"/>
    <x v="1"/>
    <x v="3"/>
    <x v="10"/>
    <n v="1"/>
    <n v="1"/>
    <x v="313"/>
    <d v="1899-12-30T00:11:27"/>
  </r>
  <r>
    <x v="8"/>
    <x v="0"/>
    <n v="35.76"/>
    <x v="7"/>
    <x v="1"/>
    <x v="3"/>
    <x v="10"/>
    <n v="1"/>
    <n v="1"/>
    <x v="313"/>
    <d v="1899-12-30T00:12:28"/>
  </r>
  <r>
    <x v="4"/>
    <x v="0"/>
    <n v="35.76"/>
    <x v="0"/>
    <x v="1"/>
    <x v="3"/>
    <x v="10"/>
    <n v="1"/>
    <n v="1"/>
    <x v="313"/>
    <d v="1899-12-30T00:25:36"/>
  </r>
  <r>
    <x v="11"/>
    <x v="0"/>
    <n v="21.06"/>
    <x v="6"/>
    <x v="2"/>
    <x v="3"/>
    <x v="10"/>
    <n v="1"/>
    <n v="1"/>
    <x v="313"/>
    <d v="1899-12-30T00:51:18"/>
  </r>
  <r>
    <x v="14"/>
    <x v="0"/>
    <n v="35.76"/>
    <x v="0"/>
    <x v="0"/>
    <x v="4"/>
    <x v="10"/>
    <n v="2"/>
    <n v="1"/>
    <x v="314"/>
    <d v="1899-12-30T00:37:43"/>
  </r>
  <r>
    <x v="10"/>
    <x v="0"/>
    <n v="25.96"/>
    <x v="5"/>
    <x v="0"/>
    <x v="4"/>
    <x v="10"/>
    <n v="2"/>
    <n v="1"/>
    <x v="314"/>
    <d v="1899-12-30T00:53:43"/>
  </r>
  <r>
    <x v="0"/>
    <x v="0"/>
    <n v="30.86"/>
    <x v="3"/>
    <x v="0"/>
    <x v="4"/>
    <x v="10"/>
    <n v="2"/>
    <n v="1"/>
    <x v="314"/>
    <d v="1899-12-30T00:21:46"/>
  </r>
  <r>
    <x v="1"/>
    <x v="0"/>
    <n v="35.76"/>
    <x v="0"/>
    <x v="1"/>
    <x v="4"/>
    <x v="10"/>
    <n v="2"/>
    <n v="1"/>
    <x v="314"/>
    <d v="1899-12-30T00:49:14"/>
  </r>
  <r>
    <x v="4"/>
    <x v="0"/>
    <n v="30.86"/>
    <x v="3"/>
    <x v="1"/>
    <x v="4"/>
    <x v="10"/>
    <n v="2"/>
    <n v="1"/>
    <x v="314"/>
    <d v="1899-12-30T00:18:19"/>
  </r>
  <r>
    <x v="4"/>
    <x v="0"/>
    <n v="30.86"/>
    <x v="3"/>
    <x v="1"/>
    <x v="4"/>
    <x v="10"/>
    <n v="2"/>
    <n v="1"/>
    <x v="314"/>
    <d v="1899-12-30T00:19:27"/>
  </r>
  <r>
    <x v="6"/>
    <x v="0"/>
    <n v="35.76"/>
    <x v="7"/>
    <x v="2"/>
    <x v="4"/>
    <x v="10"/>
    <n v="2"/>
    <n v="1"/>
    <x v="314"/>
    <d v="1899-12-30T00:41:56"/>
  </r>
  <r>
    <x v="15"/>
    <x v="0"/>
    <n v="35.76"/>
    <x v="0"/>
    <x v="2"/>
    <x v="4"/>
    <x v="10"/>
    <n v="2"/>
    <n v="1"/>
    <x v="314"/>
    <d v="1899-12-30T00:02:36"/>
  </r>
  <r>
    <x v="10"/>
    <x v="0"/>
    <n v="30.86"/>
    <x v="3"/>
    <x v="0"/>
    <x v="5"/>
    <x v="10"/>
    <n v="3"/>
    <n v="1"/>
    <x v="315"/>
    <d v="1899-12-30T00:12:04"/>
  </r>
  <r>
    <x v="7"/>
    <x v="0"/>
    <n v="25.96"/>
    <x v="2"/>
    <x v="0"/>
    <x v="5"/>
    <x v="10"/>
    <n v="3"/>
    <n v="1"/>
    <x v="315"/>
    <d v="1899-12-30T00:10:24"/>
  </r>
  <r>
    <x v="2"/>
    <x v="0"/>
    <n v="35.76"/>
    <x v="7"/>
    <x v="1"/>
    <x v="5"/>
    <x v="10"/>
    <n v="3"/>
    <n v="1"/>
    <x v="315"/>
    <d v="1899-12-30T00:14:15"/>
  </r>
  <r>
    <x v="3"/>
    <x v="0"/>
    <n v="35.76"/>
    <x v="0"/>
    <x v="1"/>
    <x v="5"/>
    <x v="10"/>
    <n v="3"/>
    <n v="1"/>
    <x v="315"/>
    <d v="1899-12-30T00:35:22"/>
  </r>
  <r>
    <x v="3"/>
    <x v="0"/>
    <n v="35.76"/>
    <x v="7"/>
    <x v="1"/>
    <x v="5"/>
    <x v="10"/>
    <n v="3"/>
    <n v="1"/>
    <x v="315"/>
    <d v="1899-12-30T00:36:48"/>
  </r>
  <r>
    <x v="3"/>
    <x v="0"/>
    <n v="35.76"/>
    <x v="0"/>
    <x v="1"/>
    <x v="5"/>
    <x v="10"/>
    <n v="3"/>
    <n v="1"/>
    <x v="315"/>
    <d v="1899-12-30T00:37:56"/>
  </r>
  <r>
    <x v="4"/>
    <x v="0"/>
    <n v="35.76"/>
    <x v="0"/>
    <x v="1"/>
    <x v="5"/>
    <x v="10"/>
    <n v="3"/>
    <n v="1"/>
    <x v="315"/>
    <d v="1899-12-30T00:55:26"/>
  </r>
  <r>
    <x v="5"/>
    <x v="0"/>
    <n v="35.76"/>
    <x v="0"/>
    <x v="2"/>
    <x v="5"/>
    <x v="10"/>
    <n v="3"/>
    <n v="1"/>
    <x v="315"/>
    <d v="1899-12-30T00:06:12"/>
  </r>
  <r>
    <x v="6"/>
    <x v="0"/>
    <n v="35.76"/>
    <x v="0"/>
    <x v="2"/>
    <x v="5"/>
    <x v="10"/>
    <n v="3"/>
    <n v="1"/>
    <x v="315"/>
    <d v="1899-12-30T00:51:14"/>
  </r>
  <r>
    <x v="15"/>
    <x v="0"/>
    <n v="35.76"/>
    <x v="7"/>
    <x v="2"/>
    <x v="5"/>
    <x v="10"/>
    <n v="3"/>
    <n v="1"/>
    <x v="315"/>
    <d v="1899-12-30T00:41:14"/>
  </r>
  <r>
    <x v="10"/>
    <x v="0"/>
    <n v="35.76"/>
    <x v="0"/>
    <x v="0"/>
    <x v="6"/>
    <x v="10"/>
    <n v="4"/>
    <n v="1"/>
    <x v="316"/>
    <d v="1899-12-30T00:32:58"/>
  </r>
  <r>
    <x v="10"/>
    <x v="0"/>
    <n v="30.86"/>
    <x v="3"/>
    <x v="0"/>
    <x v="6"/>
    <x v="10"/>
    <n v="4"/>
    <n v="1"/>
    <x v="316"/>
    <d v="1899-12-30T00:38:09"/>
  </r>
  <r>
    <x v="0"/>
    <x v="0"/>
    <n v="30.86"/>
    <x v="3"/>
    <x v="0"/>
    <x v="6"/>
    <x v="10"/>
    <n v="4"/>
    <n v="1"/>
    <x v="316"/>
    <d v="1899-12-30T00:41:41"/>
  </r>
  <r>
    <x v="1"/>
    <x v="0"/>
    <n v="25.96"/>
    <x v="5"/>
    <x v="1"/>
    <x v="6"/>
    <x v="10"/>
    <n v="4"/>
    <n v="1"/>
    <x v="316"/>
    <d v="1899-12-30T00:12:16"/>
  </r>
  <r>
    <x v="3"/>
    <x v="0"/>
    <n v="35.76"/>
    <x v="0"/>
    <x v="1"/>
    <x v="6"/>
    <x v="10"/>
    <n v="4"/>
    <n v="1"/>
    <x v="316"/>
    <d v="1899-12-30T00:16:19"/>
  </r>
  <r>
    <x v="4"/>
    <x v="0"/>
    <n v="35.76"/>
    <x v="0"/>
    <x v="1"/>
    <x v="6"/>
    <x v="10"/>
    <n v="4"/>
    <n v="1"/>
    <x v="316"/>
    <d v="1899-12-30T00:35:11"/>
  </r>
  <r>
    <x v="5"/>
    <x v="0"/>
    <n v="35.76"/>
    <x v="7"/>
    <x v="2"/>
    <x v="6"/>
    <x v="10"/>
    <n v="4"/>
    <n v="1"/>
    <x v="316"/>
    <d v="1899-12-30T00:15:57"/>
  </r>
  <r>
    <x v="15"/>
    <x v="0"/>
    <n v="35.76"/>
    <x v="1"/>
    <x v="2"/>
    <x v="6"/>
    <x v="10"/>
    <n v="4"/>
    <n v="1"/>
    <x v="316"/>
    <d v="1899-12-30T00:16:00"/>
  </r>
  <r>
    <x v="15"/>
    <x v="0"/>
    <n v="35.76"/>
    <x v="1"/>
    <x v="2"/>
    <x v="6"/>
    <x v="10"/>
    <n v="4"/>
    <n v="1"/>
    <x v="316"/>
    <d v="1899-12-30T00:16:59"/>
  </r>
  <r>
    <x v="15"/>
    <x v="0"/>
    <n v="25.96"/>
    <x v="5"/>
    <x v="2"/>
    <x v="6"/>
    <x v="10"/>
    <n v="4"/>
    <n v="1"/>
    <x v="316"/>
    <d v="1899-12-30T00:40:13"/>
  </r>
  <r>
    <x v="14"/>
    <x v="0"/>
    <n v="35.76"/>
    <x v="4"/>
    <x v="0"/>
    <x v="0"/>
    <x v="10"/>
    <n v="5"/>
    <n v="1"/>
    <x v="317"/>
    <d v="1899-12-30T00:38:20"/>
  </r>
  <r>
    <x v="12"/>
    <x v="0"/>
    <n v="35.76"/>
    <x v="0"/>
    <x v="0"/>
    <x v="0"/>
    <x v="10"/>
    <n v="5"/>
    <n v="1"/>
    <x v="317"/>
    <d v="1899-12-30T00:26:21"/>
  </r>
  <r>
    <x v="12"/>
    <x v="0"/>
    <n v="35.76"/>
    <x v="7"/>
    <x v="0"/>
    <x v="0"/>
    <x v="10"/>
    <n v="5"/>
    <n v="1"/>
    <x v="317"/>
    <d v="1899-12-30T00:27:48"/>
  </r>
  <r>
    <x v="12"/>
    <x v="0"/>
    <n v="30.86"/>
    <x v="3"/>
    <x v="0"/>
    <x v="0"/>
    <x v="10"/>
    <n v="5"/>
    <n v="1"/>
    <x v="317"/>
    <d v="1899-12-30T00:47:56"/>
  </r>
  <r>
    <x v="10"/>
    <x v="0"/>
    <n v="30.86"/>
    <x v="3"/>
    <x v="0"/>
    <x v="0"/>
    <x v="10"/>
    <n v="5"/>
    <n v="1"/>
    <x v="317"/>
    <d v="1899-12-30T00:27:38"/>
  </r>
  <r>
    <x v="8"/>
    <x v="0"/>
    <n v="35.76"/>
    <x v="4"/>
    <x v="1"/>
    <x v="0"/>
    <x v="10"/>
    <n v="5"/>
    <n v="1"/>
    <x v="317"/>
    <d v="1899-12-30T00:20:54"/>
  </r>
  <r>
    <x v="8"/>
    <x v="0"/>
    <n v="35.76"/>
    <x v="4"/>
    <x v="1"/>
    <x v="0"/>
    <x v="10"/>
    <n v="5"/>
    <n v="1"/>
    <x v="317"/>
    <d v="1899-12-30T00:22:03"/>
  </r>
  <r>
    <x v="9"/>
    <x v="0"/>
    <n v="35.76"/>
    <x v="1"/>
    <x v="2"/>
    <x v="0"/>
    <x v="10"/>
    <n v="5"/>
    <n v="1"/>
    <x v="317"/>
    <d v="1899-12-30T00:39:11"/>
  </r>
  <r>
    <x v="15"/>
    <x v="0"/>
    <n v="35.76"/>
    <x v="1"/>
    <x v="2"/>
    <x v="0"/>
    <x v="10"/>
    <n v="5"/>
    <n v="1"/>
    <x v="317"/>
    <d v="1899-12-30T00:22:19"/>
  </r>
  <r>
    <x v="0"/>
    <x v="0"/>
    <n v="30.86"/>
    <x v="3"/>
    <x v="0"/>
    <x v="1"/>
    <x v="10"/>
    <n v="6"/>
    <n v="1"/>
    <x v="318"/>
    <d v="1899-12-30T00:12:38"/>
  </r>
  <r>
    <x v="4"/>
    <x v="0"/>
    <n v="35.76"/>
    <x v="1"/>
    <x v="1"/>
    <x v="1"/>
    <x v="10"/>
    <n v="6"/>
    <n v="1"/>
    <x v="318"/>
    <d v="1899-12-30T00:33:40"/>
  </r>
  <r>
    <x v="4"/>
    <x v="0"/>
    <n v="35.76"/>
    <x v="0"/>
    <x v="1"/>
    <x v="1"/>
    <x v="10"/>
    <n v="6"/>
    <n v="1"/>
    <x v="318"/>
    <d v="1899-12-30T00:35:14"/>
  </r>
  <r>
    <x v="4"/>
    <x v="0"/>
    <n v="35.76"/>
    <x v="1"/>
    <x v="1"/>
    <x v="1"/>
    <x v="10"/>
    <n v="6"/>
    <n v="1"/>
    <x v="318"/>
    <d v="1899-12-30T00:36:29"/>
  </r>
  <r>
    <x v="12"/>
    <x v="0"/>
    <n v="30.86"/>
    <x v="3"/>
    <x v="0"/>
    <x v="3"/>
    <x v="10"/>
    <n v="1"/>
    <n v="1"/>
    <x v="319"/>
    <d v="1899-12-30T00:29:48"/>
  </r>
  <r>
    <x v="0"/>
    <x v="0"/>
    <n v="30.86"/>
    <x v="3"/>
    <x v="0"/>
    <x v="3"/>
    <x v="10"/>
    <n v="1"/>
    <n v="1"/>
    <x v="319"/>
    <d v="1899-12-30T00:57:25"/>
  </r>
  <r>
    <x v="7"/>
    <x v="0"/>
    <n v="25.96"/>
    <x v="5"/>
    <x v="0"/>
    <x v="3"/>
    <x v="10"/>
    <n v="1"/>
    <n v="1"/>
    <x v="319"/>
    <d v="1899-12-30T00:40:24"/>
  </r>
  <r>
    <x v="1"/>
    <x v="0"/>
    <n v="25.96"/>
    <x v="2"/>
    <x v="1"/>
    <x v="3"/>
    <x v="10"/>
    <n v="1"/>
    <n v="1"/>
    <x v="319"/>
    <d v="1899-12-30T00:04:50"/>
  </r>
  <r>
    <x v="1"/>
    <x v="0"/>
    <n v="25.96"/>
    <x v="5"/>
    <x v="1"/>
    <x v="3"/>
    <x v="10"/>
    <n v="1"/>
    <n v="1"/>
    <x v="319"/>
    <d v="1899-12-30T00:06:01"/>
  </r>
  <r>
    <x v="2"/>
    <x v="0"/>
    <n v="30.86"/>
    <x v="3"/>
    <x v="1"/>
    <x v="3"/>
    <x v="10"/>
    <n v="1"/>
    <n v="1"/>
    <x v="319"/>
    <d v="1899-12-30T00:45:14"/>
  </r>
  <r>
    <x v="11"/>
    <x v="0"/>
    <n v="35.76"/>
    <x v="1"/>
    <x v="2"/>
    <x v="3"/>
    <x v="10"/>
    <n v="1"/>
    <n v="1"/>
    <x v="319"/>
    <d v="1899-12-30T00:08:11"/>
  </r>
  <r>
    <x v="11"/>
    <x v="0"/>
    <n v="35.76"/>
    <x v="7"/>
    <x v="2"/>
    <x v="3"/>
    <x v="10"/>
    <n v="1"/>
    <n v="1"/>
    <x v="319"/>
    <d v="1899-12-30T00:26:25"/>
  </r>
  <r>
    <x v="11"/>
    <x v="0"/>
    <n v="35.76"/>
    <x v="7"/>
    <x v="2"/>
    <x v="3"/>
    <x v="10"/>
    <n v="1"/>
    <n v="1"/>
    <x v="319"/>
    <d v="1899-12-30T00:27:29"/>
  </r>
  <r>
    <x v="15"/>
    <x v="0"/>
    <n v="35.76"/>
    <x v="0"/>
    <x v="2"/>
    <x v="3"/>
    <x v="10"/>
    <n v="1"/>
    <n v="1"/>
    <x v="319"/>
    <d v="1899-12-30T00:13:45"/>
  </r>
  <r>
    <x v="12"/>
    <x v="0"/>
    <n v="35.76"/>
    <x v="4"/>
    <x v="0"/>
    <x v="4"/>
    <x v="10"/>
    <n v="2"/>
    <n v="1"/>
    <x v="320"/>
    <d v="1899-12-30T00:05:04"/>
  </r>
  <r>
    <x v="12"/>
    <x v="0"/>
    <n v="25.96"/>
    <x v="5"/>
    <x v="0"/>
    <x v="4"/>
    <x v="10"/>
    <n v="2"/>
    <n v="1"/>
    <x v="320"/>
    <d v="1899-12-30T00:18:19"/>
  </r>
  <r>
    <x v="12"/>
    <x v="0"/>
    <n v="30.86"/>
    <x v="3"/>
    <x v="0"/>
    <x v="4"/>
    <x v="10"/>
    <n v="2"/>
    <n v="1"/>
    <x v="320"/>
    <d v="1899-12-30T00:19:28"/>
  </r>
  <r>
    <x v="3"/>
    <x v="0"/>
    <n v="25.96"/>
    <x v="2"/>
    <x v="1"/>
    <x v="4"/>
    <x v="10"/>
    <n v="2"/>
    <n v="1"/>
    <x v="320"/>
    <d v="1899-12-30T00:35:17"/>
  </r>
  <r>
    <x v="5"/>
    <x v="0"/>
    <n v="35.76"/>
    <x v="1"/>
    <x v="2"/>
    <x v="4"/>
    <x v="10"/>
    <n v="2"/>
    <n v="1"/>
    <x v="320"/>
    <d v="1899-12-30T00:32:33"/>
  </r>
  <r>
    <x v="5"/>
    <x v="0"/>
    <n v="35.76"/>
    <x v="0"/>
    <x v="2"/>
    <x v="4"/>
    <x v="10"/>
    <n v="2"/>
    <n v="1"/>
    <x v="320"/>
    <d v="1899-12-30T00:54:13"/>
  </r>
  <r>
    <x v="5"/>
    <x v="0"/>
    <n v="35.76"/>
    <x v="0"/>
    <x v="2"/>
    <x v="4"/>
    <x v="10"/>
    <n v="2"/>
    <n v="1"/>
    <x v="320"/>
    <d v="1899-12-30T00:56:15"/>
  </r>
  <r>
    <x v="6"/>
    <x v="0"/>
    <n v="25.96"/>
    <x v="2"/>
    <x v="2"/>
    <x v="4"/>
    <x v="10"/>
    <n v="2"/>
    <n v="1"/>
    <x v="320"/>
    <d v="1899-12-30T00:15:21"/>
  </r>
  <r>
    <x v="7"/>
    <x v="0"/>
    <n v="21.06"/>
    <x v="6"/>
    <x v="0"/>
    <x v="5"/>
    <x v="10"/>
    <n v="3"/>
    <n v="1"/>
    <x v="321"/>
    <d v="1899-12-30T00:24:46"/>
  </r>
  <r>
    <x v="9"/>
    <x v="0"/>
    <n v="30.86"/>
    <x v="3"/>
    <x v="2"/>
    <x v="5"/>
    <x v="10"/>
    <n v="3"/>
    <n v="1"/>
    <x v="321"/>
    <d v="1899-12-30T00:32:07"/>
  </r>
  <r>
    <x v="5"/>
    <x v="0"/>
    <n v="35.76"/>
    <x v="4"/>
    <x v="2"/>
    <x v="5"/>
    <x v="10"/>
    <n v="3"/>
    <n v="1"/>
    <x v="321"/>
    <d v="1899-12-30T00:49:59"/>
  </r>
  <r>
    <x v="6"/>
    <x v="0"/>
    <n v="30.86"/>
    <x v="3"/>
    <x v="2"/>
    <x v="5"/>
    <x v="10"/>
    <n v="3"/>
    <n v="1"/>
    <x v="321"/>
    <d v="1899-12-30T00:10:26"/>
  </r>
  <r>
    <x v="6"/>
    <x v="0"/>
    <n v="35.76"/>
    <x v="7"/>
    <x v="2"/>
    <x v="5"/>
    <x v="10"/>
    <n v="3"/>
    <n v="1"/>
    <x v="321"/>
    <d v="1899-12-30T00:11:23"/>
  </r>
  <r>
    <x v="6"/>
    <x v="0"/>
    <n v="35.76"/>
    <x v="0"/>
    <x v="2"/>
    <x v="5"/>
    <x v="10"/>
    <n v="3"/>
    <n v="1"/>
    <x v="321"/>
    <d v="1899-12-30T00:29:16"/>
  </r>
  <r>
    <x v="11"/>
    <x v="0"/>
    <n v="30.86"/>
    <x v="3"/>
    <x v="2"/>
    <x v="5"/>
    <x v="10"/>
    <n v="3"/>
    <n v="1"/>
    <x v="321"/>
    <d v="1899-12-30T00:14:31"/>
  </r>
  <r>
    <x v="2"/>
    <x v="0"/>
    <n v="35.76"/>
    <x v="7"/>
    <x v="1"/>
    <x v="0"/>
    <x v="10"/>
    <n v="5"/>
    <n v="1"/>
    <x v="322"/>
    <d v="1899-12-30T00:42:17"/>
  </r>
  <r>
    <x v="2"/>
    <x v="0"/>
    <n v="25.96"/>
    <x v="5"/>
    <x v="1"/>
    <x v="0"/>
    <x v="10"/>
    <n v="5"/>
    <n v="1"/>
    <x v="322"/>
    <d v="1899-12-30T00:43:38"/>
  </r>
  <r>
    <x v="3"/>
    <x v="0"/>
    <n v="35.76"/>
    <x v="4"/>
    <x v="1"/>
    <x v="0"/>
    <x v="10"/>
    <n v="5"/>
    <n v="1"/>
    <x v="322"/>
    <d v="1899-12-30T00:28:39"/>
  </r>
  <r>
    <x v="9"/>
    <x v="0"/>
    <n v="25.96"/>
    <x v="2"/>
    <x v="2"/>
    <x v="0"/>
    <x v="10"/>
    <n v="5"/>
    <n v="1"/>
    <x v="322"/>
    <d v="1899-12-30T00:41:49"/>
  </r>
  <r>
    <x v="15"/>
    <x v="0"/>
    <n v="35.76"/>
    <x v="4"/>
    <x v="2"/>
    <x v="0"/>
    <x v="10"/>
    <n v="5"/>
    <n v="1"/>
    <x v="322"/>
    <d v="1899-12-30T00:16:26"/>
  </r>
  <r>
    <x v="13"/>
    <x v="0"/>
    <n v="35.76"/>
    <x v="1"/>
    <x v="2"/>
    <x v="0"/>
    <x v="10"/>
    <n v="5"/>
    <n v="1"/>
    <x v="322"/>
    <d v="1899-12-30T00:31:56"/>
  </r>
  <r>
    <x v="13"/>
    <x v="0"/>
    <n v="35.76"/>
    <x v="0"/>
    <x v="2"/>
    <x v="0"/>
    <x v="10"/>
    <n v="5"/>
    <n v="1"/>
    <x v="322"/>
    <d v="1899-12-30T00:32:58"/>
  </r>
  <r>
    <x v="2"/>
    <x v="0"/>
    <n v="35.76"/>
    <x v="7"/>
    <x v="1"/>
    <x v="1"/>
    <x v="10"/>
    <n v="6"/>
    <n v="1"/>
    <x v="323"/>
    <d v="1899-12-30T00:21:04"/>
  </r>
  <r>
    <x v="8"/>
    <x v="0"/>
    <n v="35.76"/>
    <x v="7"/>
    <x v="1"/>
    <x v="1"/>
    <x v="10"/>
    <n v="6"/>
    <n v="1"/>
    <x v="323"/>
    <d v="1899-12-30T00:38:25"/>
  </r>
  <r>
    <x v="8"/>
    <x v="0"/>
    <n v="25.96"/>
    <x v="2"/>
    <x v="1"/>
    <x v="1"/>
    <x v="10"/>
    <n v="6"/>
    <n v="1"/>
    <x v="323"/>
    <d v="1899-12-30T00:39:35"/>
  </r>
  <r>
    <x v="1"/>
    <x v="0"/>
    <n v="25.96"/>
    <x v="2"/>
    <x v="1"/>
    <x v="2"/>
    <x v="10"/>
    <n v="7"/>
    <n v="1"/>
    <x v="324"/>
    <d v="1899-12-30T00:35:23"/>
  </r>
  <r>
    <x v="1"/>
    <x v="0"/>
    <n v="21.06"/>
    <x v="6"/>
    <x v="1"/>
    <x v="2"/>
    <x v="10"/>
    <n v="7"/>
    <n v="1"/>
    <x v="324"/>
    <d v="1899-12-30T00:36:34"/>
  </r>
  <r>
    <x v="12"/>
    <x v="0"/>
    <n v="25.96"/>
    <x v="5"/>
    <x v="0"/>
    <x v="3"/>
    <x v="10"/>
    <n v="1"/>
    <n v="1"/>
    <x v="325"/>
    <d v="1899-12-30T00:07:42"/>
  </r>
  <r>
    <x v="12"/>
    <x v="0"/>
    <n v="25.96"/>
    <x v="2"/>
    <x v="0"/>
    <x v="3"/>
    <x v="10"/>
    <n v="1"/>
    <n v="1"/>
    <x v="325"/>
    <d v="1899-12-30T00:32:44"/>
  </r>
  <r>
    <x v="1"/>
    <x v="0"/>
    <n v="35.76"/>
    <x v="7"/>
    <x v="1"/>
    <x v="3"/>
    <x v="10"/>
    <n v="1"/>
    <n v="1"/>
    <x v="325"/>
    <d v="1899-12-30T00:05:02"/>
  </r>
  <r>
    <x v="2"/>
    <x v="0"/>
    <n v="30.86"/>
    <x v="3"/>
    <x v="1"/>
    <x v="3"/>
    <x v="10"/>
    <n v="1"/>
    <n v="1"/>
    <x v="325"/>
    <d v="1899-12-30T00:45:09"/>
  </r>
  <r>
    <x v="3"/>
    <x v="0"/>
    <n v="30.86"/>
    <x v="3"/>
    <x v="1"/>
    <x v="3"/>
    <x v="10"/>
    <n v="1"/>
    <n v="1"/>
    <x v="325"/>
    <d v="1899-12-30T00:27:54"/>
  </r>
  <r>
    <x v="3"/>
    <x v="0"/>
    <n v="25.96"/>
    <x v="5"/>
    <x v="1"/>
    <x v="3"/>
    <x v="10"/>
    <n v="1"/>
    <n v="1"/>
    <x v="325"/>
    <d v="1899-12-30T00:29:01"/>
  </r>
  <r>
    <x v="3"/>
    <x v="0"/>
    <n v="30.86"/>
    <x v="3"/>
    <x v="1"/>
    <x v="3"/>
    <x v="10"/>
    <n v="1"/>
    <n v="1"/>
    <x v="325"/>
    <d v="1899-12-30T00:30:13"/>
  </r>
  <r>
    <x v="5"/>
    <x v="0"/>
    <n v="35.76"/>
    <x v="0"/>
    <x v="2"/>
    <x v="3"/>
    <x v="10"/>
    <n v="1"/>
    <n v="1"/>
    <x v="325"/>
    <d v="1899-12-30T00:55:19"/>
  </r>
  <r>
    <x v="6"/>
    <x v="0"/>
    <n v="35.76"/>
    <x v="0"/>
    <x v="2"/>
    <x v="3"/>
    <x v="10"/>
    <n v="1"/>
    <n v="1"/>
    <x v="325"/>
    <d v="1899-12-30T00:02:40"/>
  </r>
  <r>
    <x v="6"/>
    <x v="0"/>
    <n v="35.76"/>
    <x v="0"/>
    <x v="2"/>
    <x v="3"/>
    <x v="10"/>
    <n v="1"/>
    <n v="1"/>
    <x v="325"/>
    <d v="1899-12-30T00:03:46"/>
  </r>
  <r>
    <x v="12"/>
    <x v="0"/>
    <n v="35.76"/>
    <x v="0"/>
    <x v="0"/>
    <x v="4"/>
    <x v="10"/>
    <n v="2"/>
    <n v="1"/>
    <x v="326"/>
    <d v="1899-12-30T00:26:37"/>
  </r>
  <r>
    <x v="10"/>
    <x v="0"/>
    <n v="25.96"/>
    <x v="2"/>
    <x v="0"/>
    <x v="4"/>
    <x v="10"/>
    <n v="2"/>
    <n v="1"/>
    <x v="326"/>
    <d v="1899-12-30T00:33:17"/>
  </r>
  <r>
    <x v="7"/>
    <x v="0"/>
    <n v="30.86"/>
    <x v="3"/>
    <x v="0"/>
    <x v="4"/>
    <x v="10"/>
    <n v="2"/>
    <n v="1"/>
    <x v="326"/>
    <d v="1899-12-30T00:56:27"/>
  </r>
  <r>
    <x v="1"/>
    <x v="0"/>
    <n v="25.96"/>
    <x v="2"/>
    <x v="1"/>
    <x v="4"/>
    <x v="10"/>
    <n v="2"/>
    <n v="1"/>
    <x v="326"/>
    <d v="1899-12-30T00:22:01"/>
  </r>
  <r>
    <x v="4"/>
    <x v="0"/>
    <n v="35.76"/>
    <x v="4"/>
    <x v="1"/>
    <x v="4"/>
    <x v="10"/>
    <n v="2"/>
    <n v="1"/>
    <x v="326"/>
    <d v="1899-12-30T00:19:08"/>
  </r>
  <r>
    <x v="4"/>
    <x v="0"/>
    <n v="25.96"/>
    <x v="5"/>
    <x v="1"/>
    <x v="4"/>
    <x v="10"/>
    <n v="2"/>
    <n v="1"/>
    <x v="326"/>
    <d v="1899-12-30T00:20:45"/>
  </r>
  <r>
    <x v="9"/>
    <x v="0"/>
    <n v="25.96"/>
    <x v="2"/>
    <x v="2"/>
    <x v="4"/>
    <x v="10"/>
    <n v="2"/>
    <n v="1"/>
    <x v="326"/>
    <d v="1899-12-30T00:40:01"/>
  </r>
  <r>
    <x v="11"/>
    <x v="0"/>
    <n v="35.76"/>
    <x v="0"/>
    <x v="2"/>
    <x v="4"/>
    <x v="10"/>
    <n v="2"/>
    <n v="1"/>
    <x v="326"/>
    <d v="1899-12-30T00:11:51"/>
  </r>
  <r>
    <x v="11"/>
    <x v="0"/>
    <n v="35.76"/>
    <x v="7"/>
    <x v="2"/>
    <x v="4"/>
    <x v="10"/>
    <n v="2"/>
    <n v="1"/>
    <x v="326"/>
    <d v="1899-12-30T00:13:45"/>
  </r>
  <r>
    <x v="10"/>
    <x v="0"/>
    <n v="25.96"/>
    <x v="2"/>
    <x v="0"/>
    <x v="5"/>
    <x v="10"/>
    <n v="3"/>
    <n v="1"/>
    <x v="327"/>
    <d v="1899-12-30T00:38:47"/>
  </r>
  <r>
    <x v="4"/>
    <x v="0"/>
    <n v="25.96"/>
    <x v="2"/>
    <x v="1"/>
    <x v="5"/>
    <x v="10"/>
    <n v="3"/>
    <n v="1"/>
    <x v="327"/>
    <d v="1899-12-30T00:25:37"/>
  </r>
  <r>
    <x v="6"/>
    <x v="0"/>
    <n v="30.86"/>
    <x v="3"/>
    <x v="2"/>
    <x v="5"/>
    <x v="10"/>
    <n v="3"/>
    <n v="1"/>
    <x v="327"/>
    <d v="1899-12-30T00:19:08"/>
  </r>
  <r>
    <x v="6"/>
    <x v="0"/>
    <n v="21.06"/>
    <x v="6"/>
    <x v="2"/>
    <x v="5"/>
    <x v="10"/>
    <n v="3"/>
    <n v="1"/>
    <x v="327"/>
    <d v="1899-12-30T00:20:35"/>
  </r>
  <r>
    <x v="10"/>
    <x v="0"/>
    <n v="30.86"/>
    <x v="3"/>
    <x v="0"/>
    <x v="6"/>
    <x v="10"/>
    <n v="4"/>
    <n v="1"/>
    <x v="328"/>
    <d v="1899-12-30T00:18:06"/>
  </r>
  <r>
    <x v="0"/>
    <x v="0"/>
    <n v="30.86"/>
    <x v="3"/>
    <x v="0"/>
    <x v="6"/>
    <x v="10"/>
    <n v="4"/>
    <n v="1"/>
    <x v="328"/>
    <d v="1899-12-30T00:12:34"/>
  </r>
  <r>
    <x v="7"/>
    <x v="0"/>
    <n v="25.96"/>
    <x v="5"/>
    <x v="0"/>
    <x v="6"/>
    <x v="10"/>
    <n v="4"/>
    <n v="1"/>
    <x v="328"/>
    <d v="1899-12-30T00:26:29"/>
  </r>
  <r>
    <x v="1"/>
    <x v="0"/>
    <n v="35.76"/>
    <x v="1"/>
    <x v="1"/>
    <x v="6"/>
    <x v="10"/>
    <n v="4"/>
    <n v="1"/>
    <x v="328"/>
    <d v="1899-12-30T00:42:16"/>
  </r>
  <r>
    <x v="2"/>
    <x v="0"/>
    <n v="25.96"/>
    <x v="2"/>
    <x v="1"/>
    <x v="6"/>
    <x v="10"/>
    <n v="4"/>
    <n v="1"/>
    <x v="328"/>
    <d v="1899-12-30T00:02:01"/>
  </r>
  <r>
    <x v="8"/>
    <x v="0"/>
    <n v="30.86"/>
    <x v="3"/>
    <x v="1"/>
    <x v="6"/>
    <x v="10"/>
    <n v="4"/>
    <n v="1"/>
    <x v="328"/>
    <d v="1899-12-30T00:41:42"/>
  </r>
  <r>
    <x v="9"/>
    <x v="0"/>
    <n v="35.76"/>
    <x v="1"/>
    <x v="2"/>
    <x v="6"/>
    <x v="10"/>
    <n v="4"/>
    <n v="1"/>
    <x v="328"/>
    <d v="1899-12-30T00:18:48"/>
  </r>
  <r>
    <x v="5"/>
    <x v="0"/>
    <n v="30.86"/>
    <x v="3"/>
    <x v="2"/>
    <x v="6"/>
    <x v="10"/>
    <n v="4"/>
    <n v="1"/>
    <x v="328"/>
    <d v="1899-12-30T00:24:07"/>
  </r>
  <r>
    <x v="5"/>
    <x v="0"/>
    <n v="25.96"/>
    <x v="5"/>
    <x v="2"/>
    <x v="6"/>
    <x v="10"/>
    <n v="4"/>
    <n v="1"/>
    <x v="328"/>
    <d v="1899-12-30T00:41:50"/>
  </r>
  <r>
    <x v="12"/>
    <x v="0"/>
    <n v="25.96"/>
    <x v="2"/>
    <x v="0"/>
    <x v="0"/>
    <x v="10"/>
    <n v="5"/>
    <n v="1"/>
    <x v="329"/>
    <d v="1899-12-30T00:40:51"/>
  </r>
  <r>
    <x v="12"/>
    <x v="0"/>
    <n v="30.86"/>
    <x v="3"/>
    <x v="0"/>
    <x v="0"/>
    <x v="10"/>
    <n v="5"/>
    <n v="1"/>
    <x v="329"/>
    <d v="1899-12-30T00:41:45"/>
  </r>
  <r>
    <x v="10"/>
    <x v="0"/>
    <n v="30.86"/>
    <x v="3"/>
    <x v="0"/>
    <x v="0"/>
    <x v="10"/>
    <n v="5"/>
    <n v="1"/>
    <x v="329"/>
    <d v="1899-12-30T00:17:15"/>
  </r>
  <r>
    <x v="10"/>
    <x v="0"/>
    <n v="35.76"/>
    <x v="4"/>
    <x v="0"/>
    <x v="0"/>
    <x v="10"/>
    <n v="5"/>
    <n v="1"/>
    <x v="329"/>
    <d v="1899-12-30T00:20:11"/>
  </r>
  <r>
    <x v="10"/>
    <x v="0"/>
    <n v="35.76"/>
    <x v="7"/>
    <x v="0"/>
    <x v="0"/>
    <x v="10"/>
    <n v="5"/>
    <n v="1"/>
    <x v="329"/>
    <d v="1899-12-30T00:26:47"/>
  </r>
  <r>
    <x v="10"/>
    <x v="0"/>
    <n v="35.76"/>
    <x v="7"/>
    <x v="0"/>
    <x v="0"/>
    <x v="10"/>
    <n v="5"/>
    <n v="1"/>
    <x v="329"/>
    <d v="1899-12-30T00:27:48"/>
  </r>
  <r>
    <x v="1"/>
    <x v="0"/>
    <n v="35.76"/>
    <x v="0"/>
    <x v="1"/>
    <x v="0"/>
    <x v="10"/>
    <n v="5"/>
    <n v="1"/>
    <x v="329"/>
    <d v="1899-12-30T00:31:01"/>
  </r>
  <r>
    <x v="1"/>
    <x v="0"/>
    <n v="35.76"/>
    <x v="0"/>
    <x v="1"/>
    <x v="0"/>
    <x v="10"/>
    <n v="5"/>
    <n v="1"/>
    <x v="329"/>
    <d v="1899-12-30T00:54:26"/>
  </r>
  <r>
    <x v="8"/>
    <x v="0"/>
    <n v="35.76"/>
    <x v="7"/>
    <x v="1"/>
    <x v="0"/>
    <x v="10"/>
    <n v="5"/>
    <n v="1"/>
    <x v="329"/>
    <d v="1899-12-30T00:02:58"/>
  </r>
  <r>
    <x v="4"/>
    <x v="0"/>
    <n v="30.86"/>
    <x v="3"/>
    <x v="1"/>
    <x v="0"/>
    <x v="10"/>
    <n v="5"/>
    <n v="1"/>
    <x v="329"/>
    <d v="1899-12-30T00:48:34"/>
  </r>
  <r>
    <x v="13"/>
    <x v="0"/>
    <n v="30.86"/>
    <x v="3"/>
    <x v="2"/>
    <x v="0"/>
    <x v="10"/>
    <n v="5"/>
    <n v="1"/>
    <x v="329"/>
    <d v="1899-12-30T00:35:59"/>
  </r>
  <r>
    <x v="13"/>
    <x v="0"/>
    <n v="25.96"/>
    <x v="2"/>
    <x v="2"/>
    <x v="0"/>
    <x v="10"/>
    <n v="5"/>
    <n v="1"/>
    <x v="329"/>
    <d v="1899-12-30T00:37:02"/>
  </r>
  <r>
    <x v="12"/>
    <x v="0"/>
    <n v="30.86"/>
    <x v="3"/>
    <x v="0"/>
    <x v="1"/>
    <x v="11"/>
    <n v="6"/>
    <n v="2"/>
    <x v="330"/>
    <d v="1899-12-30T00:50:24"/>
  </r>
  <r>
    <x v="0"/>
    <x v="0"/>
    <n v="30.86"/>
    <x v="3"/>
    <x v="0"/>
    <x v="1"/>
    <x v="11"/>
    <n v="6"/>
    <n v="2"/>
    <x v="330"/>
    <d v="1899-12-30T00:07:23"/>
  </r>
  <r>
    <x v="2"/>
    <x v="0"/>
    <n v="25.96"/>
    <x v="5"/>
    <x v="1"/>
    <x v="1"/>
    <x v="11"/>
    <n v="6"/>
    <n v="2"/>
    <x v="330"/>
    <d v="1899-12-30T00:14:47"/>
  </r>
  <r>
    <x v="2"/>
    <x v="0"/>
    <n v="25.96"/>
    <x v="5"/>
    <x v="1"/>
    <x v="1"/>
    <x v="11"/>
    <n v="6"/>
    <n v="2"/>
    <x v="330"/>
    <d v="1899-12-30T00:15:29"/>
  </r>
  <r>
    <x v="8"/>
    <x v="0"/>
    <n v="35.76"/>
    <x v="7"/>
    <x v="1"/>
    <x v="1"/>
    <x v="11"/>
    <n v="6"/>
    <n v="2"/>
    <x v="330"/>
    <d v="1899-12-30T00:35:19"/>
  </r>
  <r>
    <x v="8"/>
    <x v="0"/>
    <n v="35.76"/>
    <x v="7"/>
    <x v="1"/>
    <x v="1"/>
    <x v="11"/>
    <n v="6"/>
    <n v="2"/>
    <x v="330"/>
    <d v="1899-12-30T00:36:17"/>
  </r>
  <r>
    <x v="3"/>
    <x v="0"/>
    <n v="35.76"/>
    <x v="0"/>
    <x v="1"/>
    <x v="1"/>
    <x v="11"/>
    <n v="6"/>
    <n v="2"/>
    <x v="330"/>
    <d v="1899-12-30T00:49:59"/>
  </r>
  <r>
    <x v="5"/>
    <x v="0"/>
    <n v="35.76"/>
    <x v="7"/>
    <x v="2"/>
    <x v="1"/>
    <x v="11"/>
    <n v="6"/>
    <n v="2"/>
    <x v="330"/>
    <d v="1899-12-30T00:57:14"/>
  </r>
  <r>
    <x v="6"/>
    <x v="0"/>
    <n v="30.86"/>
    <x v="3"/>
    <x v="2"/>
    <x v="1"/>
    <x v="11"/>
    <n v="6"/>
    <n v="2"/>
    <x v="330"/>
    <d v="1899-12-30T00:53:16"/>
  </r>
  <r>
    <x v="6"/>
    <x v="0"/>
    <n v="30.86"/>
    <x v="3"/>
    <x v="2"/>
    <x v="1"/>
    <x v="11"/>
    <n v="6"/>
    <n v="2"/>
    <x v="330"/>
    <d v="1899-12-30T00:54:24"/>
  </r>
  <r>
    <x v="15"/>
    <x v="0"/>
    <n v="30.86"/>
    <x v="3"/>
    <x v="2"/>
    <x v="1"/>
    <x v="11"/>
    <n v="6"/>
    <n v="2"/>
    <x v="330"/>
    <d v="1899-12-30T00:37:02"/>
  </r>
  <r>
    <x v="0"/>
    <x v="0"/>
    <n v="35.76"/>
    <x v="7"/>
    <x v="0"/>
    <x v="2"/>
    <x v="11"/>
    <n v="7"/>
    <n v="2"/>
    <x v="331"/>
    <d v="1899-12-30T00:56:22"/>
  </r>
  <r>
    <x v="0"/>
    <x v="0"/>
    <n v="35.76"/>
    <x v="7"/>
    <x v="0"/>
    <x v="2"/>
    <x v="11"/>
    <n v="7"/>
    <n v="2"/>
    <x v="331"/>
    <d v="1899-12-30T00:57:38"/>
  </r>
  <r>
    <x v="1"/>
    <x v="0"/>
    <n v="35.76"/>
    <x v="0"/>
    <x v="1"/>
    <x v="2"/>
    <x v="11"/>
    <n v="7"/>
    <n v="2"/>
    <x v="331"/>
    <d v="1899-12-30T00:54:32"/>
  </r>
  <r>
    <x v="1"/>
    <x v="0"/>
    <n v="35.76"/>
    <x v="0"/>
    <x v="1"/>
    <x v="2"/>
    <x v="11"/>
    <n v="7"/>
    <n v="2"/>
    <x v="331"/>
    <d v="1899-12-30T00:56:05"/>
  </r>
  <r>
    <x v="8"/>
    <x v="0"/>
    <n v="30.86"/>
    <x v="3"/>
    <x v="1"/>
    <x v="2"/>
    <x v="11"/>
    <n v="7"/>
    <n v="2"/>
    <x v="331"/>
    <d v="1899-12-30T00:22:57"/>
  </r>
  <r>
    <x v="4"/>
    <x v="0"/>
    <n v="35.76"/>
    <x v="0"/>
    <x v="1"/>
    <x v="2"/>
    <x v="11"/>
    <n v="7"/>
    <n v="2"/>
    <x v="331"/>
    <d v="1899-12-30T00:45:08"/>
  </r>
  <r>
    <x v="4"/>
    <x v="0"/>
    <n v="35.76"/>
    <x v="0"/>
    <x v="1"/>
    <x v="2"/>
    <x v="11"/>
    <n v="7"/>
    <n v="2"/>
    <x v="331"/>
    <d v="1899-12-30T00:46:57"/>
  </r>
  <r>
    <x v="14"/>
    <x v="0"/>
    <n v="35.76"/>
    <x v="7"/>
    <x v="0"/>
    <x v="3"/>
    <x v="11"/>
    <n v="1"/>
    <n v="2"/>
    <x v="332"/>
    <d v="1899-12-30T00:03:25"/>
  </r>
  <r>
    <x v="14"/>
    <x v="0"/>
    <n v="30.86"/>
    <x v="3"/>
    <x v="0"/>
    <x v="3"/>
    <x v="11"/>
    <n v="1"/>
    <n v="2"/>
    <x v="332"/>
    <d v="1899-12-30T00:04:57"/>
  </r>
  <r>
    <x v="12"/>
    <x v="0"/>
    <n v="21.06"/>
    <x v="6"/>
    <x v="0"/>
    <x v="3"/>
    <x v="11"/>
    <n v="1"/>
    <n v="2"/>
    <x v="332"/>
    <d v="1899-12-30T00:04:04"/>
  </r>
  <r>
    <x v="12"/>
    <x v="0"/>
    <n v="30.86"/>
    <x v="3"/>
    <x v="0"/>
    <x v="3"/>
    <x v="11"/>
    <n v="1"/>
    <n v="2"/>
    <x v="332"/>
    <d v="1899-12-30T00:09:09"/>
  </r>
  <r>
    <x v="0"/>
    <x v="0"/>
    <n v="25.96"/>
    <x v="2"/>
    <x v="0"/>
    <x v="3"/>
    <x v="11"/>
    <n v="1"/>
    <n v="2"/>
    <x v="332"/>
    <d v="1899-12-30T00:15:39"/>
  </r>
  <r>
    <x v="0"/>
    <x v="0"/>
    <n v="35.76"/>
    <x v="7"/>
    <x v="0"/>
    <x v="3"/>
    <x v="11"/>
    <n v="1"/>
    <n v="2"/>
    <x v="332"/>
    <d v="1899-12-30T00:22:18"/>
  </r>
  <r>
    <x v="0"/>
    <x v="0"/>
    <n v="30.86"/>
    <x v="3"/>
    <x v="0"/>
    <x v="3"/>
    <x v="11"/>
    <n v="1"/>
    <n v="2"/>
    <x v="332"/>
    <d v="1899-12-30T00:49:59"/>
  </r>
  <r>
    <x v="2"/>
    <x v="0"/>
    <n v="35.76"/>
    <x v="7"/>
    <x v="1"/>
    <x v="3"/>
    <x v="11"/>
    <n v="1"/>
    <n v="2"/>
    <x v="332"/>
    <d v="1899-12-30T00:25:02"/>
  </r>
  <r>
    <x v="2"/>
    <x v="0"/>
    <n v="35.76"/>
    <x v="7"/>
    <x v="1"/>
    <x v="3"/>
    <x v="11"/>
    <n v="1"/>
    <n v="2"/>
    <x v="332"/>
    <d v="1899-12-30T00:32:54"/>
  </r>
  <r>
    <x v="2"/>
    <x v="0"/>
    <n v="25.96"/>
    <x v="2"/>
    <x v="1"/>
    <x v="3"/>
    <x v="11"/>
    <n v="1"/>
    <n v="2"/>
    <x v="332"/>
    <d v="1899-12-30T00:51:03"/>
  </r>
  <r>
    <x v="8"/>
    <x v="0"/>
    <n v="25.96"/>
    <x v="2"/>
    <x v="1"/>
    <x v="3"/>
    <x v="11"/>
    <n v="1"/>
    <n v="2"/>
    <x v="332"/>
    <d v="1899-12-30T00:06:37"/>
  </r>
  <r>
    <x v="8"/>
    <x v="0"/>
    <n v="35.76"/>
    <x v="0"/>
    <x v="1"/>
    <x v="3"/>
    <x v="11"/>
    <n v="1"/>
    <n v="2"/>
    <x v="332"/>
    <d v="1899-12-30T00:47:02"/>
  </r>
  <r>
    <x v="8"/>
    <x v="0"/>
    <n v="35.76"/>
    <x v="0"/>
    <x v="1"/>
    <x v="3"/>
    <x v="11"/>
    <n v="1"/>
    <n v="2"/>
    <x v="332"/>
    <d v="1899-12-30T00:50:21"/>
  </r>
  <r>
    <x v="3"/>
    <x v="0"/>
    <n v="35.76"/>
    <x v="0"/>
    <x v="1"/>
    <x v="3"/>
    <x v="11"/>
    <n v="1"/>
    <n v="2"/>
    <x v="332"/>
    <d v="1899-12-30T00:01:45"/>
  </r>
  <r>
    <x v="3"/>
    <x v="0"/>
    <n v="25.96"/>
    <x v="2"/>
    <x v="1"/>
    <x v="3"/>
    <x v="11"/>
    <n v="1"/>
    <n v="2"/>
    <x v="332"/>
    <d v="1899-12-30T00:41:27"/>
  </r>
  <r>
    <x v="9"/>
    <x v="0"/>
    <n v="35.76"/>
    <x v="4"/>
    <x v="2"/>
    <x v="3"/>
    <x v="11"/>
    <n v="1"/>
    <n v="2"/>
    <x v="332"/>
    <d v="1899-12-30T00:01:27"/>
  </r>
  <r>
    <x v="9"/>
    <x v="0"/>
    <n v="30.86"/>
    <x v="3"/>
    <x v="2"/>
    <x v="3"/>
    <x v="11"/>
    <n v="1"/>
    <n v="2"/>
    <x v="332"/>
    <d v="1899-12-30T00:09:55"/>
  </r>
  <r>
    <x v="9"/>
    <x v="0"/>
    <n v="30.86"/>
    <x v="3"/>
    <x v="2"/>
    <x v="3"/>
    <x v="11"/>
    <n v="1"/>
    <n v="2"/>
    <x v="332"/>
    <d v="1899-12-30T00:11:07"/>
  </r>
  <r>
    <x v="9"/>
    <x v="0"/>
    <n v="30.86"/>
    <x v="3"/>
    <x v="2"/>
    <x v="3"/>
    <x v="11"/>
    <n v="1"/>
    <n v="2"/>
    <x v="332"/>
    <d v="1899-12-30T00:12:05"/>
  </r>
  <r>
    <x v="9"/>
    <x v="0"/>
    <n v="35.76"/>
    <x v="1"/>
    <x v="2"/>
    <x v="3"/>
    <x v="11"/>
    <n v="1"/>
    <n v="2"/>
    <x v="332"/>
    <d v="1899-12-30T00:13:22"/>
  </r>
  <r>
    <x v="9"/>
    <x v="0"/>
    <n v="35.76"/>
    <x v="0"/>
    <x v="2"/>
    <x v="3"/>
    <x v="11"/>
    <n v="1"/>
    <n v="2"/>
    <x v="332"/>
    <d v="1899-12-30T00:14:18"/>
  </r>
  <r>
    <x v="9"/>
    <x v="0"/>
    <n v="35.76"/>
    <x v="1"/>
    <x v="2"/>
    <x v="3"/>
    <x v="11"/>
    <n v="1"/>
    <n v="2"/>
    <x v="332"/>
    <d v="1899-12-30T00:15:41"/>
  </r>
  <r>
    <x v="9"/>
    <x v="0"/>
    <n v="30.86"/>
    <x v="3"/>
    <x v="2"/>
    <x v="3"/>
    <x v="11"/>
    <n v="1"/>
    <n v="2"/>
    <x v="332"/>
    <d v="1899-12-30T00:44:18"/>
  </r>
  <r>
    <x v="5"/>
    <x v="0"/>
    <n v="25.96"/>
    <x v="2"/>
    <x v="2"/>
    <x v="3"/>
    <x v="11"/>
    <n v="1"/>
    <n v="2"/>
    <x v="332"/>
    <d v="1899-12-30T00:09:01"/>
  </r>
  <r>
    <x v="11"/>
    <x v="0"/>
    <n v="35.76"/>
    <x v="4"/>
    <x v="2"/>
    <x v="3"/>
    <x v="11"/>
    <n v="1"/>
    <n v="2"/>
    <x v="332"/>
    <d v="1899-12-30T00:44:14"/>
  </r>
  <r>
    <x v="0"/>
    <x v="0"/>
    <n v="30.86"/>
    <x v="3"/>
    <x v="0"/>
    <x v="4"/>
    <x v="11"/>
    <n v="2"/>
    <n v="2"/>
    <x v="333"/>
    <d v="1899-12-30T00:04:57"/>
  </r>
  <r>
    <x v="0"/>
    <x v="0"/>
    <n v="25.96"/>
    <x v="2"/>
    <x v="0"/>
    <x v="4"/>
    <x v="11"/>
    <n v="2"/>
    <n v="2"/>
    <x v="333"/>
    <d v="1899-12-30T00:11:31"/>
  </r>
  <r>
    <x v="1"/>
    <x v="0"/>
    <n v="30.86"/>
    <x v="3"/>
    <x v="1"/>
    <x v="4"/>
    <x v="11"/>
    <n v="2"/>
    <n v="2"/>
    <x v="333"/>
    <d v="1899-12-30T00:35:58"/>
  </r>
  <r>
    <x v="2"/>
    <x v="0"/>
    <n v="25.96"/>
    <x v="5"/>
    <x v="1"/>
    <x v="4"/>
    <x v="11"/>
    <n v="2"/>
    <n v="2"/>
    <x v="333"/>
    <d v="1899-12-30T00:07:39"/>
  </r>
  <r>
    <x v="8"/>
    <x v="0"/>
    <n v="25.96"/>
    <x v="2"/>
    <x v="1"/>
    <x v="4"/>
    <x v="11"/>
    <n v="2"/>
    <n v="2"/>
    <x v="333"/>
    <d v="1899-12-30T00:15:14"/>
  </r>
  <r>
    <x v="8"/>
    <x v="0"/>
    <n v="30.86"/>
    <x v="3"/>
    <x v="1"/>
    <x v="4"/>
    <x v="11"/>
    <n v="2"/>
    <n v="2"/>
    <x v="333"/>
    <d v="1899-12-30T00:17:37"/>
  </r>
  <r>
    <x v="8"/>
    <x v="0"/>
    <n v="25.96"/>
    <x v="2"/>
    <x v="1"/>
    <x v="4"/>
    <x v="11"/>
    <n v="2"/>
    <n v="2"/>
    <x v="333"/>
    <d v="1899-12-30T00:19:49"/>
  </r>
  <r>
    <x v="5"/>
    <x v="0"/>
    <n v="30.86"/>
    <x v="3"/>
    <x v="2"/>
    <x v="4"/>
    <x v="11"/>
    <n v="2"/>
    <n v="2"/>
    <x v="333"/>
    <d v="1899-12-30T00:13:42"/>
  </r>
  <r>
    <x v="6"/>
    <x v="0"/>
    <n v="35.76"/>
    <x v="4"/>
    <x v="2"/>
    <x v="4"/>
    <x v="11"/>
    <n v="2"/>
    <n v="2"/>
    <x v="333"/>
    <d v="1899-12-30T00:05:22"/>
  </r>
  <r>
    <x v="6"/>
    <x v="0"/>
    <n v="35.76"/>
    <x v="4"/>
    <x v="2"/>
    <x v="4"/>
    <x v="11"/>
    <n v="2"/>
    <n v="2"/>
    <x v="333"/>
    <d v="1899-12-30T00:09:37"/>
  </r>
  <r>
    <x v="6"/>
    <x v="0"/>
    <n v="35.76"/>
    <x v="4"/>
    <x v="2"/>
    <x v="4"/>
    <x v="11"/>
    <n v="2"/>
    <n v="2"/>
    <x v="333"/>
    <d v="1899-12-30T00:10:28"/>
  </r>
  <r>
    <x v="6"/>
    <x v="0"/>
    <n v="25.96"/>
    <x v="5"/>
    <x v="2"/>
    <x v="4"/>
    <x v="11"/>
    <n v="2"/>
    <n v="2"/>
    <x v="333"/>
    <d v="1899-12-30T00:27:27"/>
  </r>
  <r>
    <x v="12"/>
    <x v="0"/>
    <n v="30.86"/>
    <x v="3"/>
    <x v="0"/>
    <x v="5"/>
    <x v="11"/>
    <n v="3"/>
    <n v="2"/>
    <x v="334"/>
    <d v="1899-12-30T00:42:11"/>
  </r>
  <r>
    <x v="10"/>
    <x v="0"/>
    <n v="30.86"/>
    <x v="3"/>
    <x v="0"/>
    <x v="5"/>
    <x v="11"/>
    <n v="3"/>
    <n v="2"/>
    <x v="334"/>
    <d v="1899-12-30T00:10:44"/>
  </r>
  <r>
    <x v="7"/>
    <x v="0"/>
    <n v="25.96"/>
    <x v="2"/>
    <x v="0"/>
    <x v="5"/>
    <x v="11"/>
    <n v="3"/>
    <n v="2"/>
    <x v="334"/>
    <d v="1899-12-30T00:49:36"/>
  </r>
  <r>
    <x v="7"/>
    <x v="0"/>
    <n v="25.96"/>
    <x v="2"/>
    <x v="0"/>
    <x v="5"/>
    <x v="11"/>
    <n v="3"/>
    <n v="2"/>
    <x v="334"/>
    <d v="1899-12-30T00:50:42"/>
  </r>
  <r>
    <x v="7"/>
    <x v="0"/>
    <n v="25.96"/>
    <x v="2"/>
    <x v="0"/>
    <x v="5"/>
    <x v="11"/>
    <n v="3"/>
    <n v="2"/>
    <x v="334"/>
    <d v="1899-12-30T00:51:45"/>
  </r>
  <r>
    <x v="7"/>
    <x v="0"/>
    <n v="30.86"/>
    <x v="3"/>
    <x v="0"/>
    <x v="5"/>
    <x v="11"/>
    <n v="3"/>
    <n v="2"/>
    <x v="334"/>
    <d v="1899-12-30T00:58:36"/>
  </r>
  <r>
    <x v="1"/>
    <x v="0"/>
    <n v="25.96"/>
    <x v="2"/>
    <x v="1"/>
    <x v="5"/>
    <x v="11"/>
    <n v="3"/>
    <n v="2"/>
    <x v="334"/>
    <d v="1899-12-30T00:10:47"/>
  </r>
  <r>
    <x v="2"/>
    <x v="0"/>
    <n v="25.96"/>
    <x v="2"/>
    <x v="1"/>
    <x v="5"/>
    <x v="11"/>
    <n v="3"/>
    <n v="2"/>
    <x v="334"/>
    <d v="1899-12-30T00:20:46"/>
  </r>
  <r>
    <x v="2"/>
    <x v="0"/>
    <n v="21.06"/>
    <x v="6"/>
    <x v="1"/>
    <x v="5"/>
    <x v="11"/>
    <n v="3"/>
    <n v="2"/>
    <x v="334"/>
    <d v="1899-12-30T00:43:43"/>
  </r>
  <r>
    <x v="2"/>
    <x v="0"/>
    <n v="21.06"/>
    <x v="6"/>
    <x v="1"/>
    <x v="5"/>
    <x v="11"/>
    <n v="3"/>
    <n v="2"/>
    <x v="334"/>
    <d v="1899-12-30T00:44:29"/>
  </r>
  <r>
    <x v="8"/>
    <x v="0"/>
    <n v="35.76"/>
    <x v="7"/>
    <x v="1"/>
    <x v="5"/>
    <x v="11"/>
    <n v="3"/>
    <n v="2"/>
    <x v="334"/>
    <d v="1899-12-30T00:57:53"/>
  </r>
  <r>
    <x v="3"/>
    <x v="0"/>
    <n v="35.76"/>
    <x v="7"/>
    <x v="1"/>
    <x v="5"/>
    <x v="11"/>
    <n v="3"/>
    <n v="2"/>
    <x v="334"/>
    <d v="1899-12-30T00:50:59"/>
  </r>
  <r>
    <x v="4"/>
    <x v="0"/>
    <n v="35.76"/>
    <x v="1"/>
    <x v="1"/>
    <x v="5"/>
    <x v="11"/>
    <n v="3"/>
    <n v="2"/>
    <x v="334"/>
    <d v="1899-12-30T00:34:20"/>
  </r>
  <r>
    <x v="4"/>
    <x v="0"/>
    <n v="35.76"/>
    <x v="0"/>
    <x v="1"/>
    <x v="5"/>
    <x v="11"/>
    <n v="3"/>
    <n v="2"/>
    <x v="334"/>
    <d v="1899-12-30T00:35:33"/>
  </r>
  <r>
    <x v="4"/>
    <x v="0"/>
    <n v="35.76"/>
    <x v="0"/>
    <x v="1"/>
    <x v="5"/>
    <x v="11"/>
    <n v="3"/>
    <n v="2"/>
    <x v="334"/>
    <d v="1899-12-30T00:36:34"/>
  </r>
  <r>
    <x v="4"/>
    <x v="0"/>
    <n v="35.76"/>
    <x v="4"/>
    <x v="1"/>
    <x v="5"/>
    <x v="11"/>
    <n v="3"/>
    <n v="2"/>
    <x v="334"/>
    <d v="1899-12-30T00:39:02"/>
  </r>
  <r>
    <x v="4"/>
    <x v="0"/>
    <n v="35.76"/>
    <x v="1"/>
    <x v="1"/>
    <x v="5"/>
    <x v="11"/>
    <n v="3"/>
    <n v="2"/>
    <x v="334"/>
    <d v="1899-12-30T00:41:10"/>
  </r>
  <r>
    <x v="5"/>
    <x v="0"/>
    <n v="35.76"/>
    <x v="7"/>
    <x v="2"/>
    <x v="5"/>
    <x v="11"/>
    <n v="3"/>
    <n v="2"/>
    <x v="334"/>
    <d v="1899-12-30T00:18:34"/>
  </r>
  <r>
    <x v="5"/>
    <x v="0"/>
    <n v="35.76"/>
    <x v="7"/>
    <x v="2"/>
    <x v="5"/>
    <x v="11"/>
    <n v="3"/>
    <n v="2"/>
    <x v="334"/>
    <d v="1899-12-30T00:19:49"/>
  </r>
  <r>
    <x v="5"/>
    <x v="0"/>
    <n v="35.76"/>
    <x v="4"/>
    <x v="2"/>
    <x v="5"/>
    <x v="11"/>
    <n v="3"/>
    <n v="2"/>
    <x v="334"/>
    <d v="1899-12-30T00:20:52"/>
  </r>
  <r>
    <x v="5"/>
    <x v="0"/>
    <n v="30.86"/>
    <x v="3"/>
    <x v="2"/>
    <x v="5"/>
    <x v="11"/>
    <n v="3"/>
    <n v="2"/>
    <x v="334"/>
    <d v="1899-12-30T00:25:29"/>
  </r>
  <r>
    <x v="5"/>
    <x v="0"/>
    <n v="35.76"/>
    <x v="7"/>
    <x v="2"/>
    <x v="5"/>
    <x v="11"/>
    <n v="3"/>
    <n v="2"/>
    <x v="334"/>
    <d v="1899-12-30T00:45:42"/>
  </r>
  <r>
    <x v="6"/>
    <x v="0"/>
    <n v="35.76"/>
    <x v="1"/>
    <x v="2"/>
    <x v="5"/>
    <x v="11"/>
    <n v="3"/>
    <n v="2"/>
    <x v="334"/>
    <d v="1899-12-30T00:06:46"/>
  </r>
  <r>
    <x v="11"/>
    <x v="0"/>
    <n v="35.76"/>
    <x v="4"/>
    <x v="2"/>
    <x v="5"/>
    <x v="11"/>
    <n v="3"/>
    <n v="2"/>
    <x v="334"/>
    <d v="1899-12-30T00:03:21"/>
  </r>
  <r>
    <x v="14"/>
    <x v="0"/>
    <n v="30.86"/>
    <x v="3"/>
    <x v="0"/>
    <x v="6"/>
    <x v="11"/>
    <n v="4"/>
    <n v="2"/>
    <x v="335"/>
    <d v="1899-12-30T00:16:49"/>
  </r>
  <r>
    <x v="2"/>
    <x v="0"/>
    <n v="25.96"/>
    <x v="2"/>
    <x v="1"/>
    <x v="6"/>
    <x v="11"/>
    <n v="4"/>
    <n v="2"/>
    <x v="335"/>
    <d v="1899-12-30T00:59:22"/>
  </r>
  <r>
    <x v="8"/>
    <x v="0"/>
    <n v="30.86"/>
    <x v="3"/>
    <x v="1"/>
    <x v="6"/>
    <x v="11"/>
    <n v="4"/>
    <n v="2"/>
    <x v="335"/>
    <d v="1899-12-30T00:55:32"/>
  </r>
  <r>
    <x v="8"/>
    <x v="0"/>
    <n v="35.76"/>
    <x v="7"/>
    <x v="1"/>
    <x v="6"/>
    <x v="11"/>
    <n v="4"/>
    <n v="2"/>
    <x v="335"/>
    <d v="1899-12-30T00:59:22"/>
  </r>
  <r>
    <x v="4"/>
    <x v="0"/>
    <n v="35.76"/>
    <x v="4"/>
    <x v="1"/>
    <x v="6"/>
    <x v="11"/>
    <n v="4"/>
    <n v="2"/>
    <x v="335"/>
    <d v="1899-12-30T00:14:50"/>
  </r>
  <r>
    <x v="9"/>
    <x v="0"/>
    <n v="35.76"/>
    <x v="4"/>
    <x v="2"/>
    <x v="6"/>
    <x v="11"/>
    <n v="4"/>
    <n v="2"/>
    <x v="335"/>
    <d v="1899-12-30T00:09:46"/>
  </r>
  <r>
    <x v="9"/>
    <x v="0"/>
    <n v="35.76"/>
    <x v="4"/>
    <x v="2"/>
    <x v="6"/>
    <x v="11"/>
    <n v="4"/>
    <n v="2"/>
    <x v="335"/>
    <d v="1899-12-30T00:54:25"/>
  </r>
  <r>
    <x v="6"/>
    <x v="0"/>
    <n v="35.76"/>
    <x v="7"/>
    <x v="2"/>
    <x v="6"/>
    <x v="11"/>
    <n v="4"/>
    <n v="2"/>
    <x v="335"/>
    <d v="1899-12-30T00:53:13"/>
  </r>
  <r>
    <x v="6"/>
    <x v="0"/>
    <n v="21.06"/>
    <x v="6"/>
    <x v="2"/>
    <x v="6"/>
    <x v="11"/>
    <n v="4"/>
    <n v="2"/>
    <x v="335"/>
    <d v="1899-12-30T00:55:07"/>
  </r>
  <r>
    <x v="11"/>
    <x v="0"/>
    <n v="35.76"/>
    <x v="4"/>
    <x v="2"/>
    <x v="6"/>
    <x v="11"/>
    <n v="4"/>
    <n v="2"/>
    <x v="335"/>
    <d v="1899-12-30T00:06:59"/>
  </r>
  <r>
    <x v="11"/>
    <x v="0"/>
    <n v="35.76"/>
    <x v="4"/>
    <x v="2"/>
    <x v="6"/>
    <x v="11"/>
    <n v="4"/>
    <n v="2"/>
    <x v="335"/>
    <d v="1899-12-30T00:07:47"/>
  </r>
  <r>
    <x v="11"/>
    <x v="0"/>
    <n v="35.76"/>
    <x v="0"/>
    <x v="2"/>
    <x v="6"/>
    <x v="11"/>
    <n v="4"/>
    <n v="2"/>
    <x v="335"/>
    <d v="1899-12-30T00:23:14"/>
  </r>
  <r>
    <x v="12"/>
    <x v="0"/>
    <n v="30.86"/>
    <x v="3"/>
    <x v="0"/>
    <x v="0"/>
    <x v="11"/>
    <n v="5"/>
    <n v="2"/>
    <x v="336"/>
    <d v="1899-12-30T00:44:50"/>
  </r>
  <r>
    <x v="10"/>
    <x v="0"/>
    <n v="30.86"/>
    <x v="3"/>
    <x v="0"/>
    <x v="0"/>
    <x v="11"/>
    <n v="5"/>
    <n v="2"/>
    <x v="336"/>
    <d v="1899-12-30T00:07:05"/>
  </r>
  <r>
    <x v="0"/>
    <x v="0"/>
    <n v="25.96"/>
    <x v="2"/>
    <x v="0"/>
    <x v="0"/>
    <x v="11"/>
    <n v="5"/>
    <n v="2"/>
    <x v="336"/>
    <d v="1899-12-30T00:49:23"/>
  </r>
  <r>
    <x v="1"/>
    <x v="0"/>
    <n v="35.76"/>
    <x v="4"/>
    <x v="1"/>
    <x v="0"/>
    <x v="11"/>
    <n v="5"/>
    <n v="2"/>
    <x v="336"/>
    <d v="1899-12-30T00:09:39"/>
  </r>
  <r>
    <x v="1"/>
    <x v="0"/>
    <n v="30.86"/>
    <x v="3"/>
    <x v="1"/>
    <x v="0"/>
    <x v="11"/>
    <n v="5"/>
    <n v="2"/>
    <x v="336"/>
    <d v="1899-12-30T00:51:22"/>
  </r>
  <r>
    <x v="1"/>
    <x v="0"/>
    <n v="25.96"/>
    <x v="2"/>
    <x v="1"/>
    <x v="0"/>
    <x v="11"/>
    <n v="5"/>
    <n v="2"/>
    <x v="336"/>
    <d v="1899-12-30T00:58:52"/>
  </r>
  <r>
    <x v="4"/>
    <x v="0"/>
    <n v="25.96"/>
    <x v="5"/>
    <x v="1"/>
    <x v="0"/>
    <x v="11"/>
    <n v="5"/>
    <n v="2"/>
    <x v="336"/>
    <d v="1899-12-30T00:04:11"/>
  </r>
  <r>
    <x v="4"/>
    <x v="0"/>
    <n v="35.76"/>
    <x v="0"/>
    <x v="1"/>
    <x v="0"/>
    <x v="11"/>
    <n v="5"/>
    <n v="2"/>
    <x v="336"/>
    <d v="1899-12-30T00:22:13"/>
  </r>
  <r>
    <x v="4"/>
    <x v="0"/>
    <n v="35.76"/>
    <x v="1"/>
    <x v="1"/>
    <x v="0"/>
    <x v="11"/>
    <n v="5"/>
    <n v="2"/>
    <x v="336"/>
    <d v="1899-12-30T00:23:14"/>
  </r>
  <r>
    <x v="4"/>
    <x v="0"/>
    <n v="35.76"/>
    <x v="0"/>
    <x v="1"/>
    <x v="0"/>
    <x v="11"/>
    <n v="5"/>
    <n v="2"/>
    <x v="336"/>
    <d v="1899-12-30T00:24:35"/>
  </r>
  <r>
    <x v="5"/>
    <x v="0"/>
    <n v="35.76"/>
    <x v="4"/>
    <x v="2"/>
    <x v="0"/>
    <x v="11"/>
    <n v="5"/>
    <n v="2"/>
    <x v="336"/>
    <d v="1899-12-30T00:42:37"/>
  </r>
  <r>
    <x v="5"/>
    <x v="0"/>
    <n v="35.76"/>
    <x v="4"/>
    <x v="2"/>
    <x v="0"/>
    <x v="11"/>
    <n v="5"/>
    <n v="2"/>
    <x v="336"/>
    <d v="1899-12-30T00:43:36"/>
  </r>
  <r>
    <x v="5"/>
    <x v="0"/>
    <n v="25.96"/>
    <x v="5"/>
    <x v="2"/>
    <x v="0"/>
    <x v="11"/>
    <n v="5"/>
    <n v="2"/>
    <x v="336"/>
    <d v="1899-12-30T00:44:31"/>
  </r>
  <r>
    <x v="5"/>
    <x v="0"/>
    <n v="35.76"/>
    <x v="4"/>
    <x v="2"/>
    <x v="0"/>
    <x v="11"/>
    <n v="5"/>
    <n v="2"/>
    <x v="336"/>
    <d v="1899-12-30T00:45:23"/>
  </r>
  <r>
    <x v="11"/>
    <x v="0"/>
    <n v="35.76"/>
    <x v="4"/>
    <x v="2"/>
    <x v="0"/>
    <x v="11"/>
    <n v="5"/>
    <n v="2"/>
    <x v="336"/>
    <d v="1899-12-30T00:10:59"/>
  </r>
  <r>
    <x v="11"/>
    <x v="0"/>
    <n v="25.96"/>
    <x v="5"/>
    <x v="2"/>
    <x v="0"/>
    <x v="11"/>
    <n v="5"/>
    <n v="2"/>
    <x v="336"/>
    <d v="1899-12-30T00:30:57"/>
  </r>
  <r>
    <x v="10"/>
    <x v="0"/>
    <n v="25.96"/>
    <x v="2"/>
    <x v="0"/>
    <x v="1"/>
    <x v="11"/>
    <n v="6"/>
    <n v="2"/>
    <x v="337"/>
    <d v="1899-12-30T00:01:43"/>
  </r>
  <r>
    <x v="0"/>
    <x v="0"/>
    <n v="30.86"/>
    <x v="3"/>
    <x v="0"/>
    <x v="1"/>
    <x v="11"/>
    <n v="6"/>
    <n v="2"/>
    <x v="337"/>
    <d v="1899-12-30T00:56:17"/>
  </r>
  <r>
    <x v="7"/>
    <x v="0"/>
    <n v="25.96"/>
    <x v="5"/>
    <x v="0"/>
    <x v="1"/>
    <x v="11"/>
    <n v="6"/>
    <n v="2"/>
    <x v="337"/>
    <d v="1899-12-30T00:02:41"/>
  </r>
  <r>
    <x v="7"/>
    <x v="0"/>
    <n v="25.96"/>
    <x v="2"/>
    <x v="0"/>
    <x v="1"/>
    <x v="11"/>
    <n v="6"/>
    <n v="2"/>
    <x v="337"/>
    <d v="1899-12-30T00:39:34"/>
  </r>
  <r>
    <x v="1"/>
    <x v="0"/>
    <n v="25.96"/>
    <x v="2"/>
    <x v="1"/>
    <x v="1"/>
    <x v="11"/>
    <n v="6"/>
    <n v="2"/>
    <x v="337"/>
    <d v="1899-12-30T00:46:13"/>
  </r>
  <r>
    <x v="2"/>
    <x v="0"/>
    <n v="25.96"/>
    <x v="2"/>
    <x v="1"/>
    <x v="1"/>
    <x v="11"/>
    <n v="6"/>
    <n v="2"/>
    <x v="337"/>
    <d v="1899-12-30T00:26:48"/>
  </r>
  <r>
    <x v="3"/>
    <x v="0"/>
    <n v="25.96"/>
    <x v="2"/>
    <x v="1"/>
    <x v="1"/>
    <x v="11"/>
    <n v="6"/>
    <n v="2"/>
    <x v="337"/>
    <d v="1899-12-30T00:07:04"/>
  </r>
  <r>
    <x v="3"/>
    <x v="0"/>
    <n v="25.96"/>
    <x v="2"/>
    <x v="1"/>
    <x v="1"/>
    <x v="11"/>
    <n v="6"/>
    <n v="2"/>
    <x v="337"/>
    <d v="1899-12-30T00:08:09"/>
  </r>
  <r>
    <x v="12"/>
    <x v="0"/>
    <n v="35.76"/>
    <x v="4"/>
    <x v="0"/>
    <x v="2"/>
    <x v="11"/>
    <n v="7"/>
    <n v="2"/>
    <x v="338"/>
    <d v="1899-12-30T00:49:24"/>
  </r>
  <r>
    <x v="0"/>
    <x v="0"/>
    <n v="30.86"/>
    <x v="3"/>
    <x v="0"/>
    <x v="2"/>
    <x v="11"/>
    <n v="7"/>
    <n v="2"/>
    <x v="338"/>
    <d v="1899-12-30T00:31:09"/>
  </r>
  <r>
    <x v="0"/>
    <x v="0"/>
    <n v="25.96"/>
    <x v="2"/>
    <x v="0"/>
    <x v="2"/>
    <x v="11"/>
    <n v="7"/>
    <n v="2"/>
    <x v="338"/>
    <d v="1899-12-30T00:51:28"/>
  </r>
  <r>
    <x v="1"/>
    <x v="0"/>
    <n v="35.76"/>
    <x v="0"/>
    <x v="1"/>
    <x v="2"/>
    <x v="11"/>
    <n v="7"/>
    <n v="2"/>
    <x v="338"/>
    <d v="1899-12-30T00:05:05"/>
  </r>
  <r>
    <x v="3"/>
    <x v="0"/>
    <n v="35.76"/>
    <x v="4"/>
    <x v="1"/>
    <x v="2"/>
    <x v="11"/>
    <n v="7"/>
    <n v="2"/>
    <x v="338"/>
    <d v="1899-12-30T00:13:09"/>
  </r>
  <r>
    <x v="3"/>
    <x v="0"/>
    <n v="35.76"/>
    <x v="0"/>
    <x v="1"/>
    <x v="2"/>
    <x v="11"/>
    <n v="7"/>
    <n v="2"/>
    <x v="338"/>
    <d v="1899-12-30T00:14:02"/>
  </r>
  <r>
    <x v="3"/>
    <x v="0"/>
    <n v="35.76"/>
    <x v="1"/>
    <x v="1"/>
    <x v="2"/>
    <x v="11"/>
    <n v="7"/>
    <n v="2"/>
    <x v="338"/>
    <d v="1899-12-30T00:15:58"/>
  </r>
  <r>
    <x v="3"/>
    <x v="0"/>
    <n v="35.76"/>
    <x v="4"/>
    <x v="1"/>
    <x v="2"/>
    <x v="11"/>
    <n v="7"/>
    <n v="2"/>
    <x v="338"/>
    <d v="1899-12-30T00:16:52"/>
  </r>
  <r>
    <x v="4"/>
    <x v="0"/>
    <n v="25.96"/>
    <x v="5"/>
    <x v="1"/>
    <x v="2"/>
    <x v="11"/>
    <n v="7"/>
    <n v="2"/>
    <x v="338"/>
    <d v="1899-12-30T00:20:19"/>
  </r>
  <r>
    <x v="14"/>
    <x v="0"/>
    <n v="25.96"/>
    <x v="2"/>
    <x v="0"/>
    <x v="3"/>
    <x v="11"/>
    <n v="1"/>
    <n v="2"/>
    <x v="339"/>
    <d v="1899-12-30T00:01:47"/>
  </r>
  <r>
    <x v="12"/>
    <x v="0"/>
    <n v="25.96"/>
    <x v="2"/>
    <x v="0"/>
    <x v="3"/>
    <x v="11"/>
    <n v="1"/>
    <n v="2"/>
    <x v="339"/>
    <d v="1899-12-30T00:16:32"/>
  </r>
  <r>
    <x v="12"/>
    <x v="0"/>
    <n v="25.96"/>
    <x v="2"/>
    <x v="0"/>
    <x v="3"/>
    <x v="11"/>
    <n v="1"/>
    <n v="2"/>
    <x v="339"/>
    <d v="1899-12-30T00:24:56"/>
  </r>
  <r>
    <x v="7"/>
    <x v="0"/>
    <n v="30.86"/>
    <x v="3"/>
    <x v="0"/>
    <x v="3"/>
    <x v="11"/>
    <n v="1"/>
    <n v="2"/>
    <x v="339"/>
    <d v="1899-12-30T00:11:43"/>
  </r>
  <r>
    <x v="2"/>
    <x v="0"/>
    <n v="25.96"/>
    <x v="2"/>
    <x v="1"/>
    <x v="3"/>
    <x v="11"/>
    <n v="1"/>
    <n v="2"/>
    <x v="339"/>
    <d v="1899-12-30T00:08:50"/>
  </r>
  <r>
    <x v="2"/>
    <x v="0"/>
    <n v="35.76"/>
    <x v="4"/>
    <x v="1"/>
    <x v="3"/>
    <x v="11"/>
    <n v="1"/>
    <n v="2"/>
    <x v="339"/>
    <d v="1899-12-30T00:11:06"/>
  </r>
  <r>
    <x v="2"/>
    <x v="0"/>
    <n v="30.86"/>
    <x v="3"/>
    <x v="1"/>
    <x v="3"/>
    <x v="11"/>
    <n v="1"/>
    <n v="2"/>
    <x v="339"/>
    <d v="1899-12-30T00:26:55"/>
  </r>
  <r>
    <x v="2"/>
    <x v="0"/>
    <n v="25.96"/>
    <x v="2"/>
    <x v="1"/>
    <x v="3"/>
    <x v="11"/>
    <n v="1"/>
    <n v="2"/>
    <x v="339"/>
    <d v="1899-12-30T00:40:13"/>
  </r>
  <r>
    <x v="8"/>
    <x v="0"/>
    <n v="35.76"/>
    <x v="0"/>
    <x v="1"/>
    <x v="3"/>
    <x v="11"/>
    <n v="1"/>
    <n v="2"/>
    <x v="339"/>
    <d v="1899-12-30T00:01:52"/>
  </r>
  <r>
    <x v="8"/>
    <x v="0"/>
    <n v="25.96"/>
    <x v="2"/>
    <x v="1"/>
    <x v="3"/>
    <x v="11"/>
    <n v="1"/>
    <n v="2"/>
    <x v="339"/>
    <d v="1899-12-30T00:07:41"/>
  </r>
  <r>
    <x v="8"/>
    <x v="0"/>
    <n v="35.76"/>
    <x v="4"/>
    <x v="1"/>
    <x v="3"/>
    <x v="11"/>
    <n v="1"/>
    <n v="2"/>
    <x v="339"/>
    <d v="1899-12-30T00:11:47"/>
  </r>
  <r>
    <x v="8"/>
    <x v="0"/>
    <n v="35.76"/>
    <x v="4"/>
    <x v="1"/>
    <x v="3"/>
    <x v="11"/>
    <n v="1"/>
    <n v="2"/>
    <x v="339"/>
    <d v="1899-12-30T00:15:45"/>
  </r>
  <r>
    <x v="3"/>
    <x v="0"/>
    <n v="35.76"/>
    <x v="7"/>
    <x v="1"/>
    <x v="3"/>
    <x v="11"/>
    <n v="1"/>
    <n v="2"/>
    <x v="339"/>
    <d v="1899-12-30T00:01:55"/>
  </r>
  <r>
    <x v="3"/>
    <x v="0"/>
    <n v="30.86"/>
    <x v="3"/>
    <x v="1"/>
    <x v="3"/>
    <x v="11"/>
    <n v="1"/>
    <n v="2"/>
    <x v="339"/>
    <d v="1899-12-30T00:14:01"/>
  </r>
  <r>
    <x v="3"/>
    <x v="0"/>
    <n v="35.76"/>
    <x v="0"/>
    <x v="1"/>
    <x v="3"/>
    <x v="11"/>
    <n v="1"/>
    <n v="2"/>
    <x v="339"/>
    <d v="1899-12-30T00:46:03"/>
  </r>
  <r>
    <x v="3"/>
    <x v="0"/>
    <n v="35.76"/>
    <x v="1"/>
    <x v="1"/>
    <x v="3"/>
    <x v="11"/>
    <n v="1"/>
    <n v="2"/>
    <x v="339"/>
    <d v="1899-12-30T00:47:44"/>
  </r>
  <r>
    <x v="4"/>
    <x v="0"/>
    <n v="35.76"/>
    <x v="4"/>
    <x v="1"/>
    <x v="3"/>
    <x v="11"/>
    <n v="1"/>
    <n v="2"/>
    <x v="339"/>
    <d v="1899-12-30T00:20:55"/>
  </r>
  <r>
    <x v="9"/>
    <x v="0"/>
    <n v="25.96"/>
    <x v="2"/>
    <x v="2"/>
    <x v="3"/>
    <x v="11"/>
    <n v="1"/>
    <n v="2"/>
    <x v="339"/>
    <d v="1899-12-30T00:12:02"/>
  </r>
  <r>
    <x v="5"/>
    <x v="0"/>
    <n v="30.86"/>
    <x v="3"/>
    <x v="2"/>
    <x v="3"/>
    <x v="11"/>
    <n v="1"/>
    <n v="2"/>
    <x v="339"/>
    <d v="1899-12-30T00:27:15"/>
  </r>
  <r>
    <x v="6"/>
    <x v="0"/>
    <n v="35.76"/>
    <x v="0"/>
    <x v="2"/>
    <x v="3"/>
    <x v="11"/>
    <n v="1"/>
    <n v="2"/>
    <x v="339"/>
    <d v="1899-12-30T00:14:02"/>
  </r>
  <r>
    <x v="6"/>
    <x v="0"/>
    <n v="35.76"/>
    <x v="0"/>
    <x v="2"/>
    <x v="3"/>
    <x v="11"/>
    <n v="1"/>
    <n v="2"/>
    <x v="339"/>
    <d v="1899-12-30T00:14:54"/>
  </r>
  <r>
    <x v="0"/>
    <x v="0"/>
    <n v="25.96"/>
    <x v="2"/>
    <x v="0"/>
    <x v="4"/>
    <x v="11"/>
    <n v="2"/>
    <n v="2"/>
    <x v="340"/>
    <d v="1899-12-30T00:38:26"/>
  </r>
  <r>
    <x v="7"/>
    <x v="0"/>
    <n v="25.96"/>
    <x v="2"/>
    <x v="0"/>
    <x v="4"/>
    <x v="11"/>
    <n v="2"/>
    <n v="2"/>
    <x v="340"/>
    <d v="1899-12-30T00:19:16"/>
  </r>
  <r>
    <x v="7"/>
    <x v="0"/>
    <n v="30.86"/>
    <x v="3"/>
    <x v="0"/>
    <x v="4"/>
    <x v="11"/>
    <n v="2"/>
    <n v="2"/>
    <x v="340"/>
    <d v="1899-12-30T00:20:12"/>
  </r>
  <r>
    <x v="7"/>
    <x v="0"/>
    <n v="35.76"/>
    <x v="4"/>
    <x v="0"/>
    <x v="4"/>
    <x v="11"/>
    <n v="2"/>
    <n v="2"/>
    <x v="340"/>
    <d v="1899-12-30T00:21:08"/>
  </r>
  <r>
    <x v="3"/>
    <x v="0"/>
    <n v="35.76"/>
    <x v="1"/>
    <x v="1"/>
    <x v="4"/>
    <x v="11"/>
    <n v="2"/>
    <n v="2"/>
    <x v="340"/>
    <d v="1899-12-30T00:56:50"/>
  </r>
  <r>
    <x v="4"/>
    <x v="0"/>
    <n v="30.86"/>
    <x v="3"/>
    <x v="1"/>
    <x v="4"/>
    <x v="11"/>
    <n v="2"/>
    <n v="2"/>
    <x v="340"/>
    <d v="1899-12-30T00:09:08"/>
  </r>
  <r>
    <x v="4"/>
    <x v="0"/>
    <n v="21.06"/>
    <x v="6"/>
    <x v="1"/>
    <x v="4"/>
    <x v="11"/>
    <n v="2"/>
    <n v="2"/>
    <x v="340"/>
    <d v="1899-12-30T00:49:41"/>
  </r>
  <r>
    <x v="9"/>
    <x v="0"/>
    <n v="35.76"/>
    <x v="0"/>
    <x v="2"/>
    <x v="4"/>
    <x v="11"/>
    <n v="2"/>
    <n v="2"/>
    <x v="340"/>
    <d v="1899-12-30T00:35:35"/>
  </r>
  <r>
    <x v="9"/>
    <x v="0"/>
    <n v="30.86"/>
    <x v="3"/>
    <x v="2"/>
    <x v="4"/>
    <x v="11"/>
    <n v="2"/>
    <n v="2"/>
    <x v="340"/>
    <d v="1899-12-30T00:36:42"/>
  </r>
  <r>
    <x v="9"/>
    <x v="0"/>
    <n v="30.86"/>
    <x v="3"/>
    <x v="2"/>
    <x v="4"/>
    <x v="11"/>
    <n v="2"/>
    <n v="2"/>
    <x v="340"/>
    <d v="1899-12-30T00:44:13"/>
  </r>
  <r>
    <x v="9"/>
    <x v="0"/>
    <n v="25.96"/>
    <x v="2"/>
    <x v="2"/>
    <x v="4"/>
    <x v="11"/>
    <n v="2"/>
    <n v="2"/>
    <x v="340"/>
    <d v="1899-12-30T00:50:40"/>
  </r>
  <r>
    <x v="9"/>
    <x v="0"/>
    <n v="30.86"/>
    <x v="3"/>
    <x v="2"/>
    <x v="4"/>
    <x v="11"/>
    <n v="2"/>
    <n v="2"/>
    <x v="340"/>
    <d v="1899-12-30T00:54:38"/>
  </r>
  <r>
    <x v="6"/>
    <x v="0"/>
    <n v="35.76"/>
    <x v="0"/>
    <x v="2"/>
    <x v="4"/>
    <x v="11"/>
    <n v="2"/>
    <n v="2"/>
    <x v="340"/>
    <d v="1899-12-30T00:04:11"/>
  </r>
  <r>
    <x v="6"/>
    <x v="0"/>
    <n v="35.76"/>
    <x v="4"/>
    <x v="2"/>
    <x v="4"/>
    <x v="11"/>
    <n v="2"/>
    <n v="2"/>
    <x v="340"/>
    <d v="1899-12-30T00:05:04"/>
  </r>
  <r>
    <x v="14"/>
    <x v="0"/>
    <n v="35.76"/>
    <x v="7"/>
    <x v="0"/>
    <x v="5"/>
    <x v="11"/>
    <n v="3"/>
    <n v="2"/>
    <x v="341"/>
    <d v="1899-12-30T00:16:57"/>
  </r>
  <r>
    <x v="14"/>
    <x v="0"/>
    <n v="25.96"/>
    <x v="2"/>
    <x v="0"/>
    <x v="5"/>
    <x v="11"/>
    <n v="3"/>
    <n v="2"/>
    <x v="341"/>
    <d v="1899-12-30T00:35:38"/>
  </r>
  <r>
    <x v="12"/>
    <x v="0"/>
    <n v="35.76"/>
    <x v="4"/>
    <x v="0"/>
    <x v="5"/>
    <x v="11"/>
    <n v="3"/>
    <n v="2"/>
    <x v="341"/>
    <d v="1899-12-30T00:54:36"/>
  </r>
  <r>
    <x v="10"/>
    <x v="0"/>
    <n v="30.86"/>
    <x v="3"/>
    <x v="0"/>
    <x v="5"/>
    <x v="11"/>
    <n v="3"/>
    <n v="2"/>
    <x v="341"/>
    <d v="1899-12-30T00:19:46"/>
  </r>
  <r>
    <x v="0"/>
    <x v="0"/>
    <n v="25.96"/>
    <x v="2"/>
    <x v="0"/>
    <x v="5"/>
    <x v="11"/>
    <n v="3"/>
    <n v="2"/>
    <x v="341"/>
    <d v="1899-12-30T00:43:14"/>
  </r>
  <r>
    <x v="1"/>
    <x v="0"/>
    <n v="25.96"/>
    <x v="2"/>
    <x v="1"/>
    <x v="5"/>
    <x v="11"/>
    <n v="3"/>
    <n v="2"/>
    <x v="341"/>
    <d v="1899-12-30T00:43:29"/>
  </r>
  <r>
    <x v="2"/>
    <x v="0"/>
    <n v="25.96"/>
    <x v="2"/>
    <x v="1"/>
    <x v="5"/>
    <x v="11"/>
    <n v="3"/>
    <n v="2"/>
    <x v="341"/>
    <d v="1899-12-30T00:08:09"/>
  </r>
  <r>
    <x v="2"/>
    <x v="0"/>
    <n v="35.76"/>
    <x v="1"/>
    <x v="1"/>
    <x v="5"/>
    <x v="11"/>
    <n v="3"/>
    <n v="2"/>
    <x v="341"/>
    <d v="1899-12-30T00:41:40"/>
  </r>
  <r>
    <x v="3"/>
    <x v="0"/>
    <n v="35.76"/>
    <x v="1"/>
    <x v="1"/>
    <x v="5"/>
    <x v="11"/>
    <n v="3"/>
    <n v="2"/>
    <x v="341"/>
    <d v="1899-12-30T00:41:25"/>
  </r>
  <r>
    <x v="3"/>
    <x v="0"/>
    <n v="35.76"/>
    <x v="0"/>
    <x v="1"/>
    <x v="5"/>
    <x v="11"/>
    <n v="3"/>
    <n v="2"/>
    <x v="341"/>
    <d v="1899-12-30T00:42:17"/>
  </r>
  <r>
    <x v="3"/>
    <x v="0"/>
    <n v="35.76"/>
    <x v="1"/>
    <x v="1"/>
    <x v="5"/>
    <x v="11"/>
    <n v="3"/>
    <n v="2"/>
    <x v="341"/>
    <d v="1899-12-30T00:43:35"/>
  </r>
  <r>
    <x v="4"/>
    <x v="0"/>
    <n v="25.96"/>
    <x v="2"/>
    <x v="1"/>
    <x v="5"/>
    <x v="11"/>
    <n v="3"/>
    <n v="2"/>
    <x v="341"/>
    <d v="1899-12-30T00:12:58"/>
  </r>
  <r>
    <x v="4"/>
    <x v="0"/>
    <n v="25.96"/>
    <x v="2"/>
    <x v="1"/>
    <x v="5"/>
    <x v="11"/>
    <n v="3"/>
    <n v="2"/>
    <x v="341"/>
    <d v="1899-12-30T00:26:09"/>
  </r>
  <r>
    <x v="9"/>
    <x v="0"/>
    <n v="35.76"/>
    <x v="7"/>
    <x v="2"/>
    <x v="5"/>
    <x v="11"/>
    <n v="3"/>
    <n v="2"/>
    <x v="341"/>
    <d v="1899-12-30T00:05:32"/>
  </r>
  <r>
    <x v="9"/>
    <x v="0"/>
    <n v="25.96"/>
    <x v="2"/>
    <x v="2"/>
    <x v="5"/>
    <x v="11"/>
    <n v="3"/>
    <n v="2"/>
    <x v="341"/>
    <d v="1899-12-30T00:42:52"/>
  </r>
  <r>
    <x v="11"/>
    <x v="0"/>
    <n v="35.76"/>
    <x v="0"/>
    <x v="2"/>
    <x v="5"/>
    <x v="11"/>
    <n v="3"/>
    <n v="2"/>
    <x v="341"/>
    <d v="1899-12-30T00:05:41"/>
  </r>
  <r>
    <x v="11"/>
    <x v="0"/>
    <n v="35.76"/>
    <x v="4"/>
    <x v="2"/>
    <x v="5"/>
    <x v="11"/>
    <n v="3"/>
    <n v="2"/>
    <x v="341"/>
    <d v="1899-12-30T00:23:13"/>
  </r>
  <r>
    <x v="15"/>
    <x v="0"/>
    <n v="35.76"/>
    <x v="7"/>
    <x v="2"/>
    <x v="5"/>
    <x v="11"/>
    <n v="3"/>
    <n v="2"/>
    <x v="341"/>
    <d v="1899-12-30T00:17:04"/>
  </r>
  <r>
    <x v="14"/>
    <x v="0"/>
    <n v="30.86"/>
    <x v="3"/>
    <x v="0"/>
    <x v="6"/>
    <x v="11"/>
    <n v="4"/>
    <n v="2"/>
    <x v="342"/>
    <d v="1899-12-30T00:38:48"/>
  </r>
  <r>
    <x v="12"/>
    <x v="0"/>
    <n v="25.96"/>
    <x v="2"/>
    <x v="0"/>
    <x v="6"/>
    <x v="11"/>
    <n v="4"/>
    <n v="2"/>
    <x v="342"/>
    <d v="1899-12-30T00:45:57"/>
  </r>
  <r>
    <x v="10"/>
    <x v="0"/>
    <n v="21.06"/>
    <x v="6"/>
    <x v="0"/>
    <x v="6"/>
    <x v="11"/>
    <n v="4"/>
    <n v="2"/>
    <x v="342"/>
    <d v="1899-12-30T00:17:21"/>
  </r>
  <r>
    <x v="10"/>
    <x v="0"/>
    <n v="35.76"/>
    <x v="4"/>
    <x v="0"/>
    <x v="6"/>
    <x v="11"/>
    <n v="4"/>
    <n v="2"/>
    <x v="342"/>
    <d v="1899-12-30T00:36:05"/>
  </r>
  <r>
    <x v="0"/>
    <x v="0"/>
    <n v="30.86"/>
    <x v="3"/>
    <x v="0"/>
    <x v="6"/>
    <x v="11"/>
    <n v="4"/>
    <n v="2"/>
    <x v="342"/>
    <d v="1899-12-30T00:29:33"/>
  </r>
  <r>
    <x v="0"/>
    <x v="0"/>
    <n v="30.86"/>
    <x v="3"/>
    <x v="0"/>
    <x v="6"/>
    <x v="11"/>
    <n v="4"/>
    <n v="2"/>
    <x v="342"/>
    <d v="1899-12-30T00:59:27"/>
  </r>
  <r>
    <x v="4"/>
    <x v="0"/>
    <n v="25.96"/>
    <x v="2"/>
    <x v="1"/>
    <x v="6"/>
    <x v="11"/>
    <n v="4"/>
    <n v="2"/>
    <x v="342"/>
    <d v="1899-12-30T00:30:39"/>
  </r>
  <r>
    <x v="4"/>
    <x v="0"/>
    <n v="25.96"/>
    <x v="2"/>
    <x v="1"/>
    <x v="6"/>
    <x v="11"/>
    <n v="4"/>
    <n v="2"/>
    <x v="342"/>
    <d v="1899-12-30T00:31:34"/>
  </r>
  <r>
    <x v="9"/>
    <x v="0"/>
    <n v="30.86"/>
    <x v="3"/>
    <x v="2"/>
    <x v="6"/>
    <x v="11"/>
    <n v="4"/>
    <n v="2"/>
    <x v="342"/>
    <d v="1899-12-30T00:16:12"/>
  </r>
  <r>
    <x v="9"/>
    <x v="0"/>
    <n v="30.86"/>
    <x v="3"/>
    <x v="2"/>
    <x v="6"/>
    <x v="11"/>
    <n v="4"/>
    <n v="2"/>
    <x v="342"/>
    <d v="1899-12-30T00:17:20"/>
  </r>
  <r>
    <x v="5"/>
    <x v="0"/>
    <n v="35.76"/>
    <x v="0"/>
    <x v="2"/>
    <x v="6"/>
    <x v="11"/>
    <n v="4"/>
    <n v="2"/>
    <x v="342"/>
    <d v="1899-12-30T00:01:36"/>
  </r>
  <r>
    <x v="5"/>
    <x v="0"/>
    <n v="35.76"/>
    <x v="7"/>
    <x v="2"/>
    <x v="6"/>
    <x v="11"/>
    <n v="4"/>
    <n v="2"/>
    <x v="342"/>
    <d v="1899-12-30T00:15:09"/>
  </r>
  <r>
    <x v="6"/>
    <x v="0"/>
    <n v="35.76"/>
    <x v="0"/>
    <x v="2"/>
    <x v="6"/>
    <x v="11"/>
    <n v="4"/>
    <n v="2"/>
    <x v="342"/>
    <d v="1899-12-30T00:06:30"/>
  </r>
  <r>
    <x v="7"/>
    <x v="0"/>
    <n v="25.96"/>
    <x v="2"/>
    <x v="0"/>
    <x v="0"/>
    <x v="11"/>
    <n v="5"/>
    <n v="2"/>
    <x v="343"/>
    <d v="1899-12-30T00:38:56"/>
  </r>
  <r>
    <x v="8"/>
    <x v="0"/>
    <n v="35.76"/>
    <x v="1"/>
    <x v="1"/>
    <x v="0"/>
    <x v="11"/>
    <n v="5"/>
    <n v="2"/>
    <x v="343"/>
    <d v="1899-12-30T00:07:09"/>
  </r>
  <r>
    <x v="8"/>
    <x v="0"/>
    <n v="25.96"/>
    <x v="2"/>
    <x v="1"/>
    <x v="0"/>
    <x v="11"/>
    <n v="5"/>
    <n v="2"/>
    <x v="343"/>
    <d v="1899-12-30T00:46:00"/>
  </r>
  <r>
    <x v="8"/>
    <x v="0"/>
    <n v="21.06"/>
    <x v="6"/>
    <x v="1"/>
    <x v="0"/>
    <x v="11"/>
    <n v="5"/>
    <n v="2"/>
    <x v="343"/>
    <d v="1899-12-30T00:46:45"/>
  </r>
  <r>
    <x v="8"/>
    <x v="0"/>
    <n v="30.86"/>
    <x v="3"/>
    <x v="1"/>
    <x v="0"/>
    <x v="11"/>
    <n v="5"/>
    <n v="2"/>
    <x v="343"/>
    <d v="1899-12-30T00:58:12"/>
  </r>
  <r>
    <x v="3"/>
    <x v="0"/>
    <n v="35.76"/>
    <x v="7"/>
    <x v="1"/>
    <x v="0"/>
    <x v="11"/>
    <n v="5"/>
    <n v="2"/>
    <x v="343"/>
    <d v="1899-12-30T00:00:17"/>
  </r>
  <r>
    <x v="3"/>
    <x v="0"/>
    <n v="35.76"/>
    <x v="7"/>
    <x v="1"/>
    <x v="0"/>
    <x v="11"/>
    <n v="5"/>
    <n v="2"/>
    <x v="343"/>
    <d v="1899-12-30T00:36:41"/>
  </r>
  <r>
    <x v="3"/>
    <x v="0"/>
    <n v="35.76"/>
    <x v="0"/>
    <x v="1"/>
    <x v="0"/>
    <x v="11"/>
    <n v="5"/>
    <n v="2"/>
    <x v="343"/>
    <d v="1899-12-30T00:38:48"/>
  </r>
  <r>
    <x v="3"/>
    <x v="0"/>
    <n v="35.76"/>
    <x v="1"/>
    <x v="1"/>
    <x v="0"/>
    <x v="11"/>
    <n v="5"/>
    <n v="2"/>
    <x v="343"/>
    <d v="1899-12-30T00:53:57"/>
  </r>
  <r>
    <x v="3"/>
    <x v="0"/>
    <n v="35.76"/>
    <x v="7"/>
    <x v="1"/>
    <x v="0"/>
    <x v="11"/>
    <n v="5"/>
    <n v="2"/>
    <x v="343"/>
    <d v="1899-12-30T00:54:57"/>
  </r>
  <r>
    <x v="9"/>
    <x v="0"/>
    <n v="25.96"/>
    <x v="2"/>
    <x v="2"/>
    <x v="0"/>
    <x v="11"/>
    <n v="5"/>
    <n v="2"/>
    <x v="343"/>
    <d v="1899-12-30T00:03:16"/>
  </r>
  <r>
    <x v="9"/>
    <x v="0"/>
    <n v="35.76"/>
    <x v="4"/>
    <x v="2"/>
    <x v="0"/>
    <x v="11"/>
    <n v="5"/>
    <n v="2"/>
    <x v="343"/>
    <d v="1899-12-30T00:04:30"/>
  </r>
  <r>
    <x v="9"/>
    <x v="0"/>
    <n v="21.06"/>
    <x v="6"/>
    <x v="2"/>
    <x v="0"/>
    <x v="11"/>
    <n v="5"/>
    <n v="2"/>
    <x v="343"/>
    <d v="1899-12-30T00:09:08"/>
  </r>
  <r>
    <x v="9"/>
    <x v="0"/>
    <n v="30.86"/>
    <x v="3"/>
    <x v="2"/>
    <x v="0"/>
    <x v="11"/>
    <n v="5"/>
    <n v="2"/>
    <x v="343"/>
    <d v="1899-12-30T00:25:25"/>
  </r>
  <r>
    <x v="15"/>
    <x v="0"/>
    <n v="25.96"/>
    <x v="2"/>
    <x v="2"/>
    <x v="0"/>
    <x v="11"/>
    <n v="5"/>
    <n v="2"/>
    <x v="343"/>
    <d v="1899-12-30T00:18:30"/>
  </r>
  <r>
    <x v="10"/>
    <x v="0"/>
    <n v="35.76"/>
    <x v="7"/>
    <x v="0"/>
    <x v="1"/>
    <x v="11"/>
    <n v="6"/>
    <n v="2"/>
    <x v="344"/>
    <d v="1899-12-30T00:22:52"/>
  </r>
  <r>
    <x v="1"/>
    <x v="0"/>
    <n v="35.76"/>
    <x v="7"/>
    <x v="1"/>
    <x v="1"/>
    <x v="11"/>
    <n v="6"/>
    <n v="2"/>
    <x v="344"/>
    <d v="1899-12-30T00:41:54"/>
  </r>
  <r>
    <x v="1"/>
    <x v="0"/>
    <n v="25.96"/>
    <x v="2"/>
    <x v="1"/>
    <x v="1"/>
    <x v="11"/>
    <n v="6"/>
    <n v="2"/>
    <x v="344"/>
    <d v="1899-12-30T00:44:27"/>
  </r>
  <r>
    <x v="2"/>
    <x v="0"/>
    <n v="30.86"/>
    <x v="3"/>
    <x v="1"/>
    <x v="1"/>
    <x v="11"/>
    <n v="6"/>
    <n v="2"/>
    <x v="344"/>
    <d v="1899-12-30T00:02:20"/>
  </r>
  <r>
    <x v="2"/>
    <x v="0"/>
    <n v="30.86"/>
    <x v="3"/>
    <x v="1"/>
    <x v="1"/>
    <x v="11"/>
    <n v="6"/>
    <n v="2"/>
    <x v="344"/>
    <d v="1899-12-30T00:32:06"/>
  </r>
  <r>
    <x v="8"/>
    <x v="0"/>
    <n v="35.76"/>
    <x v="7"/>
    <x v="1"/>
    <x v="1"/>
    <x v="11"/>
    <n v="6"/>
    <n v="2"/>
    <x v="344"/>
    <d v="1899-12-30T00:01:51"/>
  </r>
  <r>
    <x v="8"/>
    <x v="0"/>
    <n v="25.96"/>
    <x v="2"/>
    <x v="1"/>
    <x v="1"/>
    <x v="11"/>
    <n v="6"/>
    <n v="2"/>
    <x v="344"/>
    <d v="1899-12-30T00:11:54"/>
  </r>
  <r>
    <x v="3"/>
    <x v="0"/>
    <n v="35.76"/>
    <x v="1"/>
    <x v="1"/>
    <x v="1"/>
    <x v="11"/>
    <n v="6"/>
    <n v="2"/>
    <x v="344"/>
    <d v="1899-12-30T00:40:08"/>
  </r>
  <r>
    <x v="3"/>
    <x v="0"/>
    <n v="35.76"/>
    <x v="1"/>
    <x v="1"/>
    <x v="1"/>
    <x v="11"/>
    <n v="6"/>
    <n v="2"/>
    <x v="344"/>
    <d v="1899-12-30T00:40:59"/>
  </r>
  <r>
    <x v="0"/>
    <x v="0"/>
    <n v="25.96"/>
    <x v="2"/>
    <x v="0"/>
    <x v="2"/>
    <x v="11"/>
    <n v="7"/>
    <n v="2"/>
    <x v="345"/>
    <d v="1899-12-30T00:46:43"/>
  </r>
  <r>
    <x v="0"/>
    <x v="0"/>
    <n v="25.96"/>
    <x v="2"/>
    <x v="0"/>
    <x v="2"/>
    <x v="11"/>
    <n v="7"/>
    <n v="2"/>
    <x v="345"/>
    <d v="1899-12-30T00:50:01"/>
  </r>
  <r>
    <x v="0"/>
    <x v="0"/>
    <n v="30.86"/>
    <x v="3"/>
    <x v="0"/>
    <x v="2"/>
    <x v="11"/>
    <n v="7"/>
    <n v="2"/>
    <x v="345"/>
    <d v="1899-12-30T00:51:04"/>
  </r>
  <r>
    <x v="7"/>
    <x v="0"/>
    <n v="35.76"/>
    <x v="1"/>
    <x v="0"/>
    <x v="2"/>
    <x v="11"/>
    <n v="7"/>
    <n v="2"/>
    <x v="345"/>
    <d v="1899-12-30T00:04:48"/>
  </r>
  <r>
    <x v="7"/>
    <x v="0"/>
    <n v="25.96"/>
    <x v="2"/>
    <x v="0"/>
    <x v="2"/>
    <x v="11"/>
    <n v="7"/>
    <n v="2"/>
    <x v="345"/>
    <d v="1899-12-30T00:32:29"/>
  </r>
  <r>
    <x v="8"/>
    <x v="0"/>
    <n v="35.76"/>
    <x v="1"/>
    <x v="1"/>
    <x v="2"/>
    <x v="11"/>
    <n v="7"/>
    <n v="2"/>
    <x v="345"/>
    <d v="1899-12-30T00:15:37"/>
  </r>
  <r>
    <x v="8"/>
    <x v="0"/>
    <n v="35.76"/>
    <x v="0"/>
    <x v="1"/>
    <x v="2"/>
    <x v="11"/>
    <n v="7"/>
    <n v="2"/>
    <x v="345"/>
    <d v="1899-12-30T00:16:41"/>
  </r>
  <r>
    <x v="9"/>
    <x v="0"/>
    <n v="35.76"/>
    <x v="1"/>
    <x v="2"/>
    <x v="2"/>
    <x v="11"/>
    <n v="7"/>
    <n v="2"/>
    <x v="345"/>
    <d v="1899-12-30T00:12:27"/>
  </r>
  <r>
    <x v="9"/>
    <x v="0"/>
    <n v="30.86"/>
    <x v="3"/>
    <x v="2"/>
    <x v="2"/>
    <x v="11"/>
    <n v="7"/>
    <n v="2"/>
    <x v="345"/>
    <d v="1899-12-30T00:13:33"/>
  </r>
  <r>
    <x v="9"/>
    <x v="0"/>
    <n v="30.86"/>
    <x v="3"/>
    <x v="2"/>
    <x v="2"/>
    <x v="11"/>
    <n v="7"/>
    <n v="2"/>
    <x v="345"/>
    <d v="1899-12-30T00:44:33"/>
  </r>
  <r>
    <x v="16"/>
    <x v="0"/>
    <n v="35.76"/>
    <x v="7"/>
    <x v="0"/>
    <x v="3"/>
    <x v="11"/>
    <n v="1"/>
    <n v="2"/>
    <x v="346"/>
    <d v="1899-12-30T00:50:05"/>
  </r>
  <r>
    <x v="12"/>
    <x v="0"/>
    <n v="25.96"/>
    <x v="2"/>
    <x v="0"/>
    <x v="3"/>
    <x v="11"/>
    <n v="1"/>
    <n v="2"/>
    <x v="346"/>
    <d v="1899-12-30T00:53:14"/>
  </r>
  <r>
    <x v="10"/>
    <x v="0"/>
    <n v="25.96"/>
    <x v="2"/>
    <x v="0"/>
    <x v="3"/>
    <x v="11"/>
    <n v="1"/>
    <n v="2"/>
    <x v="346"/>
    <d v="1899-12-30T00:00:55"/>
  </r>
  <r>
    <x v="10"/>
    <x v="0"/>
    <n v="30.86"/>
    <x v="3"/>
    <x v="0"/>
    <x v="3"/>
    <x v="11"/>
    <n v="1"/>
    <n v="2"/>
    <x v="346"/>
    <d v="1899-12-30T00:28:07"/>
  </r>
  <r>
    <x v="10"/>
    <x v="0"/>
    <n v="35.76"/>
    <x v="1"/>
    <x v="0"/>
    <x v="3"/>
    <x v="11"/>
    <n v="1"/>
    <n v="2"/>
    <x v="346"/>
    <d v="1899-12-30T00:56:59"/>
  </r>
  <r>
    <x v="0"/>
    <x v="0"/>
    <n v="30.86"/>
    <x v="3"/>
    <x v="0"/>
    <x v="3"/>
    <x v="11"/>
    <n v="1"/>
    <n v="2"/>
    <x v="346"/>
    <d v="1899-12-30T00:20:12"/>
  </r>
  <r>
    <x v="0"/>
    <x v="0"/>
    <n v="25.96"/>
    <x v="2"/>
    <x v="0"/>
    <x v="3"/>
    <x v="11"/>
    <n v="1"/>
    <n v="2"/>
    <x v="346"/>
    <d v="1899-12-30T00:44:48"/>
  </r>
  <r>
    <x v="7"/>
    <x v="0"/>
    <n v="30.86"/>
    <x v="3"/>
    <x v="0"/>
    <x v="3"/>
    <x v="11"/>
    <n v="1"/>
    <n v="2"/>
    <x v="346"/>
    <d v="1899-12-30T00:53:59"/>
  </r>
  <r>
    <x v="7"/>
    <x v="0"/>
    <n v="21.06"/>
    <x v="6"/>
    <x v="0"/>
    <x v="3"/>
    <x v="11"/>
    <n v="1"/>
    <n v="2"/>
    <x v="346"/>
    <d v="1899-12-30T00:55:02"/>
  </r>
  <r>
    <x v="1"/>
    <x v="0"/>
    <n v="35.76"/>
    <x v="7"/>
    <x v="1"/>
    <x v="3"/>
    <x v="11"/>
    <n v="1"/>
    <n v="2"/>
    <x v="346"/>
    <d v="1899-12-30T00:48:58"/>
  </r>
  <r>
    <x v="8"/>
    <x v="0"/>
    <n v="35.76"/>
    <x v="0"/>
    <x v="1"/>
    <x v="3"/>
    <x v="11"/>
    <n v="1"/>
    <n v="2"/>
    <x v="346"/>
    <d v="1899-12-30T00:23:02"/>
  </r>
  <r>
    <x v="3"/>
    <x v="0"/>
    <n v="30.86"/>
    <x v="3"/>
    <x v="1"/>
    <x v="3"/>
    <x v="11"/>
    <n v="1"/>
    <n v="2"/>
    <x v="346"/>
    <d v="1899-12-30T00:05:42"/>
  </r>
  <r>
    <x v="3"/>
    <x v="0"/>
    <n v="35.76"/>
    <x v="0"/>
    <x v="1"/>
    <x v="3"/>
    <x v="11"/>
    <n v="1"/>
    <n v="2"/>
    <x v="346"/>
    <d v="1899-12-30T00:33:20"/>
  </r>
  <r>
    <x v="4"/>
    <x v="0"/>
    <n v="21.06"/>
    <x v="6"/>
    <x v="1"/>
    <x v="3"/>
    <x v="11"/>
    <n v="1"/>
    <n v="2"/>
    <x v="346"/>
    <d v="1899-12-30T00:19:06"/>
  </r>
  <r>
    <x v="4"/>
    <x v="0"/>
    <n v="25.96"/>
    <x v="2"/>
    <x v="1"/>
    <x v="3"/>
    <x v="11"/>
    <n v="1"/>
    <n v="2"/>
    <x v="346"/>
    <d v="1899-12-30T00:22:42"/>
  </r>
  <r>
    <x v="9"/>
    <x v="0"/>
    <n v="30.86"/>
    <x v="3"/>
    <x v="2"/>
    <x v="3"/>
    <x v="11"/>
    <n v="1"/>
    <n v="2"/>
    <x v="346"/>
    <d v="1899-12-30T00:31:14"/>
  </r>
  <r>
    <x v="5"/>
    <x v="0"/>
    <n v="25.96"/>
    <x v="2"/>
    <x v="2"/>
    <x v="3"/>
    <x v="11"/>
    <n v="1"/>
    <n v="2"/>
    <x v="346"/>
    <d v="1899-12-30T00:23:53"/>
  </r>
  <r>
    <x v="6"/>
    <x v="0"/>
    <n v="25.96"/>
    <x v="2"/>
    <x v="2"/>
    <x v="3"/>
    <x v="11"/>
    <n v="1"/>
    <n v="2"/>
    <x v="346"/>
    <d v="1899-12-30T00:13:52"/>
  </r>
  <r>
    <x v="6"/>
    <x v="0"/>
    <n v="25.96"/>
    <x v="2"/>
    <x v="2"/>
    <x v="3"/>
    <x v="11"/>
    <n v="1"/>
    <n v="2"/>
    <x v="346"/>
    <d v="1899-12-30T00:15:01"/>
  </r>
  <r>
    <x v="11"/>
    <x v="0"/>
    <n v="35.76"/>
    <x v="0"/>
    <x v="2"/>
    <x v="3"/>
    <x v="11"/>
    <n v="1"/>
    <n v="2"/>
    <x v="346"/>
    <d v="1899-12-30T00:18:18"/>
  </r>
  <r>
    <x v="12"/>
    <x v="0"/>
    <n v="25.96"/>
    <x v="2"/>
    <x v="0"/>
    <x v="4"/>
    <x v="11"/>
    <n v="2"/>
    <n v="2"/>
    <x v="347"/>
    <d v="1899-12-30T00:53:09"/>
  </r>
  <r>
    <x v="12"/>
    <x v="0"/>
    <n v="25.96"/>
    <x v="2"/>
    <x v="0"/>
    <x v="4"/>
    <x v="11"/>
    <n v="2"/>
    <n v="2"/>
    <x v="347"/>
    <d v="1899-12-30T00:54:15"/>
  </r>
  <r>
    <x v="7"/>
    <x v="0"/>
    <n v="25.96"/>
    <x v="2"/>
    <x v="0"/>
    <x v="4"/>
    <x v="11"/>
    <n v="2"/>
    <n v="2"/>
    <x v="347"/>
    <d v="1899-12-30T00:07:35"/>
  </r>
  <r>
    <x v="7"/>
    <x v="0"/>
    <n v="25.96"/>
    <x v="2"/>
    <x v="0"/>
    <x v="4"/>
    <x v="11"/>
    <n v="2"/>
    <n v="2"/>
    <x v="347"/>
    <d v="1899-12-30T00:30:06"/>
  </r>
  <r>
    <x v="7"/>
    <x v="0"/>
    <n v="30.86"/>
    <x v="3"/>
    <x v="0"/>
    <x v="4"/>
    <x v="11"/>
    <n v="2"/>
    <n v="2"/>
    <x v="347"/>
    <d v="1899-12-30T00:38:24"/>
  </r>
  <r>
    <x v="1"/>
    <x v="0"/>
    <n v="30.86"/>
    <x v="3"/>
    <x v="1"/>
    <x v="4"/>
    <x v="11"/>
    <n v="2"/>
    <n v="2"/>
    <x v="347"/>
    <d v="1899-12-30T00:15:27"/>
  </r>
  <r>
    <x v="2"/>
    <x v="0"/>
    <n v="35.76"/>
    <x v="4"/>
    <x v="1"/>
    <x v="4"/>
    <x v="11"/>
    <n v="2"/>
    <n v="2"/>
    <x v="347"/>
    <d v="1899-12-30T00:04:27"/>
  </r>
  <r>
    <x v="2"/>
    <x v="0"/>
    <n v="25.96"/>
    <x v="2"/>
    <x v="1"/>
    <x v="4"/>
    <x v="11"/>
    <n v="2"/>
    <n v="2"/>
    <x v="347"/>
    <d v="1899-12-30T00:25:45"/>
  </r>
  <r>
    <x v="2"/>
    <x v="0"/>
    <n v="30.86"/>
    <x v="3"/>
    <x v="1"/>
    <x v="4"/>
    <x v="11"/>
    <n v="2"/>
    <n v="2"/>
    <x v="347"/>
    <d v="1899-12-30T00:27:05"/>
  </r>
  <r>
    <x v="9"/>
    <x v="0"/>
    <n v="35.76"/>
    <x v="1"/>
    <x v="2"/>
    <x v="4"/>
    <x v="11"/>
    <n v="2"/>
    <n v="2"/>
    <x v="347"/>
    <d v="1899-12-30T00:05:28"/>
  </r>
  <r>
    <x v="9"/>
    <x v="0"/>
    <n v="30.86"/>
    <x v="3"/>
    <x v="2"/>
    <x v="4"/>
    <x v="11"/>
    <n v="2"/>
    <n v="2"/>
    <x v="347"/>
    <d v="1899-12-30T00:08:19"/>
  </r>
  <r>
    <x v="9"/>
    <x v="0"/>
    <n v="21.06"/>
    <x v="6"/>
    <x v="2"/>
    <x v="4"/>
    <x v="11"/>
    <n v="2"/>
    <n v="2"/>
    <x v="347"/>
    <d v="1899-12-30T00:09:17"/>
  </r>
  <r>
    <x v="9"/>
    <x v="0"/>
    <n v="35.76"/>
    <x v="4"/>
    <x v="2"/>
    <x v="4"/>
    <x v="11"/>
    <n v="2"/>
    <n v="2"/>
    <x v="347"/>
    <d v="1899-12-30T00:10:23"/>
  </r>
  <r>
    <x v="9"/>
    <x v="0"/>
    <n v="35.76"/>
    <x v="4"/>
    <x v="2"/>
    <x v="4"/>
    <x v="11"/>
    <n v="2"/>
    <n v="2"/>
    <x v="347"/>
    <d v="1899-12-30T00:11:36"/>
  </r>
  <r>
    <x v="6"/>
    <x v="0"/>
    <n v="35.76"/>
    <x v="4"/>
    <x v="2"/>
    <x v="4"/>
    <x v="11"/>
    <n v="2"/>
    <n v="2"/>
    <x v="347"/>
    <d v="1899-12-30T00:36:27"/>
  </r>
  <r>
    <x v="11"/>
    <x v="0"/>
    <n v="35.76"/>
    <x v="4"/>
    <x v="2"/>
    <x v="4"/>
    <x v="11"/>
    <n v="2"/>
    <n v="2"/>
    <x v="347"/>
    <d v="1899-12-30T00:06:56"/>
  </r>
  <r>
    <x v="11"/>
    <x v="0"/>
    <n v="35.76"/>
    <x v="1"/>
    <x v="2"/>
    <x v="4"/>
    <x v="11"/>
    <n v="2"/>
    <n v="2"/>
    <x v="347"/>
    <d v="1899-12-30T00:58:13"/>
  </r>
  <r>
    <x v="15"/>
    <x v="0"/>
    <n v="30.86"/>
    <x v="3"/>
    <x v="2"/>
    <x v="4"/>
    <x v="11"/>
    <n v="2"/>
    <n v="2"/>
    <x v="347"/>
    <d v="1899-12-30T00:02:00"/>
  </r>
  <r>
    <x v="12"/>
    <x v="0"/>
    <n v="35.76"/>
    <x v="7"/>
    <x v="0"/>
    <x v="5"/>
    <x v="11"/>
    <n v="3"/>
    <n v="2"/>
    <x v="348"/>
    <d v="1899-12-30T00:08:53"/>
  </r>
  <r>
    <x v="12"/>
    <x v="0"/>
    <n v="25.96"/>
    <x v="2"/>
    <x v="0"/>
    <x v="5"/>
    <x v="11"/>
    <n v="3"/>
    <n v="2"/>
    <x v="348"/>
    <d v="1899-12-30T00:09:54"/>
  </r>
  <r>
    <x v="12"/>
    <x v="0"/>
    <n v="25.96"/>
    <x v="2"/>
    <x v="0"/>
    <x v="5"/>
    <x v="11"/>
    <n v="3"/>
    <n v="2"/>
    <x v="348"/>
    <d v="1899-12-30T00:47:33"/>
  </r>
  <r>
    <x v="10"/>
    <x v="0"/>
    <n v="35.76"/>
    <x v="7"/>
    <x v="0"/>
    <x v="5"/>
    <x v="11"/>
    <n v="3"/>
    <n v="2"/>
    <x v="348"/>
    <d v="1899-12-30T00:24:32"/>
  </r>
  <r>
    <x v="0"/>
    <x v="0"/>
    <n v="25.96"/>
    <x v="2"/>
    <x v="0"/>
    <x v="5"/>
    <x v="11"/>
    <n v="3"/>
    <n v="2"/>
    <x v="348"/>
    <d v="1899-12-30T00:09:51"/>
  </r>
  <r>
    <x v="0"/>
    <x v="0"/>
    <n v="35.76"/>
    <x v="1"/>
    <x v="0"/>
    <x v="5"/>
    <x v="11"/>
    <n v="3"/>
    <n v="2"/>
    <x v="348"/>
    <d v="1899-12-30T00:19:01"/>
  </r>
  <r>
    <x v="0"/>
    <x v="0"/>
    <n v="30.86"/>
    <x v="3"/>
    <x v="0"/>
    <x v="5"/>
    <x v="11"/>
    <n v="3"/>
    <n v="2"/>
    <x v="348"/>
    <d v="1899-12-30T00:40:52"/>
  </r>
  <r>
    <x v="1"/>
    <x v="0"/>
    <n v="25.96"/>
    <x v="2"/>
    <x v="1"/>
    <x v="5"/>
    <x v="11"/>
    <n v="3"/>
    <n v="2"/>
    <x v="348"/>
    <d v="1899-12-30T00:45:06"/>
  </r>
  <r>
    <x v="1"/>
    <x v="0"/>
    <n v="35.76"/>
    <x v="4"/>
    <x v="1"/>
    <x v="5"/>
    <x v="11"/>
    <n v="3"/>
    <n v="2"/>
    <x v="348"/>
    <d v="1899-12-30T00:46:04"/>
  </r>
  <r>
    <x v="2"/>
    <x v="0"/>
    <n v="25.96"/>
    <x v="2"/>
    <x v="1"/>
    <x v="5"/>
    <x v="11"/>
    <n v="3"/>
    <n v="2"/>
    <x v="348"/>
    <d v="1899-12-30T00:06:54"/>
  </r>
  <r>
    <x v="3"/>
    <x v="0"/>
    <n v="35.76"/>
    <x v="7"/>
    <x v="1"/>
    <x v="5"/>
    <x v="11"/>
    <n v="3"/>
    <n v="2"/>
    <x v="348"/>
    <d v="1899-12-30T00:50:43"/>
  </r>
  <r>
    <x v="9"/>
    <x v="0"/>
    <n v="25.96"/>
    <x v="2"/>
    <x v="2"/>
    <x v="5"/>
    <x v="11"/>
    <n v="3"/>
    <n v="2"/>
    <x v="348"/>
    <d v="1899-12-30T00:04:00"/>
  </r>
  <r>
    <x v="9"/>
    <x v="0"/>
    <n v="35.76"/>
    <x v="7"/>
    <x v="2"/>
    <x v="5"/>
    <x v="11"/>
    <n v="3"/>
    <n v="2"/>
    <x v="348"/>
    <d v="1899-12-30T00:34:49"/>
  </r>
  <r>
    <x v="9"/>
    <x v="0"/>
    <n v="30.86"/>
    <x v="3"/>
    <x v="2"/>
    <x v="5"/>
    <x v="11"/>
    <n v="3"/>
    <n v="2"/>
    <x v="348"/>
    <d v="1899-12-30T00:57:52"/>
  </r>
  <r>
    <x v="5"/>
    <x v="0"/>
    <n v="35.76"/>
    <x v="7"/>
    <x v="2"/>
    <x v="5"/>
    <x v="11"/>
    <n v="3"/>
    <n v="2"/>
    <x v="348"/>
    <d v="1899-12-30T00:35:39"/>
  </r>
  <r>
    <x v="6"/>
    <x v="0"/>
    <n v="35.76"/>
    <x v="0"/>
    <x v="2"/>
    <x v="5"/>
    <x v="11"/>
    <n v="3"/>
    <n v="2"/>
    <x v="348"/>
    <d v="1899-12-30T00:01:33"/>
  </r>
  <r>
    <x v="6"/>
    <x v="0"/>
    <n v="35.76"/>
    <x v="4"/>
    <x v="2"/>
    <x v="5"/>
    <x v="11"/>
    <n v="3"/>
    <n v="2"/>
    <x v="348"/>
    <d v="1899-12-30T00:11:50"/>
  </r>
  <r>
    <x v="6"/>
    <x v="0"/>
    <n v="35.76"/>
    <x v="1"/>
    <x v="2"/>
    <x v="5"/>
    <x v="11"/>
    <n v="3"/>
    <n v="2"/>
    <x v="348"/>
    <d v="1899-12-30T00:12:43"/>
  </r>
  <r>
    <x v="6"/>
    <x v="0"/>
    <n v="35.76"/>
    <x v="0"/>
    <x v="2"/>
    <x v="5"/>
    <x v="11"/>
    <n v="3"/>
    <n v="2"/>
    <x v="348"/>
    <d v="1899-12-30T00:26:23"/>
  </r>
  <r>
    <x v="11"/>
    <x v="0"/>
    <n v="35.76"/>
    <x v="4"/>
    <x v="2"/>
    <x v="5"/>
    <x v="11"/>
    <n v="3"/>
    <n v="2"/>
    <x v="348"/>
    <d v="1899-12-30T00:05:28"/>
  </r>
  <r>
    <x v="14"/>
    <x v="0"/>
    <n v="35.76"/>
    <x v="7"/>
    <x v="0"/>
    <x v="6"/>
    <x v="11"/>
    <n v="4"/>
    <n v="2"/>
    <x v="349"/>
    <d v="1899-12-30T00:56:25"/>
  </r>
  <r>
    <x v="10"/>
    <x v="0"/>
    <n v="25.96"/>
    <x v="2"/>
    <x v="0"/>
    <x v="6"/>
    <x v="11"/>
    <n v="4"/>
    <n v="2"/>
    <x v="349"/>
    <d v="1899-12-30T00:17:53"/>
  </r>
  <r>
    <x v="0"/>
    <x v="0"/>
    <n v="35.76"/>
    <x v="7"/>
    <x v="0"/>
    <x v="6"/>
    <x v="11"/>
    <n v="4"/>
    <n v="2"/>
    <x v="349"/>
    <d v="1899-12-30T00:16:40"/>
  </r>
  <r>
    <x v="0"/>
    <x v="0"/>
    <n v="25.96"/>
    <x v="2"/>
    <x v="0"/>
    <x v="6"/>
    <x v="11"/>
    <n v="4"/>
    <n v="2"/>
    <x v="349"/>
    <d v="1899-12-30T00:17:39"/>
  </r>
  <r>
    <x v="0"/>
    <x v="0"/>
    <n v="25.96"/>
    <x v="2"/>
    <x v="0"/>
    <x v="6"/>
    <x v="11"/>
    <n v="4"/>
    <n v="2"/>
    <x v="349"/>
    <d v="1899-12-30T00:20:25"/>
  </r>
  <r>
    <x v="0"/>
    <x v="0"/>
    <n v="25.96"/>
    <x v="2"/>
    <x v="0"/>
    <x v="6"/>
    <x v="11"/>
    <n v="4"/>
    <n v="2"/>
    <x v="349"/>
    <d v="1899-12-30T00:24:24"/>
  </r>
  <r>
    <x v="2"/>
    <x v="0"/>
    <n v="30.86"/>
    <x v="3"/>
    <x v="1"/>
    <x v="6"/>
    <x v="11"/>
    <n v="4"/>
    <n v="2"/>
    <x v="349"/>
    <d v="1899-12-30T00:02:20"/>
  </r>
  <r>
    <x v="8"/>
    <x v="0"/>
    <n v="35.76"/>
    <x v="0"/>
    <x v="1"/>
    <x v="6"/>
    <x v="11"/>
    <n v="4"/>
    <n v="2"/>
    <x v="349"/>
    <d v="1899-12-30T00:20:33"/>
  </r>
  <r>
    <x v="8"/>
    <x v="0"/>
    <n v="25.96"/>
    <x v="2"/>
    <x v="1"/>
    <x v="6"/>
    <x v="11"/>
    <n v="4"/>
    <n v="2"/>
    <x v="349"/>
    <d v="1899-12-30T00:38:00"/>
  </r>
  <r>
    <x v="8"/>
    <x v="0"/>
    <n v="25.96"/>
    <x v="2"/>
    <x v="1"/>
    <x v="6"/>
    <x v="11"/>
    <n v="4"/>
    <n v="2"/>
    <x v="349"/>
    <d v="1899-12-30T00:38:49"/>
  </r>
  <r>
    <x v="3"/>
    <x v="0"/>
    <n v="21.06"/>
    <x v="6"/>
    <x v="1"/>
    <x v="6"/>
    <x v="11"/>
    <n v="4"/>
    <n v="2"/>
    <x v="349"/>
    <d v="1899-12-30T00:19:46"/>
  </r>
  <r>
    <x v="4"/>
    <x v="0"/>
    <n v="35.76"/>
    <x v="7"/>
    <x v="1"/>
    <x v="6"/>
    <x v="11"/>
    <n v="4"/>
    <n v="2"/>
    <x v="349"/>
    <d v="1899-12-30T00:05:50"/>
  </r>
  <r>
    <x v="4"/>
    <x v="0"/>
    <n v="35.76"/>
    <x v="7"/>
    <x v="1"/>
    <x v="6"/>
    <x v="11"/>
    <n v="4"/>
    <n v="2"/>
    <x v="349"/>
    <d v="1899-12-30T00:59:07"/>
  </r>
  <r>
    <x v="9"/>
    <x v="0"/>
    <n v="35.76"/>
    <x v="1"/>
    <x v="2"/>
    <x v="6"/>
    <x v="11"/>
    <n v="4"/>
    <n v="2"/>
    <x v="349"/>
    <d v="1899-12-30T00:00:37"/>
  </r>
  <r>
    <x v="9"/>
    <x v="0"/>
    <n v="25.96"/>
    <x v="2"/>
    <x v="2"/>
    <x v="6"/>
    <x v="11"/>
    <n v="4"/>
    <n v="2"/>
    <x v="349"/>
    <d v="1899-12-30T00:07:28"/>
  </r>
  <r>
    <x v="5"/>
    <x v="0"/>
    <n v="25.96"/>
    <x v="2"/>
    <x v="2"/>
    <x v="6"/>
    <x v="11"/>
    <n v="4"/>
    <n v="2"/>
    <x v="349"/>
    <d v="1899-12-30T00:57:35"/>
  </r>
  <r>
    <x v="6"/>
    <x v="0"/>
    <n v="35.76"/>
    <x v="1"/>
    <x v="2"/>
    <x v="6"/>
    <x v="11"/>
    <n v="4"/>
    <n v="2"/>
    <x v="349"/>
    <d v="1899-12-30T00:01:51"/>
  </r>
  <r>
    <x v="6"/>
    <x v="0"/>
    <n v="35.76"/>
    <x v="4"/>
    <x v="2"/>
    <x v="6"/>
    <x v="11"/>
    <n v="4"/>
    <n v="2"/>
    <x v="349"/>
    <d v="1899-12-30T00:07:26"/>
  </r>
  <r>
    <x v="11"/>
    <x v="0"/>
    <n v="35.76"/>
    <x v="0"/>
    <x v="2"/>
    <x v="6"/>
    <x v="11"/>
    <n v="4"/>
    <n v="2"/>
    <x v="349"/>
    <d v="1899-12-30T00:07:04"/>
  </r>
  <r>
    <x v="16"/>
    <x v="0"/>
    <n v="25.96"/>
    <x v="2"/>
    <x v="0"/>
    <x v="0"/>
    <x v="11"/>
    <n v="5"/>
    <n v="2"/>
    <x v="350"/>
    <d v="1899-12-30T00:59:08"/>
  </r>
  <r>
    <x v="10"/>
    <x v="0"/>
    <n v="35.76"/>
    <x v="0"/>
    <x v="0"/>
    <x v="0"/>
    <x v="11"/>
    <n v="5"/>
    <n v="2"/>
    <x v="350"/>
    <d v="1899-12-30T00:41:30"/>
  </r>
  <r>
    <x v="10"/>
    <x v="0"/>
    <n v="35.76"/>
    <x v="7"/>
    <x v="0"/>
    <x v="0"/>
    <x v="11"/>
    <n v="5"/>
    <n v="2"/>
    <x v="350"/>
    <d v="1899-12-30T00:49:21"/>
  </r>
  <r>
    <x v="10"/>
    <x v="0"/>
    <n v="21.06"/>
    <x v="6"/>
    <x v="0"/>
    <x v="0"/>
    <x v="11"/>
    <n v="5"/>
    <n v="2"/>
    <x v="350"/>
    <d v="1899-12-30T00:51:13"/>
  </r>
  <r>
    <x v="0"/>
    <x v="0"/>
    <n v="25.96"/>
    <x v="2"/>
    <x v="0"/>
    <x v="0"/>
    <x v="11"/>
    <n v="5"/>
    <n v="2"/>
    <x v="350"/>
    <d v="1899-12-30T00:18:11"/>
  </r>
  <r>
    <x v="7"/>
    <x v="0"/>
    <n v="30.86"/>
    <x v="3"/>
    <x v="0"/>
    <x v="0"/>
    <x v="11"/>
    <n v="5"/>
    <n v="2"/>
    <x v="350"/>
    <d v="1899-12-30T00:10:08"/>
  </r>
  <r>
    <x v="1"/>
    <x v="0"/>
    <n v="25.96"/>
    <x v="2"/>
    <x v="1"/>
    <x v="0"/>
    <x v="11"/>
    <n v="5"/>
    <n v="2"/>
    <x v="350"/>
    <d v="1899-12-30T00:04:49"/>
  </r>
  <r>
    <x v="1"/>
    <x v="0"/>
    <n v="25.96"/>
    <x v="2"/>
    <x v="1"/>
    <x v="0"/>
    <x v="11"/>
    <n v="5"/>
    <n v="2"/>
    <x v="350"/>
    <d v="1899-12-30T00:07:43"/>
  </r>
  <r>
    <x v="1"/>
    <x v="0"/>
    <n v="25.96"/>
    <x v="2"/>
    <x v="1"/>
    <x v="0"/>
    <x v="11"/>
    <n v="5"/>
    <n v="2"/>
    <x v="350"/>
    <d v="1899-12-30T00:56:18"/>
  </r>
  <r>
    <x v="1"/>
    <x v="0"/>
    <n v="25.96"/>
    <x v="2"/>
    <x v="1"/>
    <x v="0"/>
    <x v="11"/>
    <n v="5"/>
    <n v="2"/>
    <x v="350"/>
    <d v="1899-12-30T00:57:03"/>
  </r>
  <r>
    <x v="2"/>
    <x v="0"/>
    <n v="25.96"/>
    <x v="2"/>
    <x v="1"/>
    <x v="0"/>
    <x v="11"/>
    <n v="5"/>
    <n v="2"/>
    <x v="350"/>
    <d v="1899-12-30T00:06:43"/>
  </r>
  <r>
    <x v="8"/>
    <x v="0"/>
    <n v="25.96"/>
    <x v="2"/>
    <x v="1"/>
    <x v="0"/>
    <x v="11"/>
    <n v="5"/>
    <n v="2"/>
    <x v="350"/>
    <d v="1899-12-30T00:17:55"/>
  </r>
  <r>
    <x v="3"/>
    <x v="0"/>
    <n v="35.76"/>
    <x v="7"/>
    <x v="1"/>
    <x v="0"/>
    <x v="11"/>
    <n v="5"/>
    <n v="2"/>
    <x v="350"/>
    <d v="1899-12-30T00:18:31"/>
  </r>
  <r>
    <x v="3"/>
    <x v="0"/>
    <n v="25.96"/>
    <x v="2"/>
    <x v="1"/>
    <x v="0"/>
    <x v="11"/>
    <n v="5"/>
    <n v="2"/>
    <x v="350"/>
    <d v="1899-12-30T00:45:54"/>
  </r>
  <r>
    <x v="3"/>
    <x v="0"/>
    <n v="25.96"/>
    <x v="2"/>
    <x v="1"/>
    <x v="0"/>
    <x v="11"/>
    <n v="5"/>
    <n v="2"/>
    <x v="350"/>
    <d v="1899-12-30T00:46:48"/>
  </r>
  <r>
    <x v="3"/>
    <x v="0"/>
    <n v="25.96"/>
    <x v="2"/>
    <x v="1"/>
    <x v="0"/>
    <x v="11"/>
    <n v="5"/>
    <n v="2"/>
    <x v="350"/>
    <d v="1899-12-30T00:52:48"/>
  </r>
  <r>
    <x v="4"/>
    <x v="0"/>
    <n v="35.76"/>
    <x v="4"/>
    <x v="1"/>
    <x v="0"/>
    <x v="11"/>
    <n v="5"/>
    <n v="2"/>
    <x v="350"/>
    <d v="1899-12-30T00:10:06"/>
  </r>
  <r>
    <x v="4"/>
    <x v="0"/>
    <n v="35.76"/>
    <x v="0"/>
    <x v="1"/>
    <x v="0"/>
    <x v="11"/>
    <n v="5"/>
    <n v="2"/>
    <x v="350"/>
    <d v="1899-12-30T00:46:59"/>
  </r>
  <r>
    <x v="4"/>
    <x v="0"/>
    <n v="35.76"/>
    <x v="1"/>
    <x v="1"/>
    <x v="0"/>
    <x v="11"/>
    <n v="5"/>
    <n v="2"/>
    <x v="350"/>
    <d v="1899-12-30T00:48:59"/>
  </r>
  <r>
    <x v="4"/>
    <x v="0"/>
    <n v="35.76"/>
    <x v="0"/>
    <x v="1"/>
    <x v="0"/>
    <x v="11"/>
    <n v="5"/>
    <n v="2"/>
    <x v="350"/>
    <d v="1899-12-30T00:50:13"/>
  </r>
  <r>
    <x v="6"/>
    <x v="0"/>
    <n v="35.76"/>
    <x v="4"/>
    <x v="2"/>
    <x v="0"/>
    <x v="11"/>
    <n v="5"/>
    <n v="2"/>
    <x v="350"/>
    <d v="1899-12-30T00:08:19"/>
  </r>
  <r>
    <x v="6"/>
    <x v="0"/>
    <n v="35.76"/>
    <x v="4"/>
    <x v="2"/>
    <x v="0"/>
    <x v="11"/>
    <n v="5"/>
    <n v="2"/>
    <x v="350"/>
    <d v="1899-12-30T00:09:10"/>
  </r>
  <r>
    <x v="6"/>
    <x v="0"/>
    <n v="35.76"/>
    <x v="7"/>
    <x v="2"/>
    <x v="0"/>
    <x v="11"/>
    <n v="5"/>
    <n v="2"/>
    <x v="350"/>
    <d v="1899-12-30T00:59:24"/>
  </r>
  <r>
    <x v="0"/>
    <x v="0"/>
    <n v="35.76"/>
    <x v="1"/>
    <x v="0"/>
    <x v="1"/>
    <x v="11"/>
    <n v="6"/>
    <n v="2"/>
    <x v="351"/>
    <d v="1899-12-30T00:52:19"/>
  </r>
  <r>
    <x v="7"/>
    <x v="0"/>
    <n v="25.96"/>
    <x v="2"/>
    <x v="0"/>
    <x v="1"/>
    <x v="11"/>
    <n v="6"/>
    <n v="2"/>
    <x v="351"/>
    <d v="1899-12-30T00:28:31"/>
  </r>
  <r>
    <x v="7"/>
    <x v="0"/>
    <n v="25.96"/>
    <x v="2"/>
    <x v="0"/>
    <x v="1"/>
    <x v="11"/>
    <n v="6"/>
    <n v="2"/>
    <x v="351"/>
    <d v="1899-12-30T00:41:13"/>
  </r>
  <r>
    <x v="1"/>
    <x v="0"/>
    <n v="21.06"/>
    <x v="6"/>
    <x v="1"/>
    <x v="1"/>
    <x v="11"/>
    <n v="6"/>
    <n v="2"/>
    <x v="351"/>
    <d v="1899-12-30T00:59:42"/>
  </r>
  <r>
    <x v="3"/>
    <x v="0"/>
    <n v="30.86"/>
    <x v="3"/>
    <x v="1"/>
    <x v="1"/>
    <x v="11"/>
    <n v="6"/>
    <n v="2"/>
    <x v="351"/>
    <d v="1899-12-30T00:03:03"/>
  </r>
  <r>
    <x v="0"/>
    <x v="0"/>
    <n v="30.86"/>
    <x v="3"/>
    <x v="0"/>
    <x v="2"/>
    <x v="11"/>
    <n v="7"/>
    <n v="2"/>
    <x v="352"/>
    <d v="1899-12-30T00:33:12"/>
  </r>
  <r>
    <x v="1"/>
    <x v="0"/>
    <n v="30.86"/>
    <x v="3"/>
    <x v="1"/>
    <x v="2"/>
    <x v="11"/>
    <n v="7"/>
    <n v="2"/>
    <x v="352"/>
    <d v="1899-12-30T00:52:26"/>
  </r>
  <r>
    <x v="1"/>
    <x v="0"/>
    <n v="30.86"/>
    <x v="3"/>
    <x v="1"/>
    <x v="2"/>
    <x v="11"/>
    <n v="7"/>
    <n v="2"/>
    <x v="352"/>
    <d v="1899-12-30T00:54:06"/>
  </r>
  <r>
    <x v="2"/>
    <x v="0"/>
    <n v="35.76"/>
    <x v="7"/>
    <x v="1"/>
    <x v="2"/>
    <x v="11"/>
    <n v="7"/>
    <n v="2"/>
    <x v="352"/>
    <d v="1899-12-30T00:50:22"/>
  </r>
  <r>
    <x v="8"/>
    <x v="0"/>
    <n v="35.76"/>
    <x v="4"/>
    <x v="1"/>
    <x v="2"/>
    <x v="11"/>
    <n v="7"/>
    <n v="2"/>
    <x v="352"/>
    <d v="1899-12-30T00:02:03"/>
  </r>
  <r>
    <x v="9"/>
    <x v="0"/>
    <n v="25.96"/>
    <x v="2"/>
    <x v="2"/>
    <x v="2"/>
    <x v="11"/>
    <n v="7"/>
    <n v="2"/>
    <x v="352"/>
    <d v="1899-12-30T00:27:45"/>
  </r>
  <r>
    <x v="10"/>
    <x v="0"/>
    <n v="30.86"/>
    <x v="3"/>
    <x v="0"/>
    <x v="3"/>
    <x v="11"/>
    <n v="1"/>
    <n v="2"/>
    <x v="353"/>
    <d v="1899-12-30T00:14:54"/>
  </r>
  <r>
    <x v="10"/>
    <x v="0"/>
    <n v="35.76"/>
    <x v="0"/>
    <x v="0"/>
    <x v="3"/>
    <x v="11"/>
    <n v="1"/>
    <n v="2"/>
    <x v="353"/>
    <d v="1899-12-30T00:45:11"/>
  </r>
  <r>
    <x v="0"/>
    <x v="0"/>
    <n v="25.96"/>
    <x v="2"/>
    <x v="0"/>
    <x v="3"/>
    <x v="11"/>
    <n v="1"/>
    <n v="2"/>
    <x v="353"/>
    <d v="1899-12-30T00:02:49"/>
  </r>
  <r>
    <x v="0"/>
    <x v="0"/>
    <n v="30.86"/>
    <x v="3"/>
    <x v="0"/>
    <x v="3"/>
    <x v="11"/>
    <n v="1"/>
    <n v="2"/>
    <x v="353"/>
    <d v="1899-12-30T00:09:13"/>
  </r>
  <r>
    <x v="0"/>
    <x v="0"/>
    <n v="30.86"/>
    <x v="3"/>
    <x v="0"/>
    <x v="3"/>
    <x v="11"/>
    <n v="1"/>
    <n v="2"/>
    <x v="353"/>
    <d v="1899-12-30T00:10:22"/>
  </r>
  <r>
    <x v="0"/>
    <x v="0"/>
    <n v="35.76"/>
    <x v="4"/>
    <x v="0"/>
    <x v="3"/>
    <x v="11"/>
    <n v="1"/>
    <n v="2"/>
    <x v="353"/>
    <d v="1899-12-30T00:47:48"/>
  </r>
  <r>
    <x v="1"/>
    <x v="0"/>
    <n v="35.76"/>
    <x v="0"/>
    <x v="1"/>
    <x v="3"/>
    <x v="11"/>
    <n v="1"/>
    <n v="2"/>
    <x v="353"/>
    <d v="1899-12-30T00:58:41"/>
  </r>
  <r>
    <x v="2"/>
    <x v="0"/>
    <n v="35.76"/>
    <x v="4"/>
    <x v="1"/>
    <x v="3"/>
    <x v="11"/>
    <n v="1"/>
    <n v="2"/>
    <x v="353"/>
    <d v="1899-12-30T00:00:01"/>
  </r>
  <r>
    <x v="3"/>
    <x v="0"/>
    <n v="30.86"/>
    <x v="3"/>
    <x v="1"/>
    <x v="3"/>
    <x v="11"/>
    <n v="1"/>
    <n v="2"/>
    <x v="353"/>
    <d v="1899-12-30T00:40:02"/>
  </r>
  <r>
    <x v="4"/>
    <x v="0"/>
    <n v="35.76"/>
    <x v="4"/>
    <x v="1"/>
    <x v="3"/>
    <x v="11"/>
    <n v="1"/>
    <n v="2"/>
    <x v="353"/>
    <d v="1899-12-30T00:00:06"/>
  </r>
  <r>
    <x v="4"/>
    <x v="0"/>
    <n v="35.76"/>
    <x v="7"/>
    <x v="1"/>
    <x v="3"/>
    <x v="11"/>
    <n v="1"/>
    <n v="2"/>
    <x v="353"/>
    <d v="1899-12-30T00:10:24"/>
  </r>
  <r>
    <x v="4"/>
    <x v="0"/>
    <n v="35.76"/>
    <x v="0"/>
    <x v="1"/>
    <x v="3"/>
    <x v="11"/>
    <n v="1"/>
    <n v="2"/>
    <x v="353"/>
    <d v="1899-12-30T00:28:52"/>
  </r>
  <r>
    <x v="4"/>
    <x v="0"/>
    <n v="25.96"/>
    <x v="2"/>
    <x v="1"/>
    <x v="3"/>
    <x v="11"/>
    <n v="1"/>
    <n v="2"/>
    <x v="353"/>
    <d v="1899-12-30T00:59:39"/>
  </r>
  <r>
    <x v="9"/>
    <x v="0"/>
    <n v="25.96"/>
    <x v="2"/>
    <x v="2"/>
    <x v="3"/>
    <x v="11"/>
    <n v="1"/>
    <n v="2"/>
    <x v="353"/>
    <d v="1899-12-30T00:00:45"/>
  </r>
  <r>
    <x v="9"/>
    <x v="0"/>
    <n v="30.86"/>
    <x v="3"/>
    <x v="2"/>
    <x v="3"/>
    <x v="11"/>
    <n v="1"/>
    <n v="2"/>
    <x v="353"/>
    <d v="1899-12-30T00:37:39"/>
  </r>
  <r>
    <x v="5"/>
    <x v="0"/>
    <n v="30.86"/>
    <x v="3"/>
    <x v="2"/>
    <x v="3"/>
    <x v="11"/>
    <n v="1"/>
    <n v="2"/>
    <x v="353"/>
    <d v="1899-12-30T00:07:02"/>
  </r>
  <r>
    <x v="5"/>
    <x v="0"/>
    <n v="35.76"/>
    <x v="0"/>
    <x v="2"/>
    <x v="3"/>
    <x v="11"/>
    <n v="1"/>
    <n v="2"/>
    <x v="353"/>
    <d v="1899-12-30T00:21:57"/>
  </r>
  <r>
    <x v="6"/>
    <x v="0"/>
    <n v="30.86"/>
    <x v="3"/>
    <x v="2"/>
    <x v="3"/>
    <x v="11"/>
    <n v="1"/>
    <n v="2"/>
    <x v="353"/>
    <d v="1899-12-30T00:04:34"/>
  </r>
  <r>
    <x v="6"/>
    <x v="0"/>
    <n v="35.76"/>
    <x v="1"/>
    <x v="2"/>
    <x v="3"/>
    <x v="11"/>
    <n v="1"/>
    <n v="2"/>
    <x v="353"/>
    <d v="1899-12-30T00:24:11"/>
  </r>
  <r>
    <x v="6"/>
    <x v="0"/>
    <n v="35.76"/>
    <x v="0"/>
    <x v="2"/>
    <x v="3"/>
    <x v="11"/>
    <n v="1"/>
    <n v="2"/>
    <x v="353"/>
    <d v="1899-12-30T00:24:54"/>
  </r>
  <r>
    <x v="6"/>
    <x v="0"/>
    <n v="35.76"/>
    <x v="4"/>
    <x v="2"/>
    <x v="3"/>
    <x v="11"/>
    <n v="1"/>
    <n v="2"/>
    <x v="353"/>
    <d v="1899-12-30T00:26:15"/>
  </r>
  <r>
    <x v="11"/>
    <x v="0"/>
    <n v="35.76"/>
    <x v="4"/>
    <x v="2"/>
    <x v="3"/>
    <x v="11"/>
    <n v="1"/>
    <n v="2"/>
    <x v="353"/>
    <d v="1899-12-30T00:14:51"/>
  </r>
  <r>
    <x v="12"/>
    <x v="0"/>
    <n v="30.86"/>
    <x v="3"/>
    <x v="0"/>
    <x v="4"/>
    <x v="11"/>
    <n v="2"/>
    <n v="2"/>
    <x v="354"/>
    <d v="1899-12-30T00:00:39"/>
  </r>
  <r>
    <x v="12"/>
    <x v="0"/>
    <n v="25.96"/>
    <x v="2"/>
    <x v="0"/>
    <x v="4"/>
    <x v="11"/>
    <n v="2"/>
    <n v="2"/>
    <x v="354"/>
    <d v="1899-12-30T00:49:21"/>
  </r>
  <r>
    <x v="12"/>
    <x v="0"/>
    <n v="30.86"/>
    <x v="3"/>
    <x v="0"/>
    <x v="4"/>
    <x v="11"/>
    <n v="2"/>
    <n v="2"/>
    <x v="354"/>
    <d v="1899-12-30T00:50:14"/>
  </r>
  <r>
    <x v="0"/>
    <x v="0"/>
    <n v="21.06"/>
    <x v="6"/>
    <x v="0"/>
    <x v="4"/>
    <x v="11"/>
    <n v="2"/>
    <n v="2"/>
    <x v="354"/>
    <d v="1899-12-30T00:02:45"/>
  </r>
  <r>
    <x v="7"/>
    <x v="0"/>
    <n v="25.96"/>
    <x v="2"/>
    <x v="0"/>
    <x v="4"/>
    <x v="11"/>
    <n v="2"/>
    <n v="2"/>
    <x v="354"/>
    <d v="1899-12-30T00:03:34"/>
  </r>
  <r>
    <x v="7"/>
    <x v="0"/>
    <n v="25.96"/>
    <x v="2"/>
    <x v="0"/>
    <x v="4"/>
    <x v="11"/>
    <n v="2"/>
    <n v="2"/>
    <x v="354"/>
    <d v="1899-12-30T00:04:27"/>
  </r>
  <r>
    <x v="1"/>
    <x v="0"/>
    <n v="35.76"/>
    <x v="7"/>
    <x v="1"/>
    <x v="4"/>
    <x v="11"/>
    <n v="2"/>
    <n v="2"/>
    <x v="354"/>
    <d v="1899-12-30T00:20:42"/>
  </r>
  <r>
    <x v="8"/>
    <x v="0"/>
    <n v="35.76"/>
    <x v="7"/>
    <x v="1"/>
    <x v="4"/>
    <x v="11"/>
    <n v="2"/>
    <n v="2"/>
    <x v="354"/>
    <d v="1899-12-30T00:14:19"/>
  </r>
  <r>
    <x v="4"/>
    <x v="0"/>
    <n v="25.96"/>
    <x v="2"/>
    <x v="1"/>
    <x v="4"/>
    <x v="11"/>
    <n v="2"/>
    <n v="2"/>
    <x v="354"/>
    <d v="1899-12-30T00:49:37"/>
  </r>
  <r>
    <x v="4"/>
    <x v="0"/>
    <n v="25.96"/>
    <x v="2"/>
    <x v="1"/>
    <x v="4"/>
    <x v="11"/>
    <n v="2"/>
    <n v="2"/>
    <x v="354"/>
    <d v="1899-12-30T00:50:36"/>
  </r>
  <r>
    <x v="5"/>
    <x v="0"/>
    <n v="35.76"/>
    <x v="4"/>
    <x v="2"/>
    <x v="4"/>
    <x v="11"/>
    <n v="2"/>
    <n v="2"/>
    <x v="354"/>
    <d v="1899-12-30T00:19:09"/>
  </r>
  <r>
    <x v="6"/>
    <x v="0"/>
    <n v="35.76"/>
    <x v="7"/>
    <x v="2"/>
    <x v="4"/>
    <x v="11"/>
    <n v="2"/>
    <n v="2"/>
    <x v="354"/>
    <d v="1899-12-30T00:32:40"/>
  </r>
  <r>
    <x v="12"/>
    <x v="0"/>
    <n v="25.96"/>
    <x v="2"/>
    <x v="0"/>
    <x v="5"/>
    <x v="11"/>
    <n v="3"/>
    <n v="2"/>
    <x v="355"/>
    <d v="1899-12-30T00:57:37"/>
  </r>
  <r>
    <x v="0"/>
    <x v="0"/>
    <n v="30.86"/>
    <x v="3"/>
    <x v="0"/>
    <x v="5"/>
    <x v="11"/>
    <n v="3"/>
    <n v="2"/>
    <x v="355"/>
    <d v="1899-12-30T00:11:27"/>
  </r>
  <r>
    <x v="0"/>
    <x v="0"/>
    <n v="30.86"/>
    <x v="3"/>
    <x v="0"/>
    <x v="5"/>
    <x v="11"/>
    <n v="3"/>
    <n v="2"/>
    <x v="355"/>
    <d v="1899-12-30T00:12:26"/>
  </r>
  <r>
    <x v="0"/>
    <x v="0"/>
    <n v="35.76"/>
    <x v="1"/>
    <x v="0"/>
    <x v="5"/>
    <x v="11"/>
    <n v="3"/>
    <n v="2"/>
    <x v="355"/>
    <d v="1899-12-30T00:16:57"/>
  </r>
  <r>
    <x v="2"/>
    <x v="0"/>
    <n v="35.76"/>
    <x v="4"/>
    <x v="1"/>
    <x v="5"/>
    <x v="11"/>
    <n v="3"/>
    <n v="2"/>
    <x v="355"/>
    <d v="1899-12-30T00:13:27"/>
  </r>
  <r>
    <x v="2"/>
    <x v="0"/>
    <n v="35.76"/>
    <x v="0"/>
    <x v="1"/>
    <x v="5"/>
    <x v="11"/>
    <n v="3"/>
    <n v="2"/>
    <x v="355"/>
    <d v="1899-12-30T00:31:24"/>
  </r>
  <r>
    <x v="3"/>
    <x v="0"/>
    <n v="25.96"/>
    <x v="2"/>
    <x v="1"/>
    <x v="5"/>
    <x v="11"/>
    <n v="3"/>
    <n v="2"/>
    <x v="355"/>
    <d v="1899-12-30T00:01:59"/>
  </r>
  <r>
    <x v="3"/>
    <x v="0"/>
    <n v="25.96"/>
    <x v="2"/>
    <x v="1"/>
    <x v="5"/>
    <x v="11"/>
    <n v="3"/>
    <n v="2"/>
    <x v="355"/>
    <d v="1899-12-30T00:14:48"/>
  </r>
  <r>
    <x v="3"/>
    <x v="0"/>
    <n v="25.96"/>
    <x v="5"/>
    <x v="1"/>
    <x v="5"/>
    <x v="11"/>
    <n v="3"/>
    <n v="2"/>
    <x v="355"/>
    <d v="1899-12-30T00:17:25"/>
  </r>
  <r>
    <x v="3"/>
    <x v="0"/>
    <n v="35.76"/>
    <x v="1"/>
    <x v="1"/>
    <x v="5"/>
    <x v="11"/>
    <n v="3"/>
    <n v="2"/>
    <x v="355"/>
    <d v="1899-12-30T00:20:03"/>
  </r>
  <r>
    <x v="3"/>
    <x v="0"/>
    <n v="25.96"/>
    <x v="2"/>
    <x v="1"/>
    <x v="5"/>
    <x v="11"/>
    <n v="3"/>
    <n v="2"/>
    <x v="355"/>
    <d v="1899-12-30T00:20:49"/>
  </r>
  <r>
    <x v="3"/>
    <x v="0"/>
    <n v="25.96"/>
    <x v="2"/>
    <x v="1"/>
    <x v="5"/>
    <x v="11"/>
    <n v="3"/>
    <n v="2"/>
    <x v="355"/>
    <d v="1899-12-30T00:28:45"/>
  </r>
  <r>
    <x v="4"/>
    <x v="0"/>
    <n v="35.76"/>
    <x v="0"/>
    <x v="1"/>
    <x v="5"/>
    <x v="11"/>
    <n v="3"/>
    <n v="2"/>
    <x v="355"/>
    <d v="1899-12-30T00:20:47"/>
  </r>
  <r>
    <x v="4"/>
    <x v="0"/>
    <n v="35.76"/>
    <x v="1"/>
    <x v="1"/>
    <x v="5"/>
    <x v="11"/>
    <n v="3"/>
    <n v="2"/>
    <x v="355"/>
    <d v="1899-12-30T00:55:14"/>
  </r>
  <r>
    <x v="4"/>
    <x v="0"/>
    <n v="35.76"/>
    <x v="0"/>
    <x v="1"/>
    <x v="5"/>
    <x v="11"/>
    <n v="3"/>
    <n v="2"/>
    <x v="355"/>
    <d v="1899-12-30T00:56:00"/>
  </r>
  <r>
    <x v="9"/>
    <x v="0"/>
    <n v="30.86"/>
    <x v="3"/>
    <x v="2"/>
    <x v="5"/>
    <x v="11"/>
    <n v="3"/>
    <n v="2"/>
    <x v="355"/>
    <d v="1899-12-30T00:22:45"/>
  </r>
  <r>
    <x v="5"/>
    <x v="0"/>
    <n v="35.76"/>
    <x v="0"/>
    <x v="2"/>
    <x v="5"/>
    <x v="11"/>
    <n v="3"/>
    <n v="2"/>
    <x v="355"/>
    <d v="1899-12-30T00:11:24"/>
  </r>
  <r>
    <x v="5"/>
    <x v="0"/>
    <n v="35.76"/>
    <x v="7"/>
    <x v="2"/>
    <x v="5"/>
    <x v="11"/>
    <n v="3"/>
    <n v="2"/>
    <x v="355"/>
    <d v="1899-12-30T00:13:50"/>
  </r>
  <r>
    <x v="14"/>
    <x v="0"/>
    <n v="35.76"/>
    <x v="7"/>
    <x v="0"/>
    <x v="6"/>
    <x v="11"/>
    <n v="4"/>
    <n v="2"/>
    <x v="356"/>
    <d v="1899-12-30T00:19:00"/>
  </r>
  <r>
    <x v="14"/>
    <x v="0"/>
    <n v="35.76"/>
    <x v="7"/>
    <x v="0"/>
    <x v="6"/>
    <x v="11"/>
    <n v="4"/>
    <n v="2"/>
    <x v="356"/>
    <d v="1899-12-30T00:21:01"/>
  </r>
  <r>
    <x v="0"/>
    <x v="0"/>
    <n v="21.06"/>
    <x v="6"/>
    <x v="0"/>
    <x v="6"/>
    <x v="11"/>
    <n v="4"/>
    <n v="2"/>
    <x v="356"/>
    <d v="1899-12-30T00:52:29"/>
  </r>
  <r>
    <x v="7"/>
    <x v="0"/>
    <n v="35.76"/>
    <x v="4"/>
    <x v="0"/>
    <x v="6"/>
    <x v="11"/>
    <n v="4"/>
    <n v="2"/>
    <x v="356"/>
    <d v="1899-12-30T00:08:17"/>
  </r>
  <r>
    <x v="1"/>
    <x v="0"/>
    <n v="35.76"/>
    <x v="4"/>
    <x v="1"/>
    <x v="6"/>
    <x v="11"/>
    <n v="4"/>
    <n v="2"/>
    <x v="356"/>
    <d v="1899-12-30T00:48:16"/>
  </r>
  <r>
    <x v="2"/>
    <x v="0"/>
    <n v="30.86"/>
    <x v="3"/>
    <x v="1"/>
    <x v="6"/>
    <x v="11"/>
    <n v="4"/>
    <n v="2"/>
    <x v="356"/>
    <d v="1899-12-30T00:29:48"/>
  </r>
  <r>
    <x v="8"/>
    <x v="0"/>
    <n v="25.96"/>
    <x v="2"/>
    <x v="1"/>
    <x v="6"/>
    <x v="11"/>
    <n v="4"/>
    <n v="2"/>
    <x v="356"/>
    <d v="1899-12-30T00:23:17"/>
  </r>
  <r>
    <x v="8"/>
    <x v="0"/>
    <n v="35.76"/>
    <x v="0"/>
    <x v="1"/>
    <x v="6"/>
    <x v="11"/>
    <n v="4"/>
    <n v="2"/>
    <x v="356"/>
    <d v="1899-12-30T00:43:19"/>
  </r>
  <r>
    <x v="3"/>
    <x v="0"/>
    <n v="25.96"/>
    <x v="2"/>
    <x v="1"/>
    <x v="6"/>
    <x v="11"/>
    <n v="4"/>
    <n v="2"/>
    <x v="356"/>
    <d v="1899-12-30T00:47:51"/>
  </r>
  <r>
    <x v="4"/>
    <x v="0"/>
    <n v="25.96"/>
    <x v="2"/>
    <x v="1"/>
    <x v="6"/>
    <x v="11"/>
    <n v="4"/>
    <n v="2"/>
    <x v="356"/>
    <d v="1899-12-30T00:28:28"/>
  </r>
  <r>
    <x v="9"/>
    <x v="0"/>
    <n v="25.96"/>
    <x v="2"/>
    <x v="2"/>
    <x v="6"/>
    <x v="11"/>
    <n v="4"/>
    <n v="2"/>
    <x v="356"/>
    <d v="1899-12-30T00:12:56"/>
  </r>
  <r>
    <x v="9"/>
    <x v="0"/>
    <n v="25.96"/>
    <x v="2"/>
    <x v="2"/>
    <x v="6"/>
    <x v="11"/>
    <n v="4"/>
    <n v="2"/>
    <x v="356"/>
    <d v="1899-12-30T00:23:10"/>
  </r>
  <r>
    <x v="9"/>
    <x v="0"/>
    <n v="35.76"/>
    <x v="0"/>
    <x v="2"/>
    <x v="6"/>
    <x v="11"/>
    <n v="4"/>
    <n v="2"/>
    <x v="356"/>
    <d v="1899-12-30T00:53:13"/>
  </r>
  <r>
    <x v="5"/>
    <x v="0"/>
    <n v="35.76"/>
    <x v="0"/>
    <x v="2"/>
    <x v="6"/>
    <x v="11"/>
    <n v="4"/>
    <n v="2"/>
    <x v="356"/>
    <d v="1899-12-30T00:17:29"/>
  </r>
  <r>
    <x v="5"/>
    <x v="0"/>
    <n v="35.76"/>
    <x v="7"/>
    <x v="2"/>
    <x v="6"/>
    <x v="11"/>
    <n v="4"/>
    <n v="2"/>
    <x v="356"/>
    <d v="1899-12-30T00:38:41"/>
  </r>
  <r>
    <x v="5"/>
    <x v="0"/>
    <n v="35.76"/>
    <x v="4"/>
    <x v="2"/>
    <x v="6"/>
    <x v="11"/>
    <n v="4"/>
    <n v="2"/>
    <x v="356"/>
    <d v="1899-12-30T00:40:02"/>
  </r>
  <r>
    <x v="5"/>
    <x v="0"/>
    <n v="35.76"/>
    <x v="4"/>
    <x v="2"/>
    <x v="6"/>
    <x v="11"/>
    <n v="4"/>
    <n v="2"/>
    <x v="356"/>
    <d v="1899-12-30T00:40:52"/>
  </r>
  <r>
    <x v="6"/>
    <x v="0"/>
    <n v="35.76"/>
    <x v="0"/>
    <x v="2"/>
    <x v="6"/>
    <x v="11"/>
    <n v="4"/>
    <n v="2"/>
    <x v="356"/>
    <d v="1899-12-30T00:14:16"/>
  </r>
  <r>
    <x v="11"/>
    <x v="0"/>
    <n v="35.76"/>
    <x v="7"/>
    <x v="2"/>
    <x v="6"/>
    <x v="11"/>
    <n v="4"/>
    <n v="2"/>
    <x v="356"/>
    <d v="1899-12-30T00:02:07"/>
  </r>
  <r>
    <x v="16"/>
    <x v="0"/>
    <n v="30.86"/>
    <x v="3"/>
    <x v="0"/>
    <x v="0"/>
    <x v="11"/>
    <n v="5"/>
    <n v="2"/>
    <x v="357"/>
    <d v="1899-12-30T00:52:46"/>
  </r>
  <r>
    <x v="16"/>
    <x v="0"/>
    <n v="30.86"/>
    <x v="3"/>
    <x v="0"/>
    <x v="0"/>
    <x v="11"/>
    <n v="5"/>
    <n v="2"/>
    <x v="357"/>
    <d v="1899-12-30T00:55:00"/>
  </r>
  <r>
    <x v="14"/>
    <x v="0"/>
    <n v="35.76"/>
    <x v="7"/>
    <x v="0"/>
    <x v="0"/>
    <x v="11"/>
    <n v="5"/>
    <n v="2"/>
    <x v="357"/>
    <d v="1899-12-30T00:18:37"/>
  </r>
  <r>
    <x v="12"/>
    <x v="0"/>
    <n v="21.06"/>
    <x v="6"/>
    <x v="0"/>
    <x v="0"/>
    <x v="11"/>
    <n v="5"/>
    <n v="2"/>
    <x v="357"/>
    <d v="1899-12-30T00:09:58"/>
  </r>
  <r>
    <x v="10"/>
    <x v="0"/>
    <n v="30.86"/>
    <x v="3"/>
    <x v="0"/>
    <x v="0"/>
    <x v="11"/>
    <n v="5"/>
    <n v="2"/>
    <x v="357"/>
    <d v="1899-12-30T00:02:38"/>
  </r>
  <r>
    <x v="8"/>
    <x v="0"/>
    <n v="25.96"/>
    <x v="2"/>
    <x v="1"/>
    <x v="0"/>
    <x v="11"/>
    <n v="5"/>
    <n v="2"/>
    <x v="357"/>
    <d v="1899-12-30T00:44:28"/>
  </r>
  <r>
    <x v="8"/>
    <x v="0"/>
    <n v="25.96"/>
    <x v="2"/>
    <x v="1"/>
    <x v="0"/>
    <x v="11"/>
    <n v="5"/>
    <n v="2"/>
    <x v="357"/>
    <d v="1899-12-30T00:45:22"/>
  </r>
  <r>
    <x v="8"/>
    <x v="0"/>
    <n v="25.96"/>
    <x v="2"/>
    <x v="1"/>
    <x v="0"/>
    <x v="11"/>
    <n v="5"/>
    <n v="2"/>
    <x v="357"/>
    <d v="1899-12-30T00:47:52"/>
  </r>
  <r>
    <x v="8"/>
    <x v="0"/>
    <n v="35.76"/>
    <x v="0"/>
    <x v="1"/>
    <x v="0"/>
    <x v="11"/>
    <n v="5"/>
    <n v="2"/>
    <x v="357"/>
    <d v="1899-12-30T00:52:02"/>
  </r>
  <r>
    <x v="3"/>
    <x v="0"/>
    <n v="25.96"/>
    <x v="2"/>
    <x v="1"/>
    <x v="0"/>
    <x v="11"/>
    <n v="5"/>
    <n v="2"/>
    <x v="357"/>
    <d v="1899-12-30T00:19:19"/>
  </r>
  <r>
    <x v="4"/>
    <x v="0"/>
    <n v="35.76"/>
    <x v="4"/>
    <x v="1"/>
    <x v="0"/>
    <x v="11"/>
    <n v="5"/>
    <n v="2"/>
    <x v="357"/>
    <d v="1899-12-30T00:22:27"/>
  </r>
  <r>
    <x v="4"/>
    <x v="0"/>
    <n v="25.96"/>
    <x v="2"/>
    <x v="1"/>
    <x v="0"/>
    <x v="11"/>
    <n v="5"/>
    <n v="2"/>
    <x v="357"/>
    <d v="1899-12-30T00:30:07"/>
  </r>
  <r>
    <x v="9"/>
    <x v="0"/>
    <n v="35.76"/>
    <x v="0"/>
    <x v="2"/>
    <x v="0"/>
    <x v="11"/>
    <n v="5"/>
    <n v="2"/>
    <x v="357"/>
    <d v="1899-12-30T00:21:01"/>
  </r>
  <r>
    <x v="9"/>
    <x v="0"/>
    <n v="30.86"/>
    <x v="3"/>
    <x v="2"/>
    <x v="0"/>
    <x v="11"/>
    <n v="5"/>
    <n v="2"/>
    <x v="357"/>
    <d v="1899-12-30T00:31:04"/>
  </r>
  <r>
    <x v="9"/>
    <x v="0"/>
    <n v="25.96"/>
    <x v="2"/>
    <x v="2"/>
    <x v="0"/>
    <x v="11"/>
    <n v="5"/>
    <n v="2"/>
    <x v="357"/>
    <d v="1899-12-30T00:32:17"/>
  </r>
  <r>
    <x v="9"/>
    <x v="0"/>
    <n v="25.96"/>
    <x v="2"/>
    <x v="2"/>
    <x v="0"/>
    <x v="11"/>
    <n v="5"/>
    <n v="2"/>
    <x v="357"/>
    <d v="1899-12-30T00:33:49"/>
  </r>
  <r>
    <x v="5"/>
    <x v="0"/>
    <n v="35.76"/>
    <x v="0"/>
    <x v="2"/>
    <x v="0"/>
    <x v="11"/>
    <n v="5"/>
    <n v="2"/>
    <x v="357"/>
    <d v="1899-12-30T00:53:50"/>
  </r>
  <r>
    <x v="0"/>
    <x v="0"/>
    <n v="35.76"/>
    <x v="7"/>
    <x v="0"/>
    <x v="1"/>
    <x v="0"/>
    <n v="6"/>
    <n v="3"/>
    <x v="358"/>
    <d v="1899-12-30T00:31:46"/>
  </r>
  <r>
    <x v="7"/>
    <x v="0"/>
    <n v="25.96"/>
    <x v="2"/>
    <x v="0"/>
    <x v="1"/>
    <x v="0"/>
    <n v="6"/>
    <n v="3"/>
    <x v="358"/>
    <d v="1899-12-30T00:24:05"/>
  </r>
  <r>
    <x v="7"/>
    <x v="0"/>
    <n v="25.96"/>
    <x v="2"/>
    <x v="0"/>
    <x v="1"/>
    <x v="0"/>
    <n v="6"/>
    <n v="3"/>
    <x v="358"/>
    <d v="1899-12-30T00:27:58"/>
  </r>
  <r>
    <x v="8"/>
    <x v="0"/>
    <n v="35.76"/>
    <x v="0"/>
    <x v="1"/>
    <x v="1"/>
    <x v="0"/>
    <n v="6"/>
    <n v="3"/>
    <x v="358"/>
    <d v="1899-12-30T00:43:24"/>
  </r>
  <r>
    <x v="3"/>
    <x v="0"/>
    <n v="25.96"/>
    <x v="2"/>
    <x v="1"/>
    <x v="1"/>
    <x v="0"/>
    <n v="6"/>
    <n v="3"/>
    <x v="358"/>
    <d v="1899-12-30T00:02:32"/>
  </r>
  <r>
    <x v="3"/>
    <x v="0"/>
    <n v="30.86"/>
    <x v="3"/>
    <x v="1"/>
    <x v="1"/>
    <x v="0"/>
    <n v="6"/>
    <n v="3"/>
    <x v="358"/>
    <d v="1899-12-30T00:08:20"/>
  </r>
  <r>
    <x v="4"/>
    <x v="0"/>
    <n v="35.76"/>
    <x v="7"/>
    <x v="1"/>
    <x v="1"/>
    <x v="0"/>
    <n v="6"/>
    <n v="3"/>
    <x v="358"/>
    <d v="1899-12-30T00:42:13"/>
  </r>
  <r>
    <x v="9"/>
    <x v="0"/>
    <n v="25.96"/>
    <x v="2"/>
    <x v="2"/>
    <x v="1"/>
    <x v="0"/>
    <n v="6"/>
    <n v="3"/>
    <x v="358"/>
    <d v="1899-12-30T00:08:34"/>
  </r>
  <r>
    <x v="10"/>
    <x v="0"/>
    <n v="35.76"/>
    <x v="4"/>
    <x v="0"/>
    <x v="2"/>
    <x v="0"/>
    <n v="7"/>
    <n v="3"/>
    <x v="359"/>
    <d v="1899-12-30T00:58:15"/>
  </r>
  <r>
    <x v="1"/>
    <x v="0"/>
    <n v="35.76"/>
    <x v="0"/>
    <x v="1"/>
    <x v="2"/>
    <x v="0"/>
    <n v="7"/>
    <n v="3"/>
    <x v="359"/>
    <d v="1899-12-30T00:17:36"/>
  </r>
  <r>
    <x v="2"/>
    <x v="0"/>
    <n v="30.86"/>
    <x v="3"/>
    <x v="1"/>
    <x v="2"/>
    <x v="0"/>
    <n v="7"/>
    <n v="3"/>
    <x v="359"/>
    <d v="1899-12-30T00:36:20"/>
  </r>
  <r>
    <x v="3"/>
    <x v="0"/>
    <n v="30.86"/>
    <x v="3"/>
    <x v="1"/>
    <x v="2"/>
    <x v="0"/>
    <n v="7"/>
    <n v="3"/>
    <x v="359"/>
    <d v="1899-12-30T00:22:18"/>
  </r>
  <r>
    <x v="3"/>
    <x v="0"/>
    <n v="25.96"/>
    <x v="2"/>
    <x v="1"/>
    <x v="2"/>
    <x v="0"/>
    <n v="7"/>
    <n v="3"/>
    <x v="359"/>
    <d v="1899-12-30T00:23:16"/>
  </r>
  <r>
    <x v="3"/>
    <x v="0"/>
    <n v="25.96"/>
    <x v="2"/>
    <x v="1"/>
    <x v="2"/>
    <x v="0"/>
    <n v="7"/>
    <n v="3"/>
    <x v="359"/>
    <d v="1899-12-30T00:24:45"/>
  </r>
  <r>
    <x v="12"/>
    <x v="0"/>
    <n v="35.76"/>
    <x v="7"/>
    <x v="0"/>
    <x v="3"/>
    <x v="0"/>
    <n v="1"/>
    <n v="3"/>
    <x v="360"/>
    <d v="1899-12-30T00:24:02"/>
  </r>
  <r>
    <x v="10"/>
    <x v="0"/>
    <n v="35.76"/>
    <x v="4"/>
    <x v="0"/>
    <x v="3"/>
    <x v="0"/>
    <n v="1"/>
    <n v="3"/>
    <x v="360"/>
    <d v="1899-12-30T00:46:52"/>
  </r>
  <r>
    <x v="10"/>
    <x v="0"/>
    <n v="35.76"/>
    <x v="0"/>
    <x v="0"/>
    <x v="3"/>
    <x v="0"/>
    <n v="1"/>
    <n v="3"/>
    <x v="360"/>
    <d v="1899-12-30T00:48:39"/>
  </r>
  <r>
    <x v="0"/>
    <x v="0"/>
    <n v="35.76"/>
    <x v="1"/>
    <x v="0"/>
    <x v="3"/>
    <x v="0"/>
    <n v="1"/>
    <n v="3"/>
    <x v="360"/>
    <d v="1899-12-30T00:21:25"/>
  </r>
  <r>
    <x v="0"/>
    <x v="0"/>
    <n v="35.76"/>
    <x v="1"/>
    <x v="0"/>
    <x v="3"/>
    <x v="0"/>
    <n v="1"/>
    <n v="3"/>
    <x v="360"/>
    <d v="1899-12-30T00:24:47"/>
  </r>
  <r>
    <x v="1"/>
    <x v="0"/>
    <n v="35.76"/>
    <x v="7"/>
    <x v="1"/>
    <x v="3"/>
    <x v="0"/>
    <n v="1"/>
    <n v="3"/>
    <x v="360"/>
    <d v="1899-12-30T00:58:08"/>
  </r>
  <r>
    <x v="3"/>
    <x v="0"/>
    <n v="35.76"/>
    <x v="0"/>
    <x v="1"/>
    <x v="3"/>
    <x v="0"/>
    <n v="1"/>
    <n v="3"/>
    <x v="360"/>
    <d v="1899-12-30T00:11:01"/>
  </r>
  <r>
    <x v="3"/>
    <x v="0"/>
    <n v="25.96"/>
    <x v="2"/>
    <x v="1"/>
    <x v="3"/>
    <x v="0"/>
    <n v="1"/>
    <n v="3"/>
    <x v="360"/>
    <d v="1899-12-30T00:47:59"/>
  </r>
  <r>
    <x v="4"/>
    <x v="0"/>
    <n v="35.76"/>
    <x v="4"/>
    <x v="1"/>
    <x v="3"/>
    <x v="0"/>
    <n v="1"/>
    <n v="3"/>
    <x v="360"/>
    <d v="1899-12-30T00:14:51"/>
  </r>
  <r>
    <x v="4"/>
    <x v="0"/>
    <n v="35.76"/>
    <x v="0"/>
    <x v="1"/>
    <x v="3"/>
    <x v="0"/>
    <n v="1"/>
    <n v="3"/>
    <x v="360"/>
    <d v="1899-12-30T00:16:35"/>
  </r>
  <r>
    <x v="4"/>
    <x v="0"/>
    <n v="35.76"/>
    <x v="0"/>
    <x v="1"/>
    <x v="3"/>
    <x v="0"/>
    <n v="1"/>
    <n v="3"/>
    <x v="360"/>
    <d v="1899-12-30T00:18:27"/>
  </r>
  <r>
    <x v="4"/>
    <x v="0"/>
    <n v="35.76"/>
    <x v="7"/>
    <x v="1"/>
    <x v="3"/>
    <x v="0"/>
    <n v="1"/>
    <n v="3"/>
    <x v="360"/>
    <d v="1899-12-30T00:40:29"/>
  </r>
  <r>
    <x v="4"/>
    <x v="0"/>
    <n v="35.76"/>
    <x v="7"/>
    <x v="1"/>
    <x v="3"/>
    <x v="0"/>
    <n v="1"/>
    <n v="3"/>
    <x v="360"/>
    <d v="1899-12-30T00:42:23"/>
  </r>
  <r>
    <x v="4"/>
    <x v="0"/>
    <n v="25.96"/>
    <x v="2"/>
    <x v="1"/>
    <x v="3"/>
    <x v="0"/>
    <n v="1"/>
    <n v="3"/>
    <x v="360"/>
    <d v="1899-12-30T00:52:12"/>
  </r>
  <r>
    <x v="9"/>
    <x v="0"/>
    <n v="30.86"/>
    <x v="3"/>
    <x v="2"/>
    <x v="3"/>
    <x v="0"/>
    <n v="1"/>
    <n v="3"/>
    <x v="360"/>
    <d v="1899-12-30T00:28:43"/>
  </r>
  <r>
    <x v="9"/>
    <x v="0"/>
    <n v="25.96"/>
    <x v="2"/>
    <x v="2"/>
    <x v="3"/>
    <x v="0"/>
    <n v="1"/>
    <n v="3"/>
    <x v="360"/>
    <d v="1899-12-30T00:31:22"/>
  </r>
  <r>
    <x v="9"/>
    <x v="0"/>
    <n v="35.76"/>
    <x v="1"/>
    <x v="2"/>
    <x v="3"/>
    <x v="0"/>
    <n v="1"/>
    <n v="3"/>
    <x v="360"/>
    <d v="1899-12-30T00:32:18"/>
  </r>
  <r>
    <x v="9"/>
    <x v="0"/>
    <n v="25.96"/>
    <x v="2"/>
    <x v="2"/>
    <x v="3"/>
    <x v="0"/>
    <n v="1"/>
    <n v="3"/>
    <x v="360"/>
    <d v="1899-12-30T00:32:59"/>
  </r>
  <r>
    <x v="9"/>
    <x v="0"/>
    <n v="35.76"/>
    <x v="1"/>
    <x v="2"/>
    <x v="3"/>
    <x v="0"/>
    <n v="1"/>
    <n v="3"/>
    <x v="360"/>
    <d v="1899-12-30T00:57:33"/>
  </r>
  <r>
    <x v="9"/>
    <x v="0"/>
    <n v="35.76"/>
    <x v="1"/>
    <x v="2"/>
    <x v="3"/>
    <x v="0"/>
    <n v="1"/>
    <n v="3"/>
    <x v="360"/>
    <d v="1899-12-30T00:58:27"/>
  </r>
  <r>
    <x v="5"/>
    <x v="0"/>
    <n v="30.86"/>
    <x v="3"/>
    <x v="2"/>
    <x v="3"/>
    <x v="0"/>
    <n v="1"/>
    <n v="3"/>
    <x v="360"/>
    <d v="1899-12-30T00:03:05"/>
  </r>
  <r>
    <x v="5"/>
    <x v="0"/>
    <n v="35.76"/>
    <x v="0"/>
    <x v="2"/>
    <x v="3"/>
    <x v="0"/>
    <n v="1"/>
    <n v="3"/>
    <x v="360"/>
    <d v="1899-12-30T00:46:53"/>
  </r>
  <r>
    <x v="14"/>
    <x v="0"/>
    <n v="35.76"/>
    <x v="7"/>
    <x v="0"/>
    <x v="4"/>
    <x v="0"/>
    <n v="2"/>
    <n v="3"/>
    <x v="361"/>
    <d v="1899-12-30T00:19:22"/>
  </r>
  <r>
    <x v="14"/>
    <x v="0"/>
    <n v="25.96"/>
    <x v="2"/>
    <x v="0"/>
    <x v="4"/>
    <x v="0"/>
    <n v="2"/>
    <n v="3"/>
    <x v="361"/>
    <d v="1899-12-30T00:31:55"/>
  </r>
  <r>
    <x v="12"/>
    <x v="0"/>
    <n v="30.86"/>
    <x v="3"/>
    <x v="0"/>
    <x v="4"/>
    <x v="0"/>
    <n v="2"/>
    <n v="3"/>
    <x v="361"/>
    <d v="1899-12-30T00:51:45"/>
  </r>
  <r>
    <x v="10"/>
    <x v="0"/>
    <n v="25.96"/>
    <x v="2"/>
    <x v="0"/>
    <x v="4"/>
    <x v="0"/>
    <n v="2"/>
    <n v="3"/>
    <x v="361"/>
    <d v="1899-12-30T00:09:32"/>
  </r>
  <r>
    <x v="10"/>
    <x v="0"/>
    <n v="25.96"/>
    <x v="2"/>
    <x v="0"/>
    <x v="4"/>
    <x v="0"/>
    <n v="2"/>
    <n v="3"/>
    <x v="361"/>
    <d v="1899-12-30T00:10:22"/>
  </r>
  <r>
    <x v="10"/>
    <x v="0"/>
    <n v="25.96"/>
    <x v="2"/>
    <x v="0"/>
    <x v="4"/>
    <x v="0"/>
    <n v="2"/>
    <n v="3"/>
    <x v="361"/>
    <d v="1899-12-30T00:58:37"/>
  </r>
  <r>
    <x v="7"/>
    <x v="0"/>
    <n v="30.86"/>
    <x v="3"/>
    <x v="0"/>
    <x v="4"/>
    <x v="0"/>
    <n v="2"/>
    <n v="3"/>
    <x v="361"/>
    <d v="1899-12-30T00:04:02"/>
  </r>
  <r>
    <x v="7"/>
    <x v="0"/>
    <n v="25.96"/>
    <x v="2"/>
    <x v="0"/>
    <x v="4"/>
    <x v="0"/>
    <n v="2"/>
    <n v="3"/>
    <x v="361"/>
    <d v="1899-12-30T00:05:07"/>
  </r>
  <r>
    <x v="7"/>
    <x v="0"/>
    <n v="25.96"/>
    <x v="2"/>
    <x v="0"/>
    <x v="4"/>
    <x v="0"/>
    <n v="2"/>
    <n v="3"/>
    <x v="361"/>
    <d v="1899-12-30T00:46:41"/>
  </r>
  <r>
    <x v="7"/>
    <x v="0"/>
    <n v="25.96"/>
    <x v="2"/>
    <x v="0"/>
    <x v="4"/>
    <x v="0"/>
    <n v="2"/>
    <n v="3"/>
    <x v="361"/>
    <d v="1899-12-30T00:47:25"/>
  </r>
  <r>
    <x v="7"/>
    <x v="0"/>
    <n v="25.96"/>
    <x v="2"/>
    <x v="0"/>
    <x v="4"/>
    <x v="0"/>
    <n v="2"/>
    <n v="3"/>
    <x v="361"/>
    <d v="1899-12-30T00:51:35"/>
  </r>
  <r>
    <x v="1"/>
    <x v="0"/>
    <n v="35.76"/>
    <x v="4"/>
    <x v="1"/>
    <x v="4"/>
    <x v="0"/>
    <n v="2"/>
    <n v="3"/>
    <x v="361"/>
    <d v="1899-12-30T00:25:59"/>
  </r>
  <r>
    <x v="4"/>
    <x v="0"/>
    <n v="25.96"/>
    <x v="2"/>
    <x v="1"/>
    <x v="4"/>
    <x v="0"/>
    <n v="2"/>
    <n v="3"/>
    <x v="361"/>
    <d v="1899-12-30T00:48:58"/>
  </r>
  <r>
    <x v="5"/>
    <x v="0"/>
    <n v="35.76"/>
    <x v="4"/>
    <x v="2"/>
    <x v="4"/>
    <x v="0"/>
    <n v="2"/>
    <n v="3"/>
    <x v="361"/>
    <d v="1899-12-30T00:43:22"/>
  </r>
  <r>
    <x v="6"/>
    <x v="0"/>
    <n v="35.76"/>
    <x v="0"/>
    <x v="2"/>
    <x v="4"/>
    <x v="0"/>
    <n v="2"/>
    <n v="3"/>
    <x v="361"/>
    <d v="1899-12-30T00:10:10"/>
  </r>
  <r>
    <x v="11"/>
    <x v="0"/>
    <n v="35.76"/>
    <x v="0"/>
    <x v="2"/>
    <x v="4"/>
    <x v="0"/>
    <n v="2"/>
    <n v="3"/>
    <x v="361"/>
    <d v="1899-12-30T00:09:01"/>
  </r>
  <r>
    <x v="12"/>
    <x v="0"/>
    <n v="30.86"/>
    <x v="3"/>
    <x v="0"/>
    <x v="5"/>
    <x v="0"/>
    <n v="3"/>
    <n v="3"/>
    <x v="362"/>
    <d v="1899-12-30T00:39:52"/>
  </r>
  <r>
    <x v="10"/>
    <x v="0"/>
    <n v="25.96"/>
    <x v="2"/>
    <x v="0"/>
    <x v="5"/>
    <x v="0"/>
    <n v="3"/>
    <n v="3"/>
    <x v="362"/>
    <d v="1899-12-30T00:38:24"/>
  </r>
  <r>
    <x v="0"/>
    <x v="0"/>
    <n v="25.96"/>
    <x v="2"/>
    <x v="0"/>
    <x v="5"/>
    <x v="0"/>
    <n v="3"/>
    <n v="3"/>
    <x v="362"/>
    <d v="1899-12-30T00:01:14"/>
  </r>
  <r>
    <x v="0"/>
    <x v="0"/>
    <n v="25.96"/>
    <x v="2"/>
    <x v="0"/>
    <x v="5"/>
    <x v="0"/>
    <n v="3"/>
    <n v="3"/>
    <x v="362"/>
    <d v="1899-12-30T00:02:04"/>
  </r>
  <r>
    <x v="0"/>
    <x v="0"/>
    <n v="35.76"/>
    <x v="7"/>
    <x v="0"/>
    <x v="5"/>
    <x v="0"/>
    <n v="3"/>
    <n v="3"/>
    <x v="362"/>
    <d v="1899-12-30T00:10:51"/>
  </r>
  <r>
    <x v="0"/>
    <x v="0"/>
    <n v="30.86"/>
    <x v="3"/>
    <x v="0"/>
    <x v="5"/>
    <x v="0"/>
    <n v="3"/>
    <n v="3"/>
    <x v="362"/>
    <d v="1899-12-30T00:40:35"/>
  </r>
  <r>
    <x v="7"/>
    <x v="0"/>
    <n v="35.76"/>
    <x v="7"/>
    <x v="0"/>
    <x v="5"/>
    <x v="0"/>
    <n v="3"/>
    <n v="3"/>
    <x v="362"/>
    <d v="1899-12-30T00:08:32"/>
  </r>
  <r>
    <x v="7"/>
    <x v="0"/>
    <n v="35.76"/>
    <x v="4"/>
    <x v="0"/>
    <x v="5"/>
    <x v="0"/>
    <n v="3"/>
    <n v="3"/>
    <x v="362"/>
    <d v="1899-12-30T00:10:54"/>
  </r>
  <r>
    <x v="7"/>
    <x v="0"/>
    <n v="25.96"/>
    <x v="2"/>
    <x v="0"/>
    <x v="5"/>
    <x v="0"/>
    <n v="3"/>
    <n v="3"/>
    <x v="362"/>
    <d v="1899-12-30T00:38:51"/>
  </r>
  <r>
    <x v="7"/>
    <x v="0"/>
    <n v="25.96"/>
    <x v="2"/>
    <x v="0"/>
    <x v="5"/>
    <x v="0"/>
    <n v="3"/>
    <n v="3"/>
    <x v="362"/>
    <d v="1899-12-30T00:41:22"/>
  </r>
  <r>
    <x v="1"/>
    <x v="0"/>
    <n v="25.96"/>
    <x v="2"/>
    <x v="1"/>
    <x v="5"/>
    <x v="0"/>
    <n v="3"/>
    <n v="3"/>
    <x v="362"/>
    <d v="1899-12-30T00:12:56"/>
  </r>
  <r>
    <x v="3"/>
    <x v="0"/>
    <n v="35.76"/>
    <x v="0"/>
    <x v="1"/>
    <x v="5"/>
    <x v="0"/>
    <n v="3"/>
    <n v="3"/>
    <x v="362"/>
    <d v="1899-12-30T00:07:51"/>
  </r>
  <r>
    <x v="3"/>
    <x v="0"/>
    <n v="35.76"/>
    <x v="0"/>
    <x v="1"/>
    <x v="5"/>
    <x v="0"/>
    <n v="3"/>
    <n v="3"/>
    <x v="362"/>
    <d v="1899-12-30T00:21:36"/>
  </r>
  <r>
    <x v="3"/>
    <x v="0"/>
    <n v="35.76"/>
    <x v="1"/>
    <x v="1"/>
    <x v="5"/>
    <x v="0"/>
    <n v="3"/>
    <n v="3"/>
    <x v="362"/>
    <d v="1899-12-30T00:25:11"/>
  </r>
  <r>
    <x v="9"/>
    <x v="0"/>
    <n v="30.86"/>
    <x v="3"/>
    <x v="2"/>
    <x v="5"/>
    <x v="0"/>
    <n v="3"/>
    <n v="3"/>
    <x v="362"/>
    <d v="1899-12-30T00:09:57"/>
  </r>
  <r>
    <x v="9"/>
    <x v="0"/>
    <n v="21.06"/>
    <x v="6"/>
    <x v="2"/>
    <x v="5"/>
    <x v="0"/>
    <n v="3"/>
    <n v="3"/>
    <x v="362"/>
    <d v="1899-12-30T00:16:24"/>
  </r>
  <r>
    <x v="9"/>
    <x v="0"/>
    <n v="35.76"/>
    <x v="0"/>
    <x v="2"/>
    <x v="5"/>
    <x v="0"/>
    <n v="3"/>
    <n v="3"/>
    <x v="362"/>
    <d v="1899-12-30T00:31:41"/>
  </r>
  <r>
    <x v="5"/>
    <x v="0"/>
    <n v="35.76"/>
    <x v="7"/>
    <x v="2"/>
    <x v="5"/>
    <x v="0"/>
    <n v="3"/>
    <n v="3"/>
    <x v="362"/>
    <d v="1899-12-30T00:13:27"/>
  </r>
  <r>
    <x v="6"/>
    <x v="0"/>
    <n v="35.76"/>
    <x v="4"/>
    <x v="2"/>
    <x v="5"/>
    <x v="0"/>
    <n v="3"/>
    <n v="3"/>
    <x v="362"/>
    <d v="1899-12-30T00:02:57"/>
  </r>
  <r>
    <x v="10"/>
    <x v="0"/>
    <n v="35.76"/>
    <x v="1"/>
    <x v="0"/>
    <x v="6"/>
    <x v="0"/>
    <n v="4"/>
    <n v="3"/>
    <x v="363"/>
    <d v="1899-12-30T00:33:39"/>
  </r>
  <r>
    <x v="10"/>
    <x v="0"/>
    <n v="21.06"/>
    <x v="6"/>
    <x v="0"/>
    <x v="6"/>
    <x v="0"/>
    <n v="4"/>
    <n v="3"/>
    <x v="363"/>
    <d v="1899-12-30T00:35:53"/>
  </r>
  <r>
    <x v="0"/>
    <x v="0"/>
    <n v="30.86"/>
    <x v="3"/>
    <x v="0"/>
    <x v="6"/>
    <x v="0"/>
    <n v="4"/>
    <n v="3"/>
    <x v="363"/>
    <d v="1899-12-30T00:48:05"/>
  </r>
  <r>
    <x v="0"/>
    <x v="0"/>
    <n v="25.96"/>
    <x v="2"/>
    <x v="0"/>
    <x v="6"/>
    <x v="0"/>
    <n v="4"/>
    <n v="3"/>
    <x v="363"/>
    <d v="1899-12-30T00:56:47"/>
  </r>
  <r>
    <x v="0"/>
    <x v="0"/>
    <n v="25.96"/>
    <x v="2"/>
    <x v="0"/>
    <x v="6"/>
    <x v="0"/>
    <n v="4"/>
    <n v="3"/>
    <x v="363"/>
    <d v="1899-12-30T00:57:35"/>
  </r>
  <r>
    <x v="7"/>
    <x v="0"/>
    <n v="25.96"/>
    <x v="2"/>
    <x v="0"/>
    <x v="6"/>
    <x v="0"/>
    <n v="4"/>
    <n v="3"/>
    <x v="363"/>
    <d v="1899-12-30T00:05:44"/>
  </r>
  <r>
    <x v="7"/>
    <x v="0"/>
    <n v="35.76"/>
    <x v="7"/>
    <x v="0"/>
    <x v="6"/>
    <x v="0"/>
    <n v="4"/>
    <n v="3"/>
    <x v="363"/>
    <d v="1899-12-30T00:17:38"/>
  </r>
  <r>
    <x v="2"/>
    <x v="0"/>
    <n v="35.76"/>
    <x v="0"/>
    <x v="1"/>
    <x v="6"/>
    <x v="0"/>
    <n v="4"/>
    <n v="3"/>
    <x v="363"/>
    <d v="1899-12-30T00:51:33"/>
  </r>
  <r>
    <x v="4"/>
    <x v="0"/>
    <n v="30.86"/>
    <x v="3"/>
    <x v="1"/>
    <x v="6"/>
    <x v="0"/>
    <n v="4"/>
    <n v="3"/>
    <x v="363"/>
    <d v="1899-12-30T00:06:47"/>
  </r>
  <r>
    <x v="9"/>
    <x v="0"/>
    <n v="35.76"/>
    <x v="4"/>
    <x v="2"/>
    <x v="6"/>
    <x v="0"/>
    <n v="4"/>
    <n v="3"/>
    <x v="363"/>
    <d v="1899-12-30T00:49:11"/>
  </r>
  <r>
    <x v="5"/>
    <x v="0"/>
    <n v="35.76"/>
    <x v="7"/>
    <x v="2"/>
    <x v="6"/>
    <x v="0"/>
    <n v="4"/>
    <n v="3"/>
    <x v="363"/>
    <d v="1899-12-30T00:27:12"/>
  </r>
  <r>
    <x v="6"/>
    <x v="0"/>
    <n v="30.86"/>
    <x v="3"/>
    <x v="2"/>
    <x v="6"/>
    <x v="0"/>
    <n v="4"/>
    <n v="3"/>
    <x v="363"/>
    <d v="1899-12-30T00:22:11"/>
  </r>
  <r>
    <x v="14"/>
    <x v="0"/>
    <n v="35.76"/>
    <x v="7"/>
    <x v="0"/>
    <x v="0"/>
    <x v="0"/>
    <n v="5"/>
    <n v="3"/>
    <x v="364"/>
    <d v="1899-12-30T00:05:42"/>
  </r>
  <r>
    <x v="12"/>
    <x v="0"/>
    <n v="25.96"/>
    <x v="2"/>
    <x v="0"/>
    <x v="0"/>
    <x v="0"/>
    <n v="5"/>
    <n v="3"/>
    <x v="364"/>
    <d v="1899-12-30T00:45:11"/>
  </r>
  <r>
    <x v="12"/>
    <x v="0"/>
    <n v="25.96"/>
    <x v="2"/>
    <x v="0"/>
    <x v="0"/>
    <x v="0"/>
    <n v="5"/>
    <n v="3"/>
    <x v="364"/>
    <d v="1899-12-30T00:46:04"/>
  </r>
  <r>
    <x v="10"/>
    <x v="0"/>
    <n v="25.96"/>
    <x v="2"/>
    <x v="0"/>
    <x v="0"/>
    <x v="0"/>
    <n v="5"/>
    <n v="3"/>
    <x v="364"/>
    <d v="1899-12-30T00:02:41"/>
  </r>
  <r>
    <x v="0"/>
    <x v="0"/>
    <n v="35.76"/>
    <x v="1"/>
    <x v="0"/>
    <x v="0"/>
    <x v="0"/>
    <n v="5"/>
    <n v="3"/>
    <x v="364"/>
    <d v="1899-12-30T00:09:58"/>
  </r>
  <r>
    <x v="0"/>
    <x v="0"/>
    <n v="30.86"/>
    <x v="3"/>
    <x v="0"/>
    <x v="0"/>
    <x v="0"/>
    <n v="5"/>
    <n v="3"/>
    <x v="364"/>
    <d v="1899-12-30T00:26:35"/>
  </r>
  <r>
    <x v="0"/>
    <x v="0"/>
    <n v="30.86"/>
    <x v="3"/>
    <x v="0"/>
    <x v="0"/>
    <x v="0"/>
    <n v="5"/>
    <n v="3"/>
    <x v="364"/>
    <d v="1899-12-30T00:27:33"/>
  </r>
  <r>
    <x v="0"/>
    <x v="0"/>
    <n v="35.76"/>
    <x v="4"/>
    <x v="0"/>
    <x v="0"/>
    <x v="0"/>
    <n v="5"/>
    <n v="3"/>
    <x v="364"/>
    <d v="1899-12-30T00:41:46"/>
  </r>
  <r>
    <x v="7"/>
    <x v="0"/>
    <n v="35.76"/>
    <x v="4"/>
    <x v="0"/>
    <x v="0"/>
    <x v="0"/>
    <n v="5"/>
    <n v="3"/>
    <x v="364"/>
    <d v="1899-12-30T00:51:00"/>
  </r>
  <r>
    <x v="1"/>
    <x v="0"/>
    <n v="30.86"/>
    <x v="3"/>
    <x v="1"/>
    <x v="0"/>
    <x v="0"/>
    <n v="5"/>
    <n v="3"/>
    <x v="364"/>
    <d v="1899-12-30T00:03:46"/>
  </r>
  <r>
    <x v="2"/>
    <x v="0"/>
    <n v="35.76"/>
    <x v="1"/>
    <x v="1"/>
    <x v="0"/>
    <x v="0"/>
    <n v="5"/>
    <n v="3"/>
    <x v="364"/>
    <d v="1899-12-30T00:43:48"/>
  </r>
  <r>
    <x v="2"/>
    <x v="0"/>
    <n v="25.96"/>
    <x v="2"/>
    <x v="1"/>
    <x v="0"/>
    <x v="0"/>
    <n v="5"/>
    <n v="3"/>
    <x v="364"/>
    <d v="1899-12-30T00:55:32"/>
  </r>
  <r>
    <x v="8"/>
    <x v="0"/>
    <n v="35.76"/>
    <x v="7"/>
    <x v="1"/>
    <x v="0"/>
    <x v="0"/>
    <n v="5"/>
    <n v="3"/>
    <x v="364"/>
    <d v="1899-12-30T00:53:30"/>
  </r>
  <r>
    <x v="3"/>
    <x v="0"/>
    <n v="35.76"/>
    <x v="0"/>
    <x v="1"/>
    <x v="0"/>
    <x v="0"/>
    <n v="5"/>
    <n v="3"/>
    <x v="364"/>
    <d v="1899-12-30T00:09:04"/>
  </r>
  <r>
    <x v="3"/>
    <x v="0"/>
    <n v="35.76"/>
    <x v="0"/>
    <x v="1"/>
    <x v="0"/>
    <x v="0"/>
    <n v="5"/>
    <n v="3"/>
    <x v="364"/>
    <d v="1899-12-30T00:52:53"/>
  </r>
  <r>
    <x v="9"/>
    <x v="0"/>
    <n v="35.76"/>
    <x v="0"/>
    <x v="2"/>
    <x v="0"/>
    <x v="0"/>
    <n v="5"/>
    <n v="3"/>
    <x v="364"/>
    <d v="1899-12-30T00:10:29"/>
  </r>
  <r>
    <x v="9"/>
    <x v="0"/>
    <n v="35.76"/>
    <x v="1"/>
    <x v="2"/>
    <x v="0"/>
    <x v="0"/>
    <n v="5"/>
    <n v="3"/>
    <x v="364"/>
    <d v="1899-12-30T00:12:24"/>
  </r>
  <r>
    <x v="10"/>
    <x v="0"/>
    <n v="30.86"/>
    <x v="3"/>
    <x v="0"/>
    <x v="1"/>
    <x v="0"/>
    <n v="6"/>
    <n v="3"/>
    <x v="365"/>
    <d v="1899-12-30T00:23:45"/>
  </r>
  <r>
    <x v="10"/>
    <x v="0"/>
    <n v="30.86"/>
    <x v="3"/>
    <x v="0"/>
    <x v="1"/>
    <x v="0"/>
    <n v="6"/>
    <n v="3"/>
    <x v="365"/>
    <d v="1899-12-30T00:41:53"/>
  </r>
  <r>
    <x v="0"/>
    <x v="0"/>
    <n v="25.96"/>
    <x v="2"/>
    <x v="0"/>
    <x v="1"/>
    <x v="0"/>
    <n v="6"/>
    <n v="3"/>
    <x v="365"/>
    <d v="1899-12-30T00:54:14"/>
  </r>
  <r>
    <x v="7"/>
    <x v="0"/>
    <n v="25.96"/>
    <x v="2"/>
    <x v="0"/>
    <x v="1"/>
    <x v="0"/>
    <n v="6"/>
    <n v="3"/>
    <x v="365"/>
    <d v="1899-12-30T00:19:46"/>
  </r>
  <r>
    <x v="7"/>
    <x v="0"/>
    <n v="25.96"/>
    <x v="2"/>
    <x v="0"/>
    <x v="1"/>
    <x v="0"/>
    <n v="6"/>
    <n v="3"/>
    <x v="365"/>
    <d v="1899-12-30T00:20:32"/>
  </r>
  <r>
    <x v="1"/>
    <x v="0"/>
    <n v="30.86"/>
    <x v="3"/>
    <x v="1"/>
    <x v="1"/>
    <x v="0"/>
    <n v="6"/>
    <n v="3"/>
    <x v="365"/>
    <d v="1899-12-30T00:41:20"/>
  </r>
  <r>
    <x v="1"/>
    <x v="0"/>
    <n v="25.96"/>
    <x v="2"/>
    <x v="1"/>
    <x v="1"/>
    <x v="0"/>
    <n v="6"/>
    <n v="3"/>
    <x v="365"/>
    <d v="1899-12-30T00:45:05"/>
  </r>
  <r>
    <x v="2"/>
    <x v="0"/>
    <n v="35.76"/>
    <x v="7"/>
    <x v="1"/>
    <x v="1"/>
    <x v="0"/>
    <n v="6"/>
    <n v="3"/>
    <x v="365"/>
    <d v="1899-12-30T00:40:06"/>
  </r>
  <r>
    <x v="10"/>
    <x v="0"/>
    <n v="21.06"/>
    <x v="6"/>
    <x v="0"/>
    <x v="2"/>
    <x v="0"/>
    <n v="7"/>
    <n v="3"/>
    <x v="366"/>
    <d v="1899-12-30T00:42:04"/>
  </r>
  <r>
    <x v="7"/>
    <x v="0"/>
    <n v="30.86"/>
    <x v="3"/>
    <x v="0"/>
    <x v="2"/>
    <x v="0"/>
    <n v="7"/>
    <n v="3"/>
    <x v="366"/>
    <d v="1899-12-30T00:25:53"/>
  </r>
  <r>
    <x v="2"/>
    <x v="0"/>
    <n v="35.76"/>
    <x v="7"/>
    <x v="1"/>
    <x v="2"/>
    <x v="0"/>
    <n v="7"/>
    <n v="3"/>
    <x v="366"/>
    <d v="1899-12-30T00:51:56"/>
  </r>
  <r>
    <x v="8"/>
    <x v="0"/>
    <n v="25.96"/>
    <x v="2"/>
    <x v="1"/>
    <x v="2"/>
    <x v="0"/>
    <n v="7"/>
    <n v="3"/>
    <x v="366"/>
    <d v="1899-12-30T00:18:30"/>
  </r>
  <r>
    <x v="3"/>
    <x v="0"/>
    <n v="35.76"/>
    <x v="7"/>
    <x v="1"/>
    <x v="2"/>
    <x v="0"/>
    <n v="7"/>
    <n v="3"/>
    <x v="366"/>
    <d v="1899-12-30T00:12:41"/>
  </r>
  <r>
    <x v="3"/>
    <x v="0"/>
    <n v="25.96"/>
    <x v="2"/>
    <x v="1"/>
    <x v="2"/>
    <x v="0"/>
    <n v="7"/>
    <n v="3"/>
    <x v="366"/>
    <d v="1899-12-30T00:39:07"/>
  </r>
  <r>
    <x v="3"/>
    <x v="0"/>
    <n v="30.86"/>
    <x v="3"/>
    <x v="1"/>
    <x v="2"/>
    <x v="0"/>
    <n v="7"/>
    <n v="3"/>
    <x v="366"/>
    <d v="1899-12-30T00:52:39"/>
  </r>
  <r>
    <x v="3"/>
    <x v="0"/>
    <n v="35.76"/>
    <x v="4"/>
    <x v="1"/>
    <x v="2"/>
    <x v="0"/>
    <n v="7"/>
    <n v="3"/>
    <x v="366"/>
    <d v="1899-12-30T00:53:40"/>
  </r>
  <r>
    <x v="12"/>
    <x v="0"/>
    <n v="25.96"/>
    <x v="2"/>
    <x v="0"/>
    <x v="3"/>
    <x v="0"/>
    <n v="1"/>
    <n v="3"/>
    <x v="367"/>
    <d v="1899-12-30T00:34:44"/>
  </r>
  <r>
    <x v="12"/>
    <x v="0"/>
    <n v="35.76"/>
    <x v="0"/>
    <x v="0"/>
    <x v="3"/>
    <x v="0"/>
    <n v="1"/>
    <n v="3"/>
    <x v="367"/>
    <d v="1899-12-30T00:35:41"/>
  </r>
  <r>
    <x v="10"/>
    <x v="0"/>
    <n v="30.86"/>
    <x v="3"/>
    <x v="0"/>
    <x v="3"/>
    <x v="0"/>
    <n v="1"/>
    <n v="3"/>
    <x v="367"/>
    <d v="1899-12-30T00:06:28"/>
  </r>
  <r>
    <x v="10"/>
    <x v="0"/>
    <n v="35.76"/>
    <x v="1"/>
    <x v="0"/>
    <x v="3"/>
    <x v="0"/>
    <n v="1"/>
    <n v="3"/>
    <x v="367"/>
    <d v="1899-12-30T00:19:29"/>
  </r>
  <r>
    <x v="10"/>
    <x v="0"/>
    <n v="35.76"/>
    <x v="4"/>
    <x v="0"/>
    <x v="3"/>
    <x v="0"/>
    <n v="1"/>
    <n v="3"/>
    <x v="367"/>
    <d v="1899-12-30T00:50:54"/>
  </r>
  <r>
    <x v="0"/>
    <x v="0"/>
    <n v="35.76"/>
    <x v="1"/>
    <x v="0"/>
    <x v="3"/>
    <x v="0"/>
    <n v="1"/>
    <n v="3"/>
    <x v="367"/>
    <d v="1899-12-30T00:18:57"/>
  </r>
  <r>
    <x v="1"/>
    <x v="0"/>
    <n v="25.96"/>
    <x v="2"/>
    <x v="1"/>
    <x v="3"/>
    <x v="0"/>
    <n v="1"/>
    <n v="3"/>
    <x v="367"/>
    <d v="1899-12-30T00:36:15"/>
  </r>
  <r>
    <x v="3"/>
    <x v="0"/>
    <n v="25.96"/>
    <x v="2"/>
    <x v="1"/>
    <x v="3"/>
    <x v="0"/>
    <n v="1"/>
    <n v="3"/>
    <x v="367"/>
    <d v="1899-12-30T00:32:10"/>
  </r>
  <r>
    <x v="3"/>
    <x v="0"/>
    <n v="35.76"/>
    <x v="1"/>
    <x v="1"/>
    <x v="3"/>
    <x v="0"/>
    <n v="1"/>
    <n v="3"/>
    <x v="367"/>
    <d v="1899-12-30T00:41:58"/>
  </r>
  <r>
    <x v="4"/>
    <x v="0"/>
    <n v="35.76"/>
    <x v="0"/>
    <x v="1"/>
    <x v="3"/>
    <x v="0"/>
    <n v="1"/>
    <n v="3"/>
    <x v="367"/>
    <d v="1899-12-30T00:18:01"/>
  </r>
  <r>
    <x v="4"/>
    <x v="0"/>
    <n v="35.76"/>
    <x v="0"/>
    <x v="1"/>
    <x v="3"/>
    <x v="0"/>
    <n v="1"/>
    <n v="3"/>
    <x v="367"/>
    <d v="1899-12-30T00:18:54"/>
  </r>
  <r>
    <x v="4"/>
    <x v="0"/>
    <n v="35.76"/>
    <x v="7"/>
    <x v="1"/>
    <x v="3"/>
    <x v="0"/>
    <n v="1"/>
    <n v="3"/>
    <x v="367"/>
    <d v="1899-12-30T00:24:25"/>
  </r>
  <r>
    <x v="4"/>
    <x v="0"/>
    <n v="30.86"/>
    <x v="3"/>
    <x v="1"/>
    <x v="3"/>
    <x v="0"/>
    <n v="1"/>
    <n v="3"/>
    <x v="367"/>
    <d v="1899-12-30T00:25:33"/>
  </r>
  <r>
    <x v="5"/>
    <x v="0"/>
    <n v="25.96"/>
    <x v="2"/>
    <x v="2"/>
    <x v="3"/>
    <x v="0"/>
    <n v="1"/>
    <n v="3"/>
    <x v="367"/>
    <d v="1899-12-30T00:15:54"/>
  </r>
  <r>
    <x v="5"/>
    <x v="0"/>
    <n v="35.76"/>
    <x v="0"/>
    <x v="2"/>
    <x v="3"/>
    <x v="0"/>
    <n v="1"/>
    <n v="3"/>
    <x v="367"/>
    <d v="1899-12-30T00:48:30"/>
  </r>
  <r>
    <x v="5"/>
    <x v="0"/>
    <n v="35.76"/>
    <x v="0"/>
    <x v="2"/>
    <x v="3"/>
    <x v="0"/>
    <n v="1"/>
    <n v="3"/>
    <x v="367"/>
    <d v="1899-12-30T00:49:22"/>
  </r>
  <r>
    <x v="6"/>
    <x v="0"/>
    <n v="30.86"/>
    <x v="3"/>
    <x v="2"/>
    <x v="3"/>
    <x v="0"/>
    <n v="1"/>
    <n v="3"/>
    <x v="367"/>
    <d v="1899-12-30T00:26:43"/>
  </r>
  <r>
    <x v="12"/>
    <x v="0"/>
    <n v="25.96"/>
    <x v="2"/>
    <x v="0"/>
    <x v="4"/>
    <x v="0"/>
    <n v="2"/>
    <n v="3"/>
    <x v="368"/>
    <d v="1899-12-30T00:46:26"/>
  </r>
  <r>
    <x v="10"/>
    <x v="0"/>
    <n v="35.76"/>
    <x v="7"/>
    <x v="0"/>
    <x v="4"/>
    <x v="0"/>
    <n v="2"/>
    <n v="3"/>
    <x v="368"/>
    <d v="1899-12-30T00:12:28"/>
  </r>
  <r>
    <x v="10"/>
    <x v="0"/>
    <n v="35.76"/>
    <x v="0"/>
    <x v="0"/>
    <x v="4"/>
    <x v="0"/>
    <n v="2"/>
    <n v="3"/>
    <x v="368"/>
    <d v="1899-12-30T00:27:04"/>
  </r>
  <r>
    <x v="0"/>
    <x v="0"/>
    <n v="25.96"/>
    <x v="2"/>
    <x v="0"/>
    <x v="4"/>
    <x v="0"/>
    <n v="2"/>
    <n v="3"/>
    <x v="368"/>
    <d v="1899-12-30T00:26:58"/>
  </r>
  <r>
    <x v="1"/>
    <x v="0"/>
    <n v="25.96"/>
    <x v="2"/>
    <x v="1"/>
    <x v="4"/>
    <x v="0"/>
    <n v="2"/>
    <n v="3"/>
    <x v="368"/>
    <d v="1899-12-30T00:33:20"/>
  </r>
  <r>
    <x v="2"/>
    <x v="0"/>
    <n v="25.96"/>
    <x v="2"/>
    <x v="1"/>
    <x v="4"/>
    <x v="0"/>
    <n v="2"/>
    <n v="3"/>
    <x v="368"/>
    <d v="1899-12-30T00:16:55"/>
  </r>
  <r>
    <x v="4"/>
    <x v="0"/>
    <n v="35.76"/>
    <x v="1"/>
    <x v="1"/>
    <x v="4"/>
    <x v="0"/>
    <n v="2"/>
    <n v="3"/>
    <x v="368"/>
    <d v="1899-12-30T00:29:31"/>
  </r>
  <r>
    <x v="4"/>
    <x v="0"/>
    <n v="35.76"/>
    <x v="4"/>
    <x v="1"/>
    <x v="4"/>
    <x v="0"/>
    <n v="2"/>
    <n v="3"/>
    <x v="368"/>
    <d v="1899-12-30T00:30:16"/>
  </r>
  <r>
    <x v="4"/>
    <x v="0"/>
    <n v="35.76"/>
    <x v="1"/>
    <x v="1"/>
    <x v="4"/>
    <x v="0"/>
    <n v="2"/>
    <n v="3"/>
    <x v="368"/>
    <d v="1899-12-30T00:49:41"/>
  </r>
  <r>
    <x v="9"/>
    <x v="0"/>
    <n v="35.76"/>
    <x v="7"/>
    <x v="2"/>
    <x v="4"/>
    <x v="0"/>
    <n v="2"/>
    <n v="3"/>
    <x v="368"/>
    <d v="1899-12-30T00:46:50"/>
  </r>
  <r>
    <x v="5"/>
    <x v="0"/>
    <n v="30.86"/>
    <x v="3"/>
    <x v="2"/>
    <x v="4"/>
    <x v="0"/>
    <n v="2"/>
    <n v="3"/>
    <x v="368"/>
    <d v="1899-12-30T00:56:52"/>
  </r>
  <r>
    <x v="6"/>
    <x v="0"/>
    <n v="35.76"/>
    <x v="0"/>
    <x v="2"/>
    <x v="4"/>
    <x v="0"/>
    <n v="2"/>
    <n v="3"/>
    <x v="368"/>
    <d v="1899-12-30T00:07:14"/>
  </r>
  <r>
    <x v="11"/>
    <x v="0"/>
    <n v="35.76"/>
    <x v="4"/>
    <x v="2"/>
    <x v="4"/>
    <x v="0"/>
    <n v="2"/>
    <n v="3"/>
    <x v="368"/>
    <d v="1899-12-30T00:08:56"/>
  </r>
  <r>
    <x v="7"/>
    <x v="0"/>
    <n v="35.76"/>
    <x v="4"/>
    <x v="0"/>
    <x v="5"/>
    <x v="0"/>
    <n v="3"/>
    <n v="3"/>
    <x v="369"/>
    <d v="1899-12-30T00:11:39"/>
  </r>
  <r>
    <x v="7"/>
    <x v="0"/>
    <n v="30.86"/>
    <x v="3"/>
    <x v="0"/>
    <x v="5"/>
    <x v="0"/>
    <n v="3"/>
    <n v="3"/>
    <x v="369"/>
    <d v="1899-12-30T00:47:34"/>
  </r>
  <r>
    <x v="7"/>
    <x v="0"/>
    <n v="35.76"/>
    <x v="7"/>
    <x v="0"/>
    <x v="5"/>
    <x v="0"/>
    <n v="3"/>
    <n v="3"/>
    <x v="369"/>
    <d v="1899-12-30T00:50:15"/>
  </r>
  <r>
    <x v="7"/>
    <x v="0"/>
    <n v="25.96"/>
    <x v="2"/>
    <x v="0"/>
    <x v="5"/>
    <x v="0"/>
    <n v="3"/>
    <n v="3"/>
    <x v="369"/>
    <d v="1899-12-30T00:55:56"/>
  </r>
  <r>
    <x v="7"/>
    <x v="0"/>
    <n v="25.96"/>
    <x v="2"/>
    <x v="0"/>
    <x v="5"/>
    <x v="0"/>
    <n v="3"/>
    <n v="3"/>
    <x v="369"/>
    <d v="1899-12-30T00:56:49"/>
  </r>
  <r>
    <x v="1"/>
    <x v="0"/>
    <n v="25.96"/>
    <x v="2"/>
    <x v="1"/>
    <x v="5"/>
    <x v="0"/>
    <n v="3"/>
    <n v="3"/>
    <x v="369"/>
    <d v="1899-12-30T00:06:11"/>
  </r>
  <r>
    <x v="1"/>
    <x v="0"/>
    <n v="35.76"/>
    <x v="1"/>
    <x v="1"/>
    <x v="5"/>
    <x v="0"/>
    <n v="3"/>
    <n v="3"/>
    <x v="369"/>
    <d v="1899-12-30T00:55:38"/>
  </r>
  <r>
    <x v="2"/>
    <x v="0"/>
    <n v="35.76"/>
    <x v="0"/>
    <x v="1"/>
    <x v="5"/>
    <x v="0"/>
    <n v="3"/>
    <n v="3"/>
    <x v="369"/>
    <d v="1899-12-30T00:01:49"/>
  </r>
  <r>
    <x v="2"/>
    <x v="0"/>
    <n v="35.76"/>
    <x v="0"/>
    <x v="1"/>
    <x v="5"/>
    <x v="0"/>
    <n v="3"/>
    <n v="3"/>
    <x v="369"/>
    <d v="1899-12-30T00:56:24"/>
  </r>
  <r>
    <x v="4"/>
    <x v="0"/>
    <n v="35.76"/>
    <x v="7"/>
    <x v="1"/>
    <x v="5"/>
    <x v="0"/>
    <n v="3"/>
    <n v="3"/>
    <x v="369"/>
    <d v="1899-12-30T00:27:37"/>
  </r>
  <r>
    <x v="4"/>
    <x v="0"/>
    <n v="35.76"/>
    <x v="0"/>
    <x v="1"/>
    <x v="5"/>
    <x v="0"/>
    <n v="3"/>
    <n v="3"/>
    <x v="369"/>
    <d v="1899-12-30T00:35:04"/>
  </r>
  <r>
    <x v="4"/>
    <x v="0"/>
    <n v="35.76"/>
    <x v="0"/>
    <x v="1"/>
    <x v="5"/>
    <x v="0"/>
    <n v="3"/>
    <n v="3"/>
    <x v="369"/>
    <d v="1899-12-30T00:36:01"/>
  </r>
  <r>
    <x v="5"/>
    <x v="0"/>
    <n v="25.96"/>
    <x v="2"/>
    <x v="2"/>
    <x v="5"/>
    <x v="0"/>
    <n v="3"/>
    <n v="3"/>
    <x v="369"/>
    <d v="1899-12-30T00:10:34"/>
  </r>
  <r>
    <x v="5"/>
    <x v="0"/>
    <n v="35.76"/>
    <x v="4"/>
    <x v="2"/>
    <x v="5"/>
    <x v="0"/>
    <n v="3"/>
    <n v="3"/>
    <x v="369"/>
    <d v="1899-12-30T00:17:18"/>
  </r>
  <r>
    <x v="5"/>
    <x v="0"/>
    <n v="25.96"/>
    <x v="2"/>
    <x v="2"/>
    <x v="5"/>
    <x v="0"/>
    <n v="3"/>
    <n v="3"/>
    <x v="369"/>
    <d v="1899-12-30T00:24:41"/>
  </r>
  <r>
    <x v="5"/>
    <x v="0"/>
    <n v="35.76"/>
    <x v="7"/>
    <x v="2"/>
    <x v="5"/>
    <x v="0"/>
    <n v="3"/>
    <n v="3"/>
    <x v="369"/>
    <d v="1899-12-30T00:38:57"/>
  </r>
  <r>
    <x v="5"/>
    <x v="0"/>
    <n v="25.96"/>
    <x v="2"/>
    <x v="2"/>
    <x v="5"/>
    <x v="0"/>
    <n v="3"/>
    <n v="3"/>
    <x v="369"/>
    <d v="1899-12-30T00:42:14"/>
  </r>
  <r>
    <x v="14"/>
    <x v="0"/>
    <n v="35.76"/>
    <x v="7"/>
    <x v="0"/>
    <x v="6"/>
    <x v="0"/>
    <n v="4"/>
    <n v="3"/>
    <x v="370"/>
    <d v="1899-12-30T00:01:36"/>
  </r>
  <r>
    <x v="12"/>
    <x v="0"/>
    <n v="30.86"/>
    <x v="3"/>
    <x v="0"/>
    <x v="6"/>
    <x v="0"/>
    <n v="4"/>
    <n v="3"/>
    <x v="370"/>
    <d v="1899-12-30T00:23:18"/>
  </r>
  <r>
    <x v="10"/>
    <x v="0"/>
    <n v="30.86"/>
    <x v="3"/>
    <x v="0"/>
    <x v="6"/>
    <x v="0"/>
    <n v="4"/>
    <n v="3"/>
    <x v="370"/>
    <d v="1899-12-30T00:04:47"/>
  </r>
  <r>
    <x v="10"/>
    <x v="0"/>
    <n v="35.76"/>
    <x v="0"/>
    <x v="0"/>
    <x v="6"/>
    <x v="0"/>
    <n v="4"/>
    <n v="3"/>
    <x v="370"/>
    <d v="1899-12-30T00:20:10"/>
  </r>
  <r>
    <x v="10"/>
    <x v="0"/>
    <n v="21.06"/>
    <x v="6"/>
    <x v="0"/>
    <x v="6"/>
    <x v="0"/>
    <n v="4"/>
    <n v="3"/>
    <x v="370"/>
    <d v="1899-12-30T00:22:05"/>
  </r>
  <r>
    <x v="10"/>
    <x v="0"/>
    <n v="25.96"/>
    <x v="2"/>
    <x v="0"/>
    <x v="6"/>
    <x v="0"/>
    <n v="4"/>
    <n v="3"/>
    <x v="370"/>
    <d v="1899-12-30T00:38:20"/>
  </r>
  <r>
    <x v="10"/>
    <x v="0"/>
    <n v="30.86"/>
    <x v="3"/>
    <x v="0"/>
    <x v="6"/>
    <x v="0"/>
    <n v="4"/>
    <n v="3"/>
    <x v="370"/>
    <d v="1899-12-30T00:39:15"/>
  </r>
  <r>
    <x v="7"/>
    <x v="0"/>
    <n v="25.96"/>
    <x v="2"/>
    <x v="0"/>
    <x v="6"/>
    <x v="0"/>
    <n v="4"/>
    <n v="3"/>
    <x v="370"/>
    <d v="1899-12-30T00:18:02"/>
  </r>
  <r>
    <x v="1"/>
    <x v="0"/>
    <n v="35.76"/>
    <x v="0"/>
    <x v="1"/>
    <x v="6"/>
    <x v="0"/>
    <n v="4"/>
    <n v="3"/>
    <x v="370"/>
    <d v="1899-12-30T00:13:37"/>
  </r>
  <r>
    <x v="8"/>
    <x v="0"/>
    <n v="30.86"/>
    <x v="3"/>
    <x v="1"/>
    <x v="6"/>
    <x v="0"/>
    <n v="4"/>
    <n v="3"/>
    <x v="370"/>
    <d v="1899-12-30T00:53:50"/>
  </r>
  <r>
    <x v="8"/>
    <x v="0"/>
    <n v="25.96"/>
    <x v="2"/>
    <x v="1"/>
    <x v="6"/>
    <x v="0"/>
    <n v="4"/>
    <n v="3"/>
    <x v="370"/>
    <d v="1899-12-30T00:55:32"/>
  </r>
  <r>
    <x v="5"/>
    <x v="0"/>
    <n v="35.76"/>
    <x v="7"/>
    <x v="2"/>
    <x v="6"/>
    <x v="0"/>
    <n v="4"/>
    <n v="3"/>
    <x v="370"/>
    <d v="1899-12-30T00:47:44"/>
  </r>
  <r>
    <x v="14"/>
    <x v="0"/>
    <n v="25.96"/>
    <x v="2"/>
    <x v="0"/>
    <x v="0"/>
    <x v="0"/>
    <n v="5"/>
    <n v="3"/>
    <x v="371"/>
    <d v="1899-12-30T00:55:06"/>
  </r>
  <r>
    <x v="12"/>
    <x v="0"/>
    <n v="30.86"/>
    <x v="3"/>
    <x v="0"/>
    <x v="0"/>
    <x v="0"/>
    <n v="5"/>
    <n v="3"/>
    <x v="371"/>
    <d v="1899-12-30T00:13:40"/>
  </r>
  <r>
    <x v="12"/>
    <x v="0"/>
    <n v="25.96"/>
    <x v="2"/>
    <x v="0"/>
    <x v="0"/>
    <x v="0"/>
    <n v="5"/>
    <n v="3"/>
    <x v="371"/>
    <d v="1899-12-30T00:59:27"/>
  </r>
  <r>
    <x v="10"/>
    <x v="0"/>
    <n v="35.76"/>
    <x v="0"/>
    <x v="0"/>
    <x v="0"/>
    <x v="0"/>
    <n v="5"/>
    <n v="3"/>
    <x v="371"/>
    <d v="1899-12-30T00:00:30"/>
  </r>
  <r>
    <x v="10"/>
    <x v="0"/>
    <n v="21.06"/>
    <x v="6"/>
    <x v="0"/>
    <x v="0"/>
    <x v="0"/>
    <n v="5"/>
    <n v="3"/>
    <x v="371"/>
    <d v="1899-12-30T00:26:08"/>
  </r>
  <r>
    <x v="10"/>
    <x v="0"/>
    <n v="25.96"/>
    <x v="2"/>
    <x v="0"/>
    <x v="0"/>
    <x v="0"/>
    <n v="5"/>
    <n v="3"/>
    <x v="371"/>
    <d v="1899-12-30T00:28:37"/>
  </r>
  <r>
    <x v="0"/>
    <x v="0"/>
    <n v="25.96"/>
    <x v="2"/>
    <x v="0"/>
    <x v="0"/>
    <x v="0"/>
    <n v="5"/>
    <n v="3"/>
    <x v="371"/>
    <d v="1899-12-30T00:20:51"/>
  </r>
  <r>
    <x v="0"/>
    <x v="0"/>
    <n v="35.76"/>
    <x v="0"/>
    <x v="0"/>
    <x v="0"/>
    <x v="0"/>
    <n v="5"/>
    <n v="3"/>
    <x v="371"/>
    <d v="1899-12-30T00:48:23"/>
  </r>
  <r>
    <x v="0"/>
    <x v="0"/>
    <n v="35.76"/>
    <x v="7"/>
    <x v="0"/>
    <x v="0"/>
    <x v="0"/>
    <n v="5"/>
    <n v="3"/>
    <x v="371"/>
    <d v="1899-12-30T00:49:28"/>
  </r>
  <r>
    <x v="8"/>
    <x v="0"/>
    <n v="25.96"/>
    <x v="2"/>
    <x v="1"/>
    <x v="0"/>
    <x v="0"/>
    <n v="5"/>
    <n v="3"/>
    <x v="371"/>
    <d v="1899-12-30T00:35:17"/>
  </r>
  <r>
    <x v="8"/>
    <x v="0"/>
    <n v="35.76"/>
    <x v="0"/>
    <x v="1"/>
    <x v="0"/>
    <x v="0"/>
    <n v="5"/>
    <n v="3"/>
    <x v="371"/>
    <d v="1899-12-30T00:36:22"/>
  </r>
  <r>
    <x v="3"/>
    <x v="0"/>
    <n v="35.76"/>
    <x v="0"/>
    <x v="1"/>
    <x v="0"/>
    <x v="0"/>
    <n v="5"/>
    <n v="3"/>
    <x v="371"/>
    <d v="1899-12-30T00:54:21"/>
  </r>
  <r>
    <x v="3"/>
    <x v="0"/>
    <n v="35.76"/>
    <x v="0"/>
    <x v="1"/>
    <x v="0"/>
    <x v="0"/>
    <n v="5"/>
    <n v="3"/>
    <x v="371"/>
    <d v="1899-12-30T00:55:41"/>
  </r>
  <r>
    <x v="4"/>
    <x v="0"/>
    <n v="25.96"/>
    <x v="2"/>
    <x v="1"/>
    <x v="0"/>
    <x v="0"/>
    <n v="5"/>
    <n v="3"/>
    <x v="371"/>
    <d v="1899-12-30T00:27:04"/>
  </r>
  <r>
    <x v="4"/>
    <x v="0"/>
    <n v="35.76"/>
    <x v="4"/>
    <x v="1"/>
    <x v="0"/>
    <x v="0"/>
    <n v="5"/>
    <n v="3"/>
    <x v="371"/>
    <d v="1899-12-30T00:31:00"/>
  </r>
  <r>
    <x v="4"/>
    <x v="0"/>
    <n v="35.76"/>
    <x v="4"/>
    <x v="1"/>
    <x v="0"/>
    <x v="0"/>
    <n v="5"/>
    <n v="3"/>
    <x v="371"/>
    <d v="1899-12-30T00:31:55"/>
  </r>
  <r>
    <x v="4"/>
    <x v="0"/>
    <n v="35.76"/>
    <x v="4"/>
    <x v="1"/>
    <x v="0"/>
    <x v="0"/>
    <n v="5"/>
    <n v="3"/>
    <x v="371"/>
    <d v="1899-12-30T00:32:40"/>
  </r>
  <r>
    <x v="9"/>
    <x v="0"/>
    <n v="25.96"/>
    <x v="2"/>
    <x v="2"/>
    <x v="0"/>
    <x v="0"/>
    <n v="5"/>
    <n v="3"/>
    <x v="371"/>
    <d v="1899-12-30T00:05:24"/>
  </r>
  <r>
    <x v="9"/>
    <x v="0"/>
    <n v="25.96"/>
    <x v="2"/>
    <x v="2"/>
    <x v="0"/>
    <x v="0"/>
    <n v="5"/>
    <n v="3"/>
    <x v="371"/>
    <d v="1899-12-30T00:22:15"/>
  </r>
  <r>
    <x v="9"/>
    <x v="0"/>
    <n v="35.76"/>
    <x v="0"/>
    <x v="2"/>
    <x v="0"/>
    <x v="0"/>
    <n v="5"/>
    <n v="3"/>
    <x v="371"/>
    <d v="1899-12-30T00:27:15"/>
  </r>
  <r>
    <x v="9"/>
    <x v="0"/>
    <n v="35.76"/>
    <x v="0"/>
    <x v="2"/>
    <x v="0"/>
    <x v="0"/>
    <n v="5"/>
    <n v="3"/>
    <x v="371"/>
    <d v="1899-12-30T00:28:38"/>
  </r>
  <r>
    <x v="11"/>
    <x v="0"/>
    <n v="25.96"/>
    <x v="2"/>
    <x v="2"/>
    <x v="0"/>
    <x v="0"/>
    <n v="5"/>
    <n v="3"/>
    <x v="371"/>
    <d v="1899-12-30T00:20:22"/>
  </r>
  <r>
    <x v="15"/>
    <x v="0"/>
    <n v="25.96"/>
    <x v="2"/>
    <x v="2"/>
    <x v="0"/>
    <x v="0"/>
    <n v="5"/>
    <n v="3"/>
    <x v="371"/>
    <d v="1899-12-30T00:40:44"/>
  </r>
  <r>
    <x v="10"/>
    <x v="0"/>
    <n v="30.86"/>
    <x v="3"/>
    <x v="0"/>
    <x v="1"/>
    <x v="0"/>
    <n v="6"/>
    <n v="3"/>
    <x v="372"/>
    <d v="1899-12-30T00:53:22"/>
  </r>
  <r>
    <x v="0"/>
    <x v="0"/>
    <n v="35.76"/>
    <x v="7"/>
    <x v="0"/>
    <x v="1"/>
    <x v="0"/>
    <n v="6"/>
    <n v="3"/>
    <x v="372"/>
    <d v="1899-12-30T00:03:23"/>
  </r>
  <r>
    <x v="2"/>
    <x v="0"/>
    <n v="25.96"/>
    <x v="2"/>
    <x v="1"/>
    <x v="1"/>
    <x v="0"/>
    <n v="6"/>
    <n v="3"/>
    <x v="372"/>
    <d v="1899-12-30T00:55:42"/>
  </r>
  <r>
    <x v="9"/>
    <x v="0"/>
    <n v="35.76"/>
    <x v="7"/>
    <x v="2"/>
    <x v="1"/>
    <x v="0"/>
    <n v="6"/>
    <n v="3"/>
    <x v="372"/>
    <d v="1899-12-30T00:10:23"/>
  </r>
  <r>
    <x v="9"/>
    <x v="0"/>
    <n v="30.86"/>
    <x v="3"/>
    <x v="2"/>
    <x v="1"/>
    <x v="0"/>
    <n v="6"/>
    <n v="3"/>
    <x v="372"/>
    <d v="1899-12-30T00:12:08"/>
  </r>
  <r>
    <x v="6"/>
    <x v="0"/>
    <n v="30.86"/>
    <x v="3"/>
    <x v="2"/>
    <x v="1"/>
    <x v="0"/>
    <n v="6"/>
    <n v="3"/>
    <x v="372"/>
    <d v="1899-12-30T00:30:37"/>
  </r>
  <r>
    <x v="6"/>
    <x v="0"/>
    <n v="35.76"/>
    <x v="7"/>
    <x v="2"/>
    <x v="1"/>
    <x v="0"/>
    <n v="6"/>
    <n v="3"/>
    <x v="372"/>
    <d v="1899-12-30T00:51:27"/>
  </r>
  <r>
    <x v="10"/>
    <x v="0"/>
    <n v="35.76"/>
    <x v="7"/>
    <x v="0"/>
    <x v="2"/>
    <x v="0"/>
    <n v="7"/>
    <n v="3"/>
    <x v="373"/>
    <d v="1899-12-30T00:32:17"/>
  </r>
  <r>
    <x v="10"/>
    <x v="0"/>
    <n v="30.86"/>
    <x v="3"/>
    <x v="0"/>
    <x v="2"/>
    <x v="0"/>
    <n v="7"/>
    <n v="3"/>
    <x v="373"/>
    <d v="1899-12-30T00:36:23"/>
  </r>
  <r>
    <x v="0"/>
    <x v="0"/>
    <n v="35.76"/>
    <x v="0"/>
    <x v="0"/>
    <x v="2"/>
    <x v="0"/>
    <n v="7"/>
    <n v="3"/>
    <x v="373"/>
    <d v="1899-12-30T00:50:09"/>
  </r>
  <r>
    <x v="1"/>
    <x v="0"/>
    <n v="35.76"/>
    <x v="1"/>
    <x v="1"/>
    <x v="2"/>
    <x v="0"/>
    <n v="7"/>
    <n v="3"/>
    <x v="373"/>
    <d v="1899-12-30T00:00:47"/>
  </r>
  <r>
    <x v="8"/>
    <x v="0"/>
    <n v="25.96"/>
    <x v="2"/>
    <x v="1"/>
    <x v="2"/>
    <x v="0"/>
    <n v="7"/>
    <n v="3"/>
    <x v="373"/>
    <d v="1899-12-30T00:22:43"/>
  </r>
  <r>
    <x v="16"/>
    <x v="0"/>
    <n v="25.96"/>
    <x v="2"/>
    <x v="0"/>
    <x v="3"/>
    <x v="0"/>
    <n v="1"/>
    <n v="3"/>
    <x v="374"/>
    <d v="1899-12-30T00:54:41"/>
  </r>
  <r>
    <x v="12"/>
    <x v="0"/>
    <n v="25.96"/>
    <x v="2"/>
    <x v="0"/>
    <x v="3"/>
    <x v="0"/>
    <n v="1"/>
    <n v="3"/>
    <x v="374"/>
    <d v="1899-12-30T00:09:50"/>
  </r>
  <r>
    <x v="12"/>
    <x v="0"/>
    <n v="25.96"/>
    <x v="2"/>
    <x v="0"/>
    <x v="3"/>
    <x v="0"/>
    <n v="1"/>
    <n v="3"/>
    <x v="374"/>
    <d v="1899-12-30T00:18:03"/>
  </r>
  <r>
    <x v="10"/>
    <x v="0"/>
    <n v="30.86"/>
    <x v="3"/>
    <x v="0"/>
    <x v="3"/>
    <x v="0"/>
    <n v="1"/>
    <n v="3"/>
    <x v="374"/>
    <d v="1899-12-30T00:02:59"/>
  </r>
  <r>
    <x v="0"/>
    <x v="0"/>
    <n v="25.96"/>
    <x v="2"/>
    <x v="0"/>
    <x v="3"/>
    <x v="0"/>
    <n v="1"/>
    <n v="3"/>
    <x v="374"/>
    <d v="1899-12-30T00:32:40"/>
  </r>
  <r>
    <x v="2"/>
    <x v="0"/>
    <n v="25.96"/>
    <x v="2"/>
    <x v="1"/>
    <x v="3"/>
    <x v="0"/>
    <n v="1"/>
    <n v="3"/>
    <x v="374"/>
    <d v="1899-12-30T00:59:01"/>
  </r>
  <r>
    <x v="8"/>
    <x v="0"/>
    <n v="35.76"/>
    <x v="4"/>
    <x v="1"/>
    <x v="3"/>
    <x v="0"/>
    <n v="1"/>
    <n v="3"/>
    <x v="374"/>
    <d v="1899-12-30T00:21:25"/>
  </r>
  <r>
    <x v="8"/>
    <x v="0"/>
    <n v="35.76"/>
    <x v="4"/>
    <x v="1"/>
    <x v="3"/>
    <x v="0"/>
    <n v="1"/>
    <n v="3"/>
    <x v="374"/>
    <d v="1899-12-30T00:22:20"/>
  </r>
  <r>
    <x v="8"/>
    <x v="0"/>
    <n v="35.76"/>
    <x v="0"/>
    <x v="1"/>
    <x v="3"/>
    <x v="0"/>
    <n v="1"/>
    <n v="3"/>
    <x v="374"/>
    <d v="1899-12-30T00:48:04"/>
  </r>
  <r>
    <x v="3"/>
    <x v="0"/>
    <n v="35.76"/>
    <x v="7"/>
    <x v="1"/>
    <x v="3"/>
    <x v="0"/>
    <n v="1"/>
    <n v="3"/>
    <x v="374"/>
    <d v="1899-12-30T00:11:17"/>
  </r>
  <r>
    <x v="3"/>
    <x v="0"/>
    <n v="35.76"/>
    <x v="0"/>
    <x v="1"/>
    <x v="3"/>
    <x v="0"/>
    <n v="1"/>
    <n v="3"/>
    <x v="374"/>
    <d v="1899-12-30T00:47:16"/>
  </r>
  <r>
    <x v="3"/>
    <x v="0"/>
    <n v="35.76"/>
    <x v="0"/>
    <x v="1"/>
    <x v="3"/>
    <x v="0"/>
    <n v="1"/>
    <n v="3"/>
    <x v="374"/>
    <d v="1899-12-30T00:48:59"/>
  </r>
  <r>
    <x v="4"/>
    <x v="0"/>
    <n v="25.96"/>
    <x v="2"/>
    <x v="1"/>
    <x v="3"/>
    <x v="0"/>
    <n v="1"/>
    <n v="3"/>
    <x v="374"/>
    <d v="1899-12-30T00:46:45"/>
  </r>
  <r>
    <x v="12"/>
    <x v="0"/>
    <n v="30.86"/>
    <x v="3"/>
    <x v="0"/>
    <x v="4"/>
    <x v="0"/>
    <n v="2"/>
    <n v="3"/>
    <x v="375"/>
    <d v="1899-12-30T00:23:11"/>
  </r>
  <r>
    <x v="12"/>
    <x v="0"/>
    <n v="35.76"/>
    <x v="0"/>
    <x v="0"/>
    <x v="4"/>
    <x v="0"/>
    <n v="2"/>
    <n v="3"/>
    <x v="375"/>
    <d v="1899-12-30T00:33:50"/>
  </r>
  <r>
    <x v="0"/>
    <x v="0"/>
    <n v="35.76"/>
    <x v="0"/>
    <x v="0"/>
    <x v="4"/>
    <x v="0"/>
    <n v="2"/>
    <n v="3"/>
    <x v="375"/>
    <d v="1899-12-30T00:49:51"/>
  </r>
  <r>
    <x v="0"/>
    <x v="0"/>
    <n v="25.96"/>
    <x v="2"/>
    <x v="0"/>
    <x v="4"/>
    <x v="0"/>
    <n v="2"/>
    <n v="3"/>
    <x v="375"/>
    <d v="1899-12-30T00:51:18"/>
  </r>
  <r>
    <x v="7"/>
    <x v="0"/>
    <n v="35.76"/>
    <x v="1"/>
    <x v="0"/>
    <x v="4"/>
    <x v="0"/>
    <n v="2"/>
    <n v="3"/>
    <x v="375"/>
    <d v="1899-12-30T00:47:20"/>
  </r>
  <r>
    <x v="7"/>
    <x v="0"/>
    <n v="35.76"/>
    <x v="1"/>
    <x v="0"/>
    <x v="4"/>
    <x v="0"/>
    <n v="2"/>
    <n v="3"/>
    <x v="375"/>
    <d v="1899-12-30T00:48:56"/>
  </r>
  <r>
    <x v="8"/>
    <x v="0"/>
    <n v="30.86"/>
    <x v="3"/>
    <x v="1"/>
    <x v="4"/>
    <x v="0"/>
    <n v="2"/>
    <n v="3"/>
    <x v="375"/>
    <d v="1899-12-30T00:43:35"/>
  </r>
  <r>
    <x v="3"/>
    <x v="0"/>
    <n v="25.96"/>
    <x v="2"/>
    <x v="1"/>
    <x v="4"/>
    <x v="0"/>
    <n v="2"/>
    <n v="3"/>
    <x v="375"/>
    <d v="1899-12-30T00:03:53"/>
  </r>
  <r>
    <x v="3"/>
    <x v="0"/>
    <n v="30.86"/>
    <x v="3"/>
    <x v="1"/>
    <x v="4"/>
    <x v="0"/>
    <n v="2"/>
    <n v="3"/>
    <x v="375"/>
    <d v="1899-12-30T00:11:07"/>
  </r>
  <r>
    <x v="4"/>
    <x v="0"/>
    <n v="25.96"/>
    <x v="2"/>
    <x v="1"/>
    <x v="4"/>
    <x v="0"/>
    <n v="2"/>
    <n v="3"/>
    <x v="375"/>
    <d v="1899-12-30T00:09:08"/>
  </r>
  <r>
    <x v="4"/>
    <x v="0"/>
    <n v="35.76"/>
    <x v="0"/>
    <x v="1"/>
    <x v="4"/>
    <x v="0"/>
    <n v="2"/>
    <n v="3"/>
    <x v="375"/>
    <d v="1899-12-30T00:11:45"/>
  </r>
  <r>
    <x v="4"/>
    <x v="0"/>
    <n v="21.06"/>
    <x v="6"/>
    <x v="1"/>
    <x v="4"/>
    <x v="0"/>
    <n v="2"/>
    <n v="3"/>
    <x v="375"/>
    <d v="1899-12-30T00:23:21"/>
  </r>
  <r>
    <x v="5"/>
    <x v="0"/>
    <n v="35.76"/>
    <x v="4"/>
    <x v="2"/>
    <x v="4"/>
    <x v="0"/>
    <n v="2"/>
    <n v="3"/>
    <x v="375"/>
    <d v="1899-12-30T00:42:31"/>
  </r>
  <r>
    <x v="5"/>
    <x v="0"/>
    <n v="35.76"/>
    <x v="4"/>
    <x v="2"/>
    <x v="4"/>
    <x v="0"/>
    <n v="2"/>
    <n v="3"/>
    <x v="375"/>
    <d v="1899-12-30T00:43:18"/>
  </r>
  <r>
    <x v="11"/>
    <x v="0"/>
    <n v="35.76"/>
    <x v="4"/>
    <x v="2"/>
    <x v="4"/>
    <x v="0"/>
    <n v="2"/>
    <n v="3"/>
    <x v="375"/>
    <d v="1899-12-30T00:00:35"/>
  </r>
  <r>
    <x v="11"/>
    <x v="0"/>
    <n v="35.76"/>
    <x v="4"/>
    <x v="2"/>
    <x v="4"/>
    <x v="0"/>
    <n v="2"/>
    <n v="3"/>
    <x v="375"/>
    <d v="1899-12-30T00:01:38"/>
  </r>
  <r>
    <x v="15"/>
    <x v="0"/>
    <n v="35.76"/>
    <x v="0"/>
    <x v="2"/>
    <x v="4"/>
    <x v="0"/>
    <n v="2"/>
    <n v="3"/>
    <x v="375"/>
    <d v="1899-12-30T00:20:40"/>
  </r>
  <r>
    <x v="14"/>
    <x v="0"/>
    <n v="25.96"/>
    <x v="2"/>
    <x v="0"/>
    <x v="5"/>
    <x v="0"/>
    <n v="3"/>
    <n v="3"/>
    <x v="376"/>
    <d v="1899-12-30T00:03:07"/>
  </r>
  <r>
    <x v="14"/>
    <x v="0"/>
    <n v="25.96"/>
    <x v="2"/>
    <x v="0"/>
    <x v="5"/>
    <x v="0"/>
    <n v="3"/>
    <n v="3"/>
    <x v="376"/>
    <d v="1899-12-30T00:04:09"/>
  </r>
  <r>
    <x v="14"/>
    <x v="0"/>
    <n v="35.76"/>
    <x v="7"/>
    <x v="0"/>
    <x v="5"/>
    <x v="0"/>
    <n v="3"/>
    <n v="3"/>
    <x v="376"/>
    <d v="1899-12-30T00:06:35"/>
  </r>
  <r>
    <x v="12"/>
    <x v="0"/>
    <n v="25.96"/>
    <x v="2"/>
    <x v="0"/>
    <x v="5"/>
    <x v="0"/>
    <n v="3"/>
    <n v="3"/>
    <x v="376"/>
    <d v="1899-12-30T00:03:18"/>
  </r>
  <r>
    <x v="0"/>
    <x v="0"/>
    <n v="35.76"/>
    <x v="1"/>
    <x v="0"/>
    <x v="5"/>
    <x v="0"/>
    <n v="3"/>
    <n v="3"/>
    <x v="376"/>
    <d v="1899-12-30T00:18:39"/>
  </r>
  <r>
    <x v="7"/>
    <x v="0"/>
    <n v="25.96"/>
    <x v="2"/>
    <x v="0"/>
    <x v="5"/>
    <x v="0"/>
    <n v="3"/>
    <n v="3"/>
    <x v="376"/>
    <d v="1899-12-30T00:55:40"/>
  </r>
  <r>
    <x v="1"/>
    <x v="0"/>
    <n v="25.96"/>
    <x v="2"/>
    <x v="1"/>
    <x v="5"/>
    <x v="0"/>
    <n v="3"/>
    <n v="3"/>
    <x v="376"/>
    <d v="1899-12-30T00:58:27"/>
  </r>
  <r>
    <x v="3"/>
    <x v="0"/>
    <n v="35.76"/>
    <x v="0"/>
    <x v="1"/>
    <x v="5"/>
    <x v="0"/>
    <n v="3"/>
    <n v="3"/>
    <x v="376"/>
    <d v="1899-12-30T00:12:53"/>
  </r>
  <r>
    <x v="3"/>
    <x v="0"/>
    <n v="35.76"/>
    <x v="0"/>
    <x v="1"/>
    <x v="5"/>
    <x v="0"/>
    <n v="3"/>
    <n v="3"/>
    <x v="376"/>
    <d v="1899-12-30T00:14:23"/>
  </r>
  <r>
    <x v="4"/>
    <x v="0"/>
    <n v="35.76"/>
    <x v="0"/>
    <x v="1"/>
    <x v="5"/>
    <x v="0"/>
    <n v="3"/>
    <n v="3"/>
    <x v="376"/>
    <d v="1899-12-30T00:19:34"/>
  </r>
  <r>
    <x v="4"/>
    <x v="0"/>
    <n v="25.96"/>
    <x v="2"/>
    <x v="1"/>
    <x v="5"/>
    <x v="0"/>
    <n v="3"/>
    <n v="3"/>
    <x v="376"/>
    <d v="1899-12-30T00:29:56"/>
  </r>
  <r>
    <x v="4"/>
    <x v="0"/>
    <n v="35.76"/>
    <x v="7"/>
    <x v="1"/>
    <x v="5"/>
    <x v="0"/>
    <n v="3"/>
    <n v="3"/>
    <x v="376"/>
    <d v="1899-12-30T00:40:34"/>
  </r>
  <r>
    <x v="4"/>
    <x v="0"/>
    <n v="35.76"/>
    <x v="7"/>
    <x v="1"/>
    <x v="5"/>
    <x v="0"/>
    <n v="3"/>
    <n v="3"/>
    <x v="376"/>
    <d v="1899-12-30T00:42:16"/>
  </r>
  <r>
    <x v="4"/>
    <x v="0"/>
    <n v="25.96"/>
    <x v="2"/>
    <x v="1"/>
    <x v="5"/>
    <x v="0"/>
    <n v="3"/>
    <n v="3"/>
    <x v="376"/>
    <d v="1899-12-30T00:51:35"/>
  </r>
  <r>
    <x v="4"/>
    <x v="0"/>
    <n v="25.96"/>
    <x v="2"/>
    <x v="1"/>
    <x v="5"/>
    <x v="0"/>
    <n v="3"/>
    <n v="3"/>
    <x v="376"/>
    <d v="1899-12-30T00:52:30"/>
  </r>
  <r>
    <x v="9"/>
    <x v="0"/>
    <n v="35.76"/>
    <x v="4"/>
    <x v="2"/>
    <x v="5"/>
    <x v="0"/>
    <n v="3"/>
    <n v="3"/>
    <x v="376"/>
    <d v="1899-12-30T00:00:00"/>
  </r>
  <r>
    <x v="9"/>
    <x v="0"/>
    <n v="30.86"/>
    <x v="3"/>
    <x v="2"/>
    <x v="5"/>
    <x v="0"/>
    <n v="3"/>
    <n v="3"/>
    <x v="376"/>
    <d v="1899-12-30T00:09:55"/>
  </r>
  <r>
    <x v="9"/>
    <x v="0"/>
    <n v="30.86"/>
    <x v="3"/>
    <x v="2"/>
    <x v="5"/>
    <x v="0"/>
    <n v="3"/>
    <n v="3"/>
    <x v="376"/>
    <d v="1899-12-30T00:27:40"/>
  </r>
  <r>
    <x v="5"/>
    <x v="0"/>
    <n v="25.96"/>
    <x v="5"/>
    <x v="2"/>
    <x v="5"/>
    <x v="0"/>
    <n v="3"/>
    <n v="3"/>
    <x v="376"/>
    <d v="1899-12-30T00:29:50"/>
  </r>
  <r>
    <x v="5"/>
    <x v="0"/>
    <n v="21.06"/>
    <x v="6"/>
    <x v="2"/>
    <x v="5"/>
    <x v="0"/>
    <n v="3"/>
    <n v="3"/>
    <x v="376"/>
    <d v="1899-12-30T00:30:44"/>
  </r>
  <r>
    <x v="5"/>
    <x v="0"/>
    <n v="21.06"/>
    <x v="6"/>
    <x v="2"/>
    <x v="5"/>
    <x v="0"/>
    <n v="3"/>
    <n v="3"/>
    <x v="376"/>
    <d v="1899-12-30T00:31:26"/>
  </r>
  <r>
    <x v="12"/>
    <x v="0"/>
    <n v="30.86"/>
    <x v="3"/>
    <x v="0"/>
    <x v="6"/>
    <x v="0"/>
    <n v="4"/>
    <n v="3"/>
    <x v="377"/>
    <d v="1899-12-30T00:13:16"/>
  </r>
  <r>
    <x v="10"/>
    <x v="0"/>
    <n v="30.86"/>
    <x v="3"/>
    <x v="0"/>
    <x v="6"/>
    <x v="0"/>
    <n v="4"/>
    <n v="3"/>
    <x v="377"/>
    <d v="1899-12-30T00:52:05"/>
  </r>
  <r>
    <x v="0"/>
    <x v="0"/>
    <n v="30.86"/>
    <x v="3"/>
    <x v="0"/>
    <x v="6"/>
    <x v="0"/>
    <n v="4"/>
    <n v="3"/>
    <x v="377"/>
    <d v="1899-12-30T00:06:44"/>
  </r>
  <r>
    <x v="0"/>
    <x v="0"/>
    <n v="25.96"/>
    <x v="2"/>
    <x v="0"/>
    <x v="6"/>
    <x v="0"/>
    <n v="4"/>
    <n v="3"/>
    <x v="377"/>
    <d v="1899-12-30T00:45:44"/>
  </r>
  <r>
    <x v="0"/>
    <x v="0"/>
    <n v="25.96"/>
    <x v="2"/>
    <x v="0"/>
    <x v="6"/>
    <x v="0"/>
    <n v="4"/>
    <n v="3"/>
    <x v="377"/>
    <d v="1899-12-30T00:55:17"/>
  </r>
  <r>
    <x v="1"/>
    <x v="0"/>
    <n v="25.96"/>
    <x v="2"/>
    <x v="1"/>
    <x v="6"/>
    <x v="0"/>
    <n v="4"/>
    <n v="3"/>
    <x v="377"/>
    <d v="1899-12-30T00:48:24"/>
  </r>
  <r>
    <x v="8"/>
    <x v="0"/>
    <n v="25.96"/>
    <x v="2"/>
    <x v="1"/>
    <x v="6"/>
    <x v="0"/>
    <n v="4"/>
    <n v="3"/>
    <x v="377"/>
    <d v="1899-12-30T00:04:44"/>
  </r>
  <r>
    <x v="8"/>
    <x v="0"/>
    <n v="25.96"/>
    <x v="2"/>
    <x v="1"/>
    <x v="6"/>
    <x v="0"/>
    <n v="4"/>
    <n v="3"/>
    <x v="377"/>
    <d v="1899-12-30T00:20:38"/>
  </r>
  <r>
    <x v="8"/>
    <x v="0"/>
    <n v="21.06"/>
    <x v="6"/>
    <x v="1"/>
    <x v="6"/>
    <x v="0"/>
    <n v="4"/>
    <n v="3"/>
    <x v="377"/>
    <d v="1899-12-30T00:21:42"/>
  </r>
  <r>
    <x v="8"/>
    <x v="0"/>
    <n v="25.96"/>
    <x v="5"/>
    <x v="1"/>
    <x v="6"/>
    <x v="0"/>
    <n v="4"/>
    <n v="3"/>
    <x v="377"/>
    <d v="1899-12-30T00:25:05"/>
  </r>
  <r>
    <x v="8"/>
    <x v="0"/>
    <n v="35.76"/>
    <x v="7"/>
    <x v="1"/>
    <x v="6"/>
    <x v="0"/>
    <n v="4"/>
    <n v="3"/>
    <x v="377"/>
    <d v="1899-12-30T00:26:47"/>
  </r>
  <r>
    <x v="8"/>
    <x v="0"/>
    <n v="35.76"/>
    <x v="7"/>
    <x v="1"/>
    <x v="6"/>
    <x v="0"/>
    <n v="4"/>
    <n v="3"/>
    <x v="377"/>
    <d v="1899-12-30T00:59:48"/>
  </r>
  <r>
    <x v="3"/>
    <x v="0"/>
    <n v="25.96"/>
    <x v="2"/>
    <x v="1"/>
    <x v="6"/>
    <x v="0"/>
    <n v="4"/>
    <n v="3"/>
    <x v="377"/>
    <d v="1899-12-30T00:05:22"/>
  </r>
  <r>
    <x v="3"/>
    <x v="0"/>
    <n v="25.96"/>
    <x v="2"/>
    <x v="1"/>
    <x v="6"/>
    <x v="0"/>
    <n v="4"/>
    <n v="3"/>
    <x v="377"/>
    <d v="1899-12-30T00:21:52"/>
  </r>
  <r>
    <x v="4"/>
    <x v="0"/>
    <n v="35.76"/>
    <x v="7"/>
    <x v="1"/>
    <x v="6"/>
    <x v="0"/>
    <n v="4"/>
    <n v="3"/>
    <x v="377"/>
    <d v="1899-12-30T00:45:45"/>
  </r>
  <r>
    <x v="9"/>
    <x v="0"/>
    <n v="25.96"/>
    <x v="2"/>
    <x v="2"/>
    <x v="6"/>
    <x v="0"/>
    <n v="4"/>
    <n v="3"/>
    <x v="377"/>
    <d v="1899-12-30T00:23:51"/>
  </r>
  <r>
    <x v="5"/>
    <x v="0"/>
    <n v="35.76"/>
    <x v="1"/>
    <x v="2"/>
    <x v="6"/>
    <x v="0"/>
    <n v="4"/>
    <n v="3"/>
    <x v="377"/>
    <d v="1899-12-30T00:55:59"/>
  </r>
  <r>
    <x v="6"/>
    <x v="0"/>
    <n v="35.76"/>
    <x v="4"/>
    <x v="2"/>
    <x v="6"/>
    <x v="0"/>
    <n v="4"/>
    <n v="3"/>
    <x v="377"/>
    <d v="1899-12-30T00:36:42"/>
  </r>
  <r>
    <x v="6"/>
    <x v="0"/>
    <n v="35.76"/>
    <x v="7"/>
    <x v="2"/>
    <x v="6"/>
    <x v="0"/>
    <n v="4"/>
    <n v="3"/>
    <x v="377"/>
    <d v="1899-12-30T00:57:49"/>
  </r>
  <r>
    <x v="15"/>
    <x v="0"/>
    <n v="35.76"/>
    <x v="0"/>
    <x v="2"/>
    <x v="6"/>
    <x v="0"/>
    <n v="4"/>
    <n v="3"/>
    <x v="377"/>
    <d v="1899-12-30T00:50:16"/>
  </r>
  <r>
    <x v="14"/>
    <x v="0"/>
    <n v="30.86"/>
    <x v="3"/>
    <x v="0"/>
    <x v="0"/>
    <x v="0"/>
    <n v="5"/>
    <n v="3"/>
    <x v="378"/>
    <d v="1899-12-30T00:06:12"/>
  </r>
  <r>
    <x v="14"/>
    <x v="0"/>
    <n v="30.86"/>
    <x v="3"/>
    <x v="0"/>
    <x v="0"/>
    <x v="0"/>
    <n v="5"/>
    <n v="3"/>
    <x v="378"/>
    <d v="1899-12-30T00:09:08"/>
  </r>
  <r>
    <x v="12"/>
    <x v="0"/>
    <n v="25.96"/>
    <x v="2"/>
    <x v="0"/>
    <x v="0"/>
    <x v="0"/>
    <n v="5"/>
    <n v="3"/>
    <x v="378"/>
    <d v="1899-12-30T00:16:44"/>
  </r>
  <r>
    <x v="12"/>
    <x v="0"/>
    <n v="25.96"/>
    <x v="2"/>
    <x v="0"/>
    <x v="0"/>
    <x v="0"/>
    <n v="5"/>
    <n v="3"/>
    <x v="378"/>
    <d v="1899-12-30T00:28:37"/>
  </r>
  <r>
    <x v="12"/>
    <x v="0"/>
    <n v="25.96"/>
    <x v="2"/>
    <x v="0"/>
    <x v="0"/>
    <x v="0"/>
    <n v="5"/>
    <n v="3"/>
    <x v="378"/>
    <d v="1899-12-30T00:29:21"/>
  </r>
  <r>
    <x v="12"/>
    <x v="0"/>
    <n v="35.76"/>
    <x v="7"/>
    <x v="0"/>
    <x v="0"/>
    <x v="0"/>
    <n v="5"/>
    <n v="3"/>
    <x v="378"/>
    <d v="1899-12-30T00:35:19"/>
  </r>
  <r>
    <x v="7"/>
    <x v="0"/>
    <n v="25.96"/>
    <x v="2"/>
    <x v="0"/>
    <x v="0"/>
    <x v="0"/>
    <n v="5"/>
    <n v="3"/>
    <x v="378"/>
    <d v="1899-12-30T00:50:09"/>
  </r>
  <r>
    <x v="7"/>
    <x v="0"/>
    <n v="35.76"/>
    <x v="0"/>
    <x v="0"/>
    <x v="0"/>
    <x v="0"/>
    <n v="5"/>
    <n v="3"/>
    <x v="378"/>
    <d v="1899-12-30T00:51:08"/>
  </r>
  <r>
    <x v="2"/>
    <x v="0"/>
    <n v="25.96"/>
    <x v="2"/>
    <x v="1"/>
    <x v="0"/>
    <x v="0"/>
    <n v="5"/>
    <n v="3"/>
    <x v="378"/>
    <d v="1899-12-30T00:02:48"/>
  </r>
  <r>
    <x v="2"/>
    <x v="0"/>
    <n v="35.76"/>
    <x v="0"/>
    <x v="1"/>
    <x v="0"/>
    <x v="0"/>
    <n v="5"/>
    <n v="3"/>
    <x v="378"/>
    <d v="1899-12-30T00:23:57"/>
  </r>
  <r>
    <x v="8"/>
    <x v="0"/>
    <n v="35.76"/>
    <x v="7"/>
    <x v="1"/>
    <x v="0"/>
    <x v="0"/>
    <n v="5"/>
    <n v="3"/>
    <x v="378"/>
    <d v="1899-12-30T00:11:44"/>
  </r>
  <r>
    <x v="3"/>
    <x v="0"/>
    <n v="35.76"/>
    <x v="7"/>
    <x v="1"/>
    <x v="0"/>
    <x v="0"/>
    <n v="5"/>
    <n v="3"/>
    <x v="378"/>
    <d v="1899-12-30T00:09:03"/>
  </r>
  <r>
    <x v="3"/>
    <x v="0"/>
    <n v="25.96"/>
    <x v="2"/>
    <x v="1"/>
    <x v="0"/>
    <x v="0"/>
    <n v="5"/>
    <n v="3"/>
    <x v="378"/>
    <d v="1899-12-30T00:24:43"/>
  </r>
  <r>
    <x v="3"/>
    <x v="0"/>
    <n v="35.76"/>
    <x v="0"/>
    <x v="1"/>
    <x v="0"/>
    <x v="0"/>
    <n v="5"/>
    <n v="3"/>
    <x v="378"/>
    <d v="1899-12-30T00:28:20"/>
  </r>
  <r>
    <x v="3"/>
    <x v="0"/>
    <n v="35.76"/>
    <x v="7"/>
    <x v="1"/>
    <x v="0"/>
    <x v="0"/>
    <n v="5"/>
    <n v="3"/>
    <x v="378"/>
    <d v="1899-12-30T00:29:32"/>
  </r>
  <r>
    <x v="9"/>
    <x v="0"/>
    <n v="35.76"/>
    <x v="1"/>
    <x v="2"/>
    <x v="0"/>
    <x v="0"/>
    <n v="5"/>
    <n v="3"/>
    <x v="378"/>
    <d v="1899-12-30T00:01:29"/>
  </r>
  <r>
    <x v="9"/>
    <x v="0"/>
    <n v="35.76"/>
    <x v="0"/>
    <x v="2"/>
    <x v="0"/>
    <x v="0"/>
    <n v="5"/>
    <n v="3"/>
    <x v="378"/>
    <d v="1899-12-30T00:21:17"/>
  </r>
  <r>
    <x v="9"/>
    <x v="0"/>
    <n v="35.76"/>
    <x v="0"/>
    <x v="2"/>
    <x v="0"/>
    <x v="0"/>
    <n v="5"/>
    <n v="3"/>
    <x v="378"/>
    <d v="1899-12-30T00:22:50"/>
  </r>
  <r>
    <x v="5"/>
    <x v="0"/>
    <n v="35.76"/>
    <x v="0"/>
    <x v="2"/>
    <x v="0"/>
    <x v="0"/>
    <n v="5"/>
    <n v="3"/>
    <x v="378"/>
    <d v="1899-12-30T00:52:13"/>
  </r>
  <r>
    <x v="5"/>
    <x v="0"/>
    <n v="25.96"/>
    <x v="2"/>
    <x v="2"/>
    <x v="0"/>
    <x v="0"/>
    <n v="5"/>
    <n v="3"/>
    <x v="378"/>
    <d v="1899-12-30T00:59:24"/>
  </r>
  <r>
    <x v="10"/>
    <x v="0"/>
    <n v="30.86"/>
    <x v="3"/>
    <x v="0"/>
    <x v="1"/>
    <x v="0"/>
    <n v="6"/>
    <n v="3"/>
    <x v="379"/>
    <d v="1899-12-30T00:05:13"/>
  </r>
  <r>
    <x v="0"/>
    <x v="0"/>
    <n v="30.86"/>
    <x v="3"/>
    <x v="0"/>
    <x v="1"/>
    <x v="0"/>
    <n v="6"/>
    <n v="3"/>
    <x v="379"/>
    <d v="1899-12-30T00:30:09"/>
  </r>
  <r>
    <x v="7"/>
    <x v="0"/>
    <n v="35.76"/>
    <x v="1"/>
    <x v="0"/>
    <x v="1"/>
    <x v="0"/>
    <n v="6"/>
    <n v="3"/>
    <x v="379"/>
    <d v="1899-12-30T00:14:06"/>
  </r>
  <r>
    <x v="7"/>
    <x v="0"/>
    <n v="35.76"/>
    <x v="4"/>
    <x v="0"/>
    <x v="1"/>
    <x v="0"/>
    <n v="6"/>
    <n v="3"/>
    <x v="379"/>
    <d v="1899-12-30T00:41:21"/>
  </r>
  <r>
    <x v="1"/>
    <x v="0"/>
    <n v="30.86"/>
    <x v="3"/>
    <x v="1"/>
    <x v="1"/>
    <x v="0"/>
    <n v="6"/>
    <n v="3"/>
    <x v="379"/>
    <d v="1899-12-30T00:18:28"/>
  </r>
  <r>
    <x v="1"/>
    <x v="0"/>
    <n v="25.96"/>
    <x v="2"/>
    <x v="1"/>
    <x v="1"/>
    <x v="0"/>
    <n v="6"/>
    <n v="3"/>
    <x v="379"/>
    <d v="1899-12-30T00:26:00"/>
  </r>
  <r>
    <x v="2"/>
    <x v="0"/>
    <n v="25.96"/>
    <x v="2"/>
    <x v="1"/>
    <x v="1"/>
    <x v="0"/>
    <n v="6"/>
    <n v="3"/>
    <x v="379"/>
    <d v="1899-12-30T00:06:22"/>
  </r>
  <r>
    <x v="2"/>
    <x v="0"/>
    <n v="30.86"/>
    <x v="3"/>
    <x v="1"/>
    <x v="1"/>
    <x v="0"/>
    <n v="6"/>
    <n v="3"/>
    <x v="379"/>
    <d v="1899-12-30T00:23:18"/>
  </r>
  <r>
    <x v="3"/>
    <x v="0"/>
    <n v="21.06"/>
    <x v="6"/>
    <x v="1"/>
    <x v="1"/>
    <x v="0"/>
    <n v="6"/>
    <n v="3"/>
    <x v="379"/>
    <d v="1899-12-30T00:57:58"/>
  </r>
  <r>
    <x v="4"/>
    <x v="0"/>
    <n v="35.76"/>
    <x v="0"/>
    <x v="1"/>
    <x v="1"/>
    <x v="0"/>
    <n v="6"/>
    <n v="3"/>
    <x v="379"/>
    <d v="1899-12-30T00:27:00"/>
  </r>
  <r>
    <x v="9"/>
    <x v="0"/>
    <n v="30.86"/>
    <x v="3"/>
    <x v="2"/>
    <x v="1"/>
    <x v="0"/>
    <n v="6"/>
    <n v="3"/>
    <x v="379"/>
    <d v="1899-12-30T00:53:36"/>
  </r>
  <r>
    <x v="6"/>
    <x v="0"/>
    <n v="30.86"/>
    <x v="3"/>
    <x v="2"/>
    <x v="1"/>
    <x v="0"/>
    <n v="6"/>
    <n v="3"/>
    <x v="379"/>
    <d v="1899-12-30T00:16:53"/>
  </r>
  <r>
    <x v="0"/>
    <x v="0"/>
    <n v="35.76"/>
    <x v="0"/>
    <x v="0"/>
    <x v="2"/>
    <x v="0"/>
    <n v="7"/>
    <n v="3"/>
    <x v="380"/>
    <d v="1899-12-30T00:07:11"/>
  </r>
  <r>
    <x v="0"/>
    <x v="0"/>
    <n v="35.76"/>
    <x v="7"/>
    <x v="0"/>
    <x v="2"/>
    <x v="0"/>
    <n v="7"/>
    <n v="3"/>
    <x v="380"/>
    <d v="1899-12-30T00:34:55"/>
  </r>
  <r>
    <x v="8"/>
    <x v="0"/>
    <n v="35.76"/>
    <x v="4"/>
    <x v="1"/>
    <x v="2"/>
    <x v="0"/>
    <n v="7"/>
    <n v="3"/>
    <x v="380"/>
    <d v="1899-12-30T00:43:37"/>
  </r>
  <r>
    <x v="8"/>
    <x v="0"/>
    <n v="35.76"/>
    <x v="4"/>
    <x v="1"/>
    <x v="2"/>
    <x v="0"/>
    <n v="7"/>
    <n v="3"/>
    <x v="380"/>
    <d v="1899-12-30T00:44:17"/>
  </r>
  <r>
    <x v="3"/>
    <x v="0"/>
    <n v="25.96"/>
    <x v="2"/>
    <x v="1"/>
    <x v="2"/>
    <x v="0"/>
    <n v="7"/>
    <n v="3"/>
    <x v="380"/>
    <d v="1899-12-30T00:47:29"/>
  </r>
  <r>
    <x v="5"/>
    <x v="0"/>
    <n v="35.76"/>
    <x v="0"/>
    <x v="2"/>
    <x v="2"/>
    <x v="0"/>
    <n v="7"/>
    <n v="3"/>
    <x v="380"/>
    <d v="1899-12-30T00:11: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D55C8-2007-4673-AE37-210D03961C9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3:B37" firstHeaderRow="1" firstDataRow="1" firstDataCol="1"/>
  <pivotFields count="14"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F1C9A-ABB7-4FE5-A974-407A2EDC5D9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31" firstHeaderRow="1" firstDataRow="1" firstDataCol="1"/>
  <pivotFields count="14">
    <pivotField axis="axisRow" showAll="0">
      <items count="18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on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39048-3FF6-42AB-87A5-2603F76E9A9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6:B85" firstHeaderRow="1" firstDataRow="1" firstDataCol="1"/>
  <pivotFields count="14">
    <pivotField showAll="0"/>
    <pivotField showAll="0"/>
    <pivotField showAll="0"/>
    <pivotField axis="axisRow"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ffee_name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EEEE7-CFE1-4F17-8CB3-370FD86BDB3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5:B108" firstHeaderRow="1" firstDataRow="1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3"/>
    <field x="12"/>
    <field x="11"/>
    <field x="9"/>
  </rowFields>
  <rowItems count="3">
    <i>
      <x v="1"/>
    </i>
    <i>
      <x v="2"/>
    </i>
    <i t="grand">
      <x/>
    </i>
  </rowItems>
  <colItems count="1">
    <i/>
  </colItems>
  <dataFields count="1">
    <dataField name="Sum of mon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645B2-A9F3-4D8F-9282-0CB9192B024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0" firstHeaderRow="1" firstDataRow="1" firstDataCol="1"/>
  <pivotFields count="14">
    <pivotField showAll="0"/>
    <pivotField showAll="0"/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87116-3045-45C0-B00A-AEDE66B78FE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2:B50" firstHeaderRow="1" firstDataRow="1" firstDataCol="1"/>
  <pivotFields count="14">
    <pivotField showAll="0"/>
    <pivotField showAll="0"/>
    <pivotField dataField="1"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0D301-0E3A-4FE3-A683-70F35ACEFFD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8:B70" firstHeaderRow="1" firstDataRow="1" firstDataCol="1"/>
  <pivotFields count="14">
    <pivotField showAll="0"/>
    <pivotField axis="axisRow" showAll="0">
      <items count="2">
        <item x="0"/>
        <item t="default"/>
      </items>
    </pivotField>
    <pivotField showAll="0"/>
    <pivotField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coffee_name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F536D-0230-4818-94EE-3135E4972FB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1:B100" firstHeaderRow="1" firstDataRow="1" firstDataCol="1"/>
  <pivotFields count="14">
    <pivotField showAll="0"/>
    <pivotField dataField="1" showAll="0"/>
    <pivotField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ash_typ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4E490-92D9-4EFA-9338-93CC319C9D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4:B149" firstHeaderRow="1" firstDataRow="1" firstDataCol="1"/>
  <pivotFields count="14">
    <pivotField axis="axisRow" showAll="0">
      <items count="18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t="default"/>
      </items>
    </pivotField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0"/>
    <field x="4"/>
  </rowFields>
  <rowItems count="35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 v="2"/>
    </i>
    <i>
      <x v="12"/>
    </i>
    <i r="1">
      <x v="2"/>
    </i>
    <i>
      <x v="13"/>
    </i>
    <i r="1">
      <x v="2"/>
    </i>
    <i>
      <x v="14"/>
    </i>
    <i r="1">
      <x v="2"/>
    </i>
    <i>
      <x v="15"/>
    </i>
    <i r="1">
      <x v="2"/>
    </i>
    <i>
      <x v="16"/>
    </i>
    <i r="1">
      <x v="2"/>
    </i>
    <i t="grand">
      <x/>
    </i>
  </rowItems>
  <colItems count="1">
    <i/>
  </colItems>
  <dataFields count="1">
    <dataField name="Sum of money" fld="2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5F647-5516-4D07-B6E3-64E4691E17B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66" firstHeaderRow="1" firstDataRow="1" firstDataCol="1"/>
  <pivotFields count="14"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e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C5EA6-C0AE-45AB-A5B5-B310CDDC0194}" name="Table1" displayName="Table1" ref="A1:K3548" totalsRowShown="0" headerRowDxfId="24" dataDxfId="23">
  <autoFilter ref="A1:K3548" xr:uid="{A11C5EA6-C0AE-45AB-A5B5-B310CDDC0194}"/>
  <tableColumns count="11">
    <tableColumn id="1" xr3:uid="{90949FAD-AB98-4C35-A2C7-494EE899DDE9}" name="hour_of_day" dataDxfId="22"/>
    <tableColumn id="2" xr3:uid="{452101AD-5DF9-4E42-9E77-5E9250660FDC}" name="cash_type"/>
    <tableColumn id="3" xr3:uid="{78A7D186-4250-452F-B8A7-9330349ADFD8}" name="money" dataDxfId="21"/>
    <tableColumn id="4" xr3:uid="{FE242381-BB08-4F92-8D46-DE7E4629DCDB}" name="coffee_name"/>
    <tableColumn id="5" xr3:uid="{A605C552-8496-479C-8833-9E6D9A03F687}" name="Time_of_Day"/>
    <tableColumn id="6" xr3:uid="{3D88B777-9DCE-4A53-BE71-23BA46C1B661}" name="Weekday" dataDxfId="20"/>
    <tableColumn id="7" xr3:uid="{CBFDEEC0-275D-4D12-BB69-B9D7EAA914AC}" name="Month_name" dataDxfId="19"/>
    <tableColumn id="8" xr3:uid="{ABFAC42A-9778-4CA2-A1D6-07112147B136}" name="Weekdaysort" dataDxfId="18"/>
    <tableColumn id="9" xr3:uid="{C8323009-BEF9-4FCD-B0B6-21762591EDD6}" name="Monthsort" dataDxfId="17"/>
    <tableColumn id="10" xr3:uid="{B876A9E1-8DA9-4C05-A567-8756A84B6B19}" name="Date" dataDxfId="16"/>
    <tableColumn id="11" xr3:uid="{25B04D9A-0F18-42C8-B4AA-43B98F775E1D}" name="Time" dataDxfId="1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D707A-C7ED-432B-AF3D-4FBCBEDEF4C3}" name="Table2" displayName="Table2" ref="A1:B8" totalsRowShown="0">
  <autoFilter ref="A1:B8" xr:uid="{E35D707A-C7ED-432B-AF3D-4FBCBEDEF4C3}"/>
  <tableColumns count="2">
    <tableColumn id="1" xr3:uid="{61442746-D298-48D6-A2AF-1EC78384D965}" name="Column1"/>
    <tableColumn id="2" xr3:uid="{66C5604C-D87B-49B1-8DCA-600FD0AF3F9C}" name="Column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F2B4-F0F9-4CB9-A41D-14536AB71DDF}">
  <dimension ref="A1:Z3548"/>
  <sheetViews>
    <sheetView zoomScale="115" zoomScaleNormal="115" workbookViewId="0">
      <selection activeCell="E27" sqref="A2:K3548"/>
    </sheetView>
  </sheetViews>
  <sheetFormatPr defaultRowHeight="14.4" x14ac:dyDescent="0.3"/>
  <cols>
    <col min="1" max="1" width="12.44140625" style="4" customWidth="1"/>
    <col min="2" max="2" width="10.88671875" customWidth="1"/>
    <col min="3" max="3" width="12.6640625" style="4" customWidth="1"/>
    <col min="4" max="4" width="12.88671875" customWidth="1"/>
    <col min="5" max="5" width="10.21875" style="4" customWidth="1"/>
    <col min="6" max="6" width="13.21875" style="4" customWidth="1"/>
    <col min="7" max="7" width="13.33203125" style="4" customWidth="1"/>
    <col min="8" max="8" width="11" style="4" customWidth="1"/>
    <col min="9" max="9" width="10.33203125" bestFit="1" customWidth="1"/>
    <col min="10" max="10" width="8.109375" bestFit="1" customWidth="1"/>
    <col min="13" max="14" width="8.88671875" style="4"/>
    <col min="15" max="15" width="18.5546875" style="4" customWidth="1"/>
    <col min="16" max="16" width="18.21875" style="4" customWidth="1"/>
    <col min="21" max="21" width="10.44140625" customWidth="1"/>
    <col min="22" max="23" width="11.5546875" customWidth="1"/>
    <col min="24" max="24" width="9.109375" bestFit="1" customWidth="1"/>
    <col min="25" max="25" width="9.109375" customWidth="1"/>
    <col min="26" max="26" width="18.88671875" style="4" customWidth="1"/>
  </cols>
  <sheetData>
    <row r="1" spans="1:26" s="5" customFormat="1" x14ac:dyDescent="0.3">
      <c r="A1" s="6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5" t="s">
        <v>10</v>
      </c>
      <c r="M1" s="6" t="s">
        <v>51</v>
      </c>
      <c r="N1" s="6" t="s">
        <v>54</v>
      </c>
      <c r="O1" s="6" t="s">
        <v>52</v>
      </c>
      <c r="P1" s="6" t="s">
        <v>60</v>
      </c>
      <c r="Q1" s="5" t="s">
        <v>55</v>
      </c>
      <c r="R1" s="5" t="s">
        <v>58</v>
      </c>
      <c r="S1" s="5" t="s">
        <v>56</v>
      </c>
      <c r="T1" s="5" t="s">
        <v>61</v>
      </c>
      <c r="U1" s="5" t="s">
        <v>62</v>
      </c>
      <c r="V1" s="5" t="s">
        <v>63</v>
      </c>
      <c r="X1" s="5" t="s">
        <v>64</v>
      </c>
      <c r="Z1" s="6" t="s">
        <v>65</v>
      </c>
    </row>
    <row r="2" spans="1:26" x14ac:dyDescent="0.3">
      <c r="A2" s="4">
        <v>10</v>
      </c>
      <c r="B2" t="s">
        <v>11</v>
      </c>
      <c r="C2" s="4">
        <v>38.700000000000003</v>
      </c>
      <c r="D2" t="s">
        <v>12</v>
      </c>
      <c r="E2" t="s">
        <v>13</v>
      </c>
      <c r="F2" s="4" t="s">
        <v>14</v>
      </c>
      <c r="G2" s="4" t="s">
        <v>15</v>
      </c>
      <c r="H2" s="4">
        <v>5</v>
      </c>
      <c r="I2" s="4">
        <v>3</v>
      </c>
      <c r="J2" s="1">
        <v>45352</v>
      </c>
      <c r="K2" s="2">
        <v>1.1001157407407407E-2</v>
      </c>
      <c r="M2" s="4" t="str">
        <f>IF(C2&gt;35,"HIGH","LOW")</f>
        <v>HIGH</v>
      </c>
      <c r="N2" s="4" t="str" cm="1">
        <f t="array" ref="N2">_xlfn.IFS(C2&gt;35,"HIGH",C2&gt;25,"MIDDLE",TRUE,"LOW")</f>
        <v>HIGH</v>
      </c>
      <c r="O2" s="4" t="str">
        <f>IF(AND(C2&gt;35,E2="MORNING"),"PREMINUM MORNING","OTHERS")</f>
        <v>PREMINUM MORNING</v>
      </c>
      <c r="P2" s="4" t="str">
        <f>IF(OR(C2&gt;35,E2="MORNING"),"PREMINUM MORNING","OTHERS")</f>
        <v>PREMINUM MORNING</v>
      </c>
      <c r="Q2">
        <f>COUNTIF(G:G,"Mar")</f>
        <v>494</v>
      </c>
      <c r="R2">
        <f>COUNTIFS(B:B,"CARD",F:F,"Fri")</f>
        <v>532</v>
      </c>
      <c r="S2">
        <f>SUMIF(G:G,"Mar",C:C)</f>
        <v>15891.639999999976</v>
      </c>
      <c r="T2">
        <f>SUMIFS(C:C,D:D,"LATTE",G:G,"MAR")</f>
        <v>3392.8200000000088</v>
      </c>
      <c r="U2">
        <f>AVERAGEIF(G:G,"Mar",C:C)</f>
        <v>32.169311740890642</v>
      </c>
      <c r="V2">
        <f>AVERAGEIFS(C:C,D:D,"LATTE",G:G,"Mar")</f>
        <v>36.878478260869663</v>
      </c>
      <c r="X2" t="str">
        <f>VLOOKUP("LATTE",D:E,2,"FALSE")</f>
        <v>Morning</v>
      </c>
      <c r="Z2" s="4" t="str">
        <f>_xlfn.XLOOKUP("LATTE",D:D,P:P)</f>
        <v>PREMINUM MORNING</v>
      </c>
    </row>
    <row r="3" spans="1:26" x14ac:dyDescent="0.3">
      <c r="A3" s="4">
        <v>12</v>
      </c>
      <c r="B3" t="s">
        <v>11</v>
      </c>
      <c r="C3" s="4">
        <v>38.700000000000003</v>
      </c>
      <c r="D3" t="s">
        <v>16</v>
      </c>
      <c r="E3" t="s">
        <v>17</v>
      </c>
      <c r="F3" s="4" t="s">
        <v>14</v>
      </c>
      <c r="G3" s="4" t="s">
        <v>15</v>
      </c>
      <c r="H3" s="4">
        <v>5</v>
      </c>
      <c r="I3" s="4">
        <v>3</v>
      </c>
      <c r="J3" s="1">
        <v>45352</v>
      </c>
      <c r="K3" s="2">
        <v>1.3454861111111112E-2</v>
      </c>
      <c r="M3" s="4" t="str">
        <f t="shared" ref="M3:M66" si="0">IF(C3&gt;35,"HIGH","LOW")</f>
        <v>HIGH</v>
      </c>
      <c r="N3" s="4" t="str" cm="1">
        <f t="array" ref="N3">_xlfn.IFS(C3&gt;35,"HIGH",C3&gt;25,"MIDDLE",TRUE,"LOW")</f>
        <v>HIGH</v>
      </c>
      <c r="O3" s="4" t="str">
        <f t="shared" ref="O3:O66" si="1">IF(AND(C3&gt;35,E3="MORNING"),"PREMINUM MORNING","OTHERS")</f>
        <v>OTHERS</v>
      </c>
      <c r="P3" s="4" t="str">
        <f t="shared" ref="P3:P66" si="2">IF(OR(C3&gt;35,E3="MORNING"),"PREMINUM MORNING","OTHERS")</f>
        <v>PREMINUM MORNING</v>
      </c>
    </row>
    <row r="4" spans="1:26" x14ac:dyDescent="0.3">
      <c r="A4" s="4">
        <v>12</v>
      </c>
      <c r="B4" t="s">
        <v>11</v>
      </c>
      <c r="C4" s="4">
        <v>38.700000000000003</v>
      </c>
      <c r="D4" t="s">
        <v>16</v>
      </c>
      <c r="E4" t="s">
        <v>17</v>
      </c>
      <c r="F4" s="4" t="s">
        <v>14</v>
      </c>
      <c r="G4" s="4" t="s">
        <v>15</v>
      </c>
      <c r="H4" s="4">
        <v>5</v>
      </c>
      <c r="I4" s="4">
        <v>3</v>
      </c>
      <c r="J4" s="1">
        <v>45352</v>
      </c>
      <c r="K4" s="2">
        <v>1.4098379629629629E-2</v>
      </c>
      <c r="M4" s="4" t="str">
        <f t="shared" si="0"/>
        <v>HIGH</v>
      </c>
      <c r="N4" s="4" t="str" cm="1">
        <f t="array" ref="N4">_xlfn.IFS(C4&gt;35,"HIGH",C4&gt;25,"MIDDLE",TRUE,"LOW")</f>
        <v>HIGH</v>
      </c>
      <c r="O4" s="4" t="str">
        <f t="shared" si="1"/>
        <v>OTHERS</v>
      </c>
      <c r="P4" s="4" t="str">
        <f t="shared" si="2"/>
        <v>PREMINUM MORNING</v>
      </c>
    </row>
    <row r="5" spans="1:26" x14ac:dyDescent="0.3">
      <c r="A5" s="4">
        <v>13</v>
      </c>
      <c r="B5" t="s">
        <v>11</v>
      </c>
      <c r="C5" s="4">
        <v>28.9</v>
      </c>
      <c r="D5" t="s">
        <v>18</v>
      </c>
      <c r="E5" t="s">
        <v>17</v>
      </c>
      <c r="F5" s="4" t="s">
        <v>14</v>
      </c>
      <c r="G5" s="4" t="s">
        <v>15</v>
      </c>
      <c r="H5" s="4">
        <v>5</v>
      </c>
      <c r="I5" s="4">
        <v>3</v>
      </c>
      <c r="J5" s="1">
        <v>45352</v>
      </c>
      <c r="K5" s="2">
        <v>3.2326388888888891E-2</v>
      </c>
      <c r="M5" s="4" t="str">
        <f t="shared" si="0"/>
        <v>LOW</v>
      </c>
      <c r="N5" s="4" t="str" cm="1">
        <f t="array" ref="N5">_xlfn.IFS(C5&gt;35,"HIGH",C5&gt;25,"MIDDLE",TRUE,"LOW")</f>
        <v>MIDDLE</v>
      </c>
      <c r="O5" s="4" t="str">
        <f t="shared" si="1"/>
        <v>OTHERS</v>
      </c>
      <c r="P5" s="4" t="str">
        <f t="shared" si="2"/>
        <v>OTHERS</v>
      </c>
    </row>
    <row r="6" spans="1:26" x14ac:dyDescent="0.3">
      <c r="A6" s="4">
        <v>13</v>
      </c>
      <c r="B6" t="s">
        <v>11</v>
      </c>
      <c r="C6" s="4">
        <v>38.700000000000003</v>
      </c>
      <c r="D6" t="s">
        <v>12</v>
      </c>
      <c r="E6" t="s">
        <v>17</v>
      </c>
      <c r="F6" s="4" t="s">
        <v>14</v>
      </c>
      <c r="G6" s="4" t="s">
        <v>15</v>
      </c>
      <c r="H6" s="4">
        <v>5</v>
      </c>
      <c r="I6" s="4">
        <v>3</v>
      </c>
      <c r="J6" s="1">
        <v>45352</v>
      </c>
      <c r="K6" s="2">
        <v>3.3502314814814811E-2</v>
      </c>
      <c r="M6" s="4" t="str">
        <f t="shared" si="0"/>
        <v>HIGH</v>
      </c>
      <c r="N6" s="4" t="str" cm="1">
        <f t="array" ref="N6">_xlfn.IFS(C6&gt;35,"HIGH",C6&gt;25,"MIDDLE",TRUE,"LOW")</f>
        <v>HIGH</v>
      </c>
      <c r="O6" s="4" t="str">
        <f t="shared" si="1"/>
        <v>OTHERS</v>
      </c>
      <c r="P6" s="4" t="str">
        <f t="shared" si="2"/>
        <v>PREMINUM MORNING</v>
      </c>
    </row>
    <row r="7" spans="1:26" x14ac:dyDescent="0.3">
      <c r="A7" s="4">
        <v>15</v>
      </c>
      <c r="B7" t="s">
        <v>11</v>
      </c>
      <c r="C7" s="4">
        <v>33.799999999999997</v>
      </c>
      <c r="D7" t="s">
        <v>19</v>
      </c>
      <c r="E7" t="s">
        <v>17</v>
      </c>
      <c r="F7" s="4" t="s">
        <v>14</v>
      </c>
      <c r="G7" s="4" t="s">
        <v>15</v>
      </c>
      <c r="H7" s="4">
        <v>5</v>
      </c>
      <c r="I7" s="4">
        <v>3</v>
      </c>
      <c r="J7" s="1">
        <v>45352</v>
      </c>
      <c r="K7" s="2">
        <v>2.7635416666666666E-2</v>
      </c>
      <c r="M7" s="4" t="str">
        <f t="shared" si="0"/>
        <v>LOW</v>
      </c>
      <c r="N7" s="4" t="str" cm="1">
        <f t="array" ref="N7">_xlfn.IFS(C7&gt;35,"HIGH",C7&gt;25,"MIDDLE",TRUE,"LOW")</f>
        <v>MIDDLE</v>
      </c>
      <c r="O7" s="4" t="str">
        <f t="shared" si="1"/>
        <v>OTHERS</v>
      </c>
      <c r="P7" s="4" t="str">
        <f t="shared" si="2"/>
        <v>OTHERS</v>
      </c>
    </row>
    <row r="8" spans="1:26" x14ac:dyDescent="0.3">
      <c r="A8" s="4">
        <v>16</v>
      </c>
      <c r="B8" t="s">
        <v>11</v>
      </c>
      <c r="C8" s="4">
        <v>38.700000000000003</v>
      </c>
      <c r="D8" t="s">
        <v>16</v>
      </c>
      <c r="E8" t="s">
        <v>17</v>
      </c>
      <c r="F8" s="4" t="s">
        <v>14</v>
      </c>
      <c r="G8" s="4" t="s">
        <v>15</v>
      </c>
      <c r="H8" s="4">
        <v>5</v>
      </c>
      <c r="I8" s="4">
        <v>3</v>
      </c>
      <c r="J8" s="1">
        <v>45352</v>
      </c>
      <c r="K8" s="2">
        <v>1.3226851851851851E-2</v>
      </c>
      <c r="M8" s="4" t="str">
        <f t="shared" si="0"/>
        <v>HIGH</v>
      </c>
      <c r="N8" s="4" t="str" cm="1">
        <f t="array" ref="N8">_xlfn.IFS(C8&gt;35,"HIGH",C8&gt;25,"MIDDLE",TRUE,"LOW")</f>
        <v>HIGH</v>
      </c>
      <c r="O8" s="4" t="str">
        <f t="shared" si="1"/>
        <v>OTHERS</v>
      </c>
      <c r="P8" s="4" t="str">
        <f t="shared" si="2"/>
        <v>PREMINUM MORNING</v>
      </c>
    </row>
    <row r="9" spans="1:26" x14ac:dyDescent="0.3">
      <c r="A9" s="4">
        <v>18</v>
      </c>
      <c r="B9" t="s">
        <v>11</v>
      </c>
      <c r="C9" s="4">
        <v>33.799999999999997</v>
      </c>
      <c r="D9" t="s">
        <v>19</v>
      </c>
      <c r="E9" t="s">
        <v>20</v>
      </c>
      <c r="F9" s="4" t="s">
        <v>14</v>
      </c>
      <c r="G9" s="4" t="s">
        <v>15</v>
      </c>
      <c r="H9" s="4">
        <v>5</v>
      </c>
      <c r="I9" s="4">
        <v>3</v>
      </c>
      <c r="J9" s="1">
        <v>45352</v>
      </c>
      <c r="K9" s="2">
        <v>2.7125E-2</v>
      </c>
      <c r="M9" s="4" t="str">
        <f t="shared" si="0"/>
        <v>LOW</v>
      </c>
      <c r="N9" s="4" t="str" cm="1">
        <f t="array" ref="N9">_xlfn.IFS(C9&gt;35,"HIGH",C9&gt;25,"MIDDLE",TRUE,"LOW")</f>
        <v>MIDDLE</v>
      </c>
      <c r="O9" s="4" t="str">
        <f t="shared" si="1"/>
        <v>OTHERS</v>
      </c>
      <c r="P9" s="4" t="str">
        <f t="shared" si="2"/>
        <v>OTHERS</v>
      </c>
    </row>
    <row r="10" spans="1:26" x14ac:dyDescent="0.3">
      <c r="A10" s="4">
        <v>19</v>
      </c>
      <c r="B10" t="s">
        <v>11</v>
      </c>
      <c r="C10" s="4">
        <v>38.700000000000003</v>
      </c>
      <c r="D10" t="s">
        <v>21</v>
      </c>
      <c r="E10" t="s">
        <v>20</v>
      </c>
      <c r="F10" s="4" t="s">
        <v>14</v>
      </c>
      <c r="G10" s="4" t="s">
        <v>15</v>
      </c>
      <c r="H10" s="4">
        <v>5</v>
      </c>
      <c r="I10" s="4">
        <v>3</v>
      </c>
      <c r="J10" s="1">
        <v>45352</v>
      </c>
      <c r="K10" s="2">
        <v>1.529861111111111E-2</v>
      </c>
      <c r="M10" s="4" t="str">
        <f t="shared" si="0"/>
        <v>HIGH</v>
      </c>
      <c r="N10" s="4" t="str" cm="1">
        <f t="array" ref="N10">_xlfn.IFS(C10&gt;35,"HIGH",C10&gt;25,"MIDDLE",TRUE,"LOW")</f>
        <v>HIGH</v>
      </c>
      <c r="O10" s="4" t="str">
        <f t="shared" si="1"/>
        <v>OTHERS</v>
      </c>
      <c r="P10" s="4" t="str">
        <f t="shared" si="2"/>
        <v>PREMINUM MORNING</v>
      </c>
    </row>
    <row r="11" spans="1:26" x14ac:dyDescent="0.3">
      <c r="A11" s="4">
        <v>19</v>
      </c>
      <c r="B11" t="s">
        <v>11</v>
      </c>
      <c r="C11" s="4">
        <v>33.799999999999997</v>
      </c>
      <c r="D11" t="s">
        <v>19</v>
      </c>
      <c r="E11" t="s">
        <v>20</v>
      </c>
      <c r="F11" s="4" t="s">
        <v>14</v>
      </c>
      <c r="G11" s="4" t="s">
        <v>15</v>
      </c>
      <c r="H11" s="4">
        <v>5</v>
      </c>
      <c r="I11" s="4">
        <v>3</v>
      </c>
      <c r="J11" s="1">
        <v>45352</v>
      </c>
      <c r="K11" s="2">
        <v>1.615625E-2</v>
      </c>
      <c r="M11" s="4" t="str">
        <f t="shared" si="0"/>
        <v>LOW</v>
      </c>
      <c r="N11" s="4" t="str" cm="1">
        <f t="array" ref="N11">_xlfn.IFS(C11&gt;35,"HIGH",C11&gt;25,"MIDDLE",TRUE,"LOW")</f>
        <v>MIDDLE</v>
      </c>
      <c r="O11" s="4" t="str">
        <f t="shared" si="1"/>
        <v>OTHERS</v>
      </c>
      <c r="P11" s="4" t="str">
        <f t="shared" si="2"/>
        <v>OTHERS</v>
      </c>
    </row>
    <row r="12" spans="1:26" x14ac:dyDescent="0.3">
      <c r="A12" s="4">
        <v>19</v>
      </c>
      <c r="B12" t="s">
        <v>11</v>
      </c>
      <c r="C12" s="4">
        <v>33.799999999999997</v>
      </c>
      <c r="D12" t="s">
        <v>19</v>
      </c>
      <c r="E12" t="s">
        <v>20</v>
      </c>
      <c r="F12" s="4" t="s">
        <v>14</v>
      </c>
      <c r="G12" s="4" t="s">
        <v>15</v>
      </c>
      <c r="H12" s="4">
        <v>5</v>
      </c>
      <c r="I12" s="4">
        <v>3</v>
      </c>
      <c r="J12" s="1">
        <v>45352</v>
      </c>
      <c r="K12" s="2">
        <v>2.034027777777778E-2</v>
      </c>
      <c r="M12" s="4" t="str">
        <f t="shared" si="0"/>
        <v>LOW</v>
      </c>
      <c r="N12" s="4" t="str" cm="1">
        <f t="array" ref="N12">_xlfn.IFS(C12&gt;35,"HIGH",C12&gt;25,"MIDDLE",TRUE,"LOW")</f>
        <v>MIDDLE</v>
      </c>
      <c r="O12" s="4" t="str">
        <f t="shared" si="1"/>
        <v>OTHERS</v>
      </c>
      <c r="P12" s="4" t="str">
        <f t="shared" si="2"/>
        <v>OTHERS</v>
      </c>
    </row>
    <row r="13" spans="1:26" x14ac:dyDescent="0.3">
      <c r="A13" s="4">
        <v>10</v>
      </c>
      <c r="B13" t="s">
        <v>11</v>
      </c>
      <c r="C13" s="4">
        <v>28.9</v>
      </c>
      <c r="D13" t="s">
        <v>18</v>
      </c>
      <c r="E13" t="s">
        <v>13</v>
      </c>
      <c r="F13" s="4" t="s">
        <v>22</v>
      </c>
      <c r="G13" s="4" t="s">
        <v>15</v>
      </c>
      <c r="H13" s="4">
        <v>6</v>
      </c>
      <c r="I13" s="4">
        <v>3</v>
      </c>
      <c r="J13" s="1">
        <v>45353</v>
      </c>
      <c r="K13" s="2">
        <v>1.5358796296296296E-2</v>
      </c>
      <c r="M13" s="4" t="str">
        <f t="shared" si="0"/>
        <v>LOW</v>
      </c>
      <c r="N13" s="4" t="str" cm="1">
        <f t="array" ref="N13">_xlfn.IFS(C13&gt;35,"HIGH",C13&gt;25,"MIDDLE",TRUE,"LOW")</f>
        <v>MIDDLE</v>
      </c>
      <c r="O13" s="4" t="str">
        <f t="shared" si="1"/>
        <v>OTHERS</v>
      </c>
      <c r="P13" s="4" t="str">
        <f t="shared" si="2"/>
        <v>PREMINUM MORNING</v>
      </c>
    </row>
    <row r="14" spans="1:26" x14ac:dyDescent="0.3">
      <c r="A14" s="4">
        <v>10</v>
      </c>
      <c r="B14" t="s">
        <v>11</v>
      </c>
      <c r="C14" s="4">
        <v>33.799999999999997</v>
      </c>
      <c r="D14" t="s">
        <v>19</v>
      </c>
      <c r="E14" t="s">
        <v>13</v>
      </c>
      <c r="F14" s="4" t="s">
        <v>22</v>
      </c>
      <c r="G14" s="4" t="s">
        <v>15</v>
      </c>
      <c r="H14" s="4">
        <v>6</v>
      </c>
      <c r="I14" s="4">
        <v>3</v>
      </c>
      <c r="J14" s="1">
        <v>45353</v>
      </c>
      <c r="K14" s="2">
        <v>2.8949074074074072E-2</v>
      </c>
      <c r="M14" s="4" t="str">
        <f t="shared" si="0"/>
        <v>LOW</v>
      </c>
      <c r="N14" s="4" t="str" cm="1">
        <f t="array" ref="N14">_xlfn.IFS(C14&gt;35,"HIGH",C14&gt;25,"MIDDLE",TRUE,"LOW")</f>
        <v>MIDDLE</v>
      </c>
      <c r="O14" s="4" t="str">
        <f t="shared" si="1"/>
        <v>OTHERS</v>
      </c>
      <c r="P14" s="4" t="str">
        <f t="shared" si="2"/>
        <v>PREMINUM MORNING</v>
      </c>
    </row>
    <row r="15" spans="1:26" x14ac:dyDescent="0.3">
      <c r="A15" s="4">
        <v>11</v>
      </c>
      <c r="B15" t="s">
        <v>11</v>
      </c>
      <c r="C15" s="4">
        <v>33.799999999999997</v>
      </c>
      <c r="D15" t="s">
        <v>19</v>
      </c>
      <c r="E15" t="s">
        <v>13</v>
      </c>
      <c r="F15" s="4" t="s">
        <v>22</v>
      </c>
      <c r="G15" s="4" t="s">
        <v>15</v>
      </c>
      <c r="H15" s="4">
        <v>6</v>
      </c>
      <c r="I15" s="4">
        <v>3</v>
      </c>
      <c r="J15" s="1">
        <v>45353</v>
      </c>
      <c r="K15" s="2">
        <v>4.1498842592592594E-2</v>
      </c>
      <c r="M15" s="4" t="str">
        <f t="shared" si="0"/>
        <v>LOW</v>
      </c>
      <c r="N15" s="4" t="str" cm="1">
        <f t="array" ref="N15">_xlfn.IFS(C15&gt;35,"HIGH",C15&gt;25,"MIDDLE",TRUE,"LOW")</f>
        <v>MIDDLE</v>
      </c>
      <c r="O15" s="4" t="str">
        <f t="shared" si="1"/>
        <v>OTHERS</v>
      </c>
      <c r="P15" s="4" t="str">
        <f t="shared" si="2"/>
        <v>PREMINUM MORNING</v>
      </c>
    </row>
    <row r="16" spans="1:26" x14ac:dyDescent="0.3">
      <c r="A16" s="4">
        <v>14</v>
      </c>
      <c r="B16" t="s">
        <v>11</v>
      </c>
      <c r="C16" s="4">
        <v>28.9</v>
      </c>
      <c r="D16" t="s">
        <v>18</v>
      </c>
      <c r="E16" t="s">
        <v>17</v>
      </c>
      <c r="F16" s="4" t="s">
        <v>22</v>
      </c>
      <c r="G16" s="4" t="s">
        <v>15</v>
      </c>
      <c r="H16" s="4">
        <v>6</v>
      </c>
      <c r="I16" s="4">
        <v>3</v>
      </c>
      <c r="J16" s="1">
        <v>45353</v>
      </c>
      <c r="K16" s="2">
        <v>2.6799768518518518E-2</v>
      </c>
      <c r="M16" s="4" t="str">
        <f t="shared" si="0"/>
        <v>LOW</v>
      </c>
      <c r="N16" s="4" t="str" cm="1">
        <f t="array" ref="N16">_xlfn.IFS(C16&gt;35,"HIGH",C16&gt;25,"MIDDLE",TRUE,"LOW")</f>
        <v>MIDDLE</v>
      </c>
      <c r="O16" s="4" t="str">
        <f t="shared" si="1"/>
        <v>OTHERS</v>
      </c>
      <c r="P16" s="4" t="str">
        <f t="shared" si="2"/>
        <v>OTHERS</v>
      </c>
    </row>
    <row r="17" spans="1:16" x14ac:dyDescent="0.3">
      <c r="A17" s="4">
        <v>16</v>
      </c>
      <c r="B17" t="s">
        <v>11</v>
      </c>
      <c r="C17" s="4">
        <v>33.799999999999997</v>
      </c>
      <c r="D17" t="s">
        <v>19</v>
      </c>
      <c r="E17" t="s">
        <v>17</v>
      </c>
      <c r="F17" s="4" t="s">
        <v>22</v>
      </c>
      <c r="G17" s="4" t="s">
        <v>15</v>
      </c>
      <c r="H17" s="4">
        <v>6</v>
      </c>
      <c r="I17" s="4">
        <v>3</v>
      </c>
      <c r="J17" s="1">
        <v>45353</v>
      </c>
      <c r="K17" s="2">
        <v>2.597800925925926E-2</v>
      </c>
      <c r="M17" s="4" t="str">
        <f t="shared" si="0"/>
        <v>LOW</v>
      </c>
      <c r="N17" s="4" t="str" cm="1">
        <f t="array" ref="N17">_xlfn.IFS(C17&gt;35,"HIGH",C17&gt;25,"MIDDLE",TRUE,"LOW")</f>
        <v>MIDDLE</v>
      </c>
      <c r="O17" s="4" t="str">
        <f t="shared" si="1"/>
        <v>OTHERS</v>
      </c>
      <c r="P17" s="4" t="str">
        <f t="shared" si="2"/>
        <v>OTHERS</v>
      </c>
    </row>
    <row r="18" spans="1:16" x14ac:dyDescent="0.3">
      <c r="A18" s="4">
        <v>17</v>
      </c>
      <c r="B18" t="s">
        <v>11</v>
      </c>
      <c r="C18" s="4">
        <v>28.9</v>
      </c>
      <c r="D18" t="s">
        <v>18</v>
      </c>
      <c r="E18" t="s">
        <v>20</v>
      </c>
      <c r="F18" s="4" t="s">
        <v>22</v>
      </c>
      <c r="G18" s="4" t="s">
        <v>15</v>
      </c>
      <c r="H18" s="4">
        <v>6</v>
      </c>
      <c r="I18" s="4">
        <v>3</v>
      </c>
      <c r="J18" s="1">
        <v>45353</v>
      </c>
      <c r="K18" s="2">
        <v>2.4247685185185185E-2</v>
      </c>
      <c r="M18" s="4" t="str">
        <f t="shared" si="0"/>
        <v>LOW</v>
      </c>
      <c r="N18" s="4" t="str" cm="1">
        <f t="array" ref="N18">_xlfn.IFS(C18&gt;35,"HIGH",C18&gt;25,"MIDDLE",TRUE,"LOW")</f>
        <v>MIDDLE</v>
      </c>
      <c r="O18" s="4" t="str">
        <f t="shared" si="1"/>
        <v>OTHERS</v>
      </c>
      <c r="P18" s="4" t="str">
        <f t="shared" si="2"/>
        <v>OTHERS</v>
      </c>
    </row>
    <row r="19" spans="1:16" x14ac:dyDescent="0.3">
      <c r="A19" s="4">
        <v>10</v>
      </c>
      <c r="B19" t="s">
        <v>11</v>
      </c>
      <c r="C19" s="4">
        <v>38.700000000000003</v>
      </c>
      <c r="D19" t="s">
        <v>12</v>
      </c>
      <c r="E19" t="s">
        <v>13</v>
      </c>
      <c r="F19" s="4" t="s">
        <v>23</v>
      </c>
      <c r="G19" s="4" t="s">
        <v>15</v>
      </c>
      <c r="H19" s="4">
        <v>7</v>
      </c>
      <c r="I19" s="4">
        <v>3</v>
      </c>
      <c r="J19" s="1">
        <v>45354</v>
      </c>
      <c r="K19" s="2">
        <v>1.8965277777777775E-2</v>
      </c>
      <c r="M19" s="4" t="str">
        <f t="shared" si="0"/>
        <v>HIGH</v>
      </c>
      <c r="N19" s="4" t="str" cm="1">
        <f t="array" ref="N19">_xlfn.IFS(C19&gt;35,"HIGH",C19&gt;25,"MIDDLE",TRUE,"LOW")</f>
        <v>HIGH</v>
      </c>
      <c r="O19" s="4" t="str">
        <f t="shared" si="1"/>
        <v>PREMINUM MORNING</v>
      </c>
      <c r="P19" s="4" t="str">
        <f t="shared" si="2"/>
        <v>PREMINUM MORNING</v>
      </c>
    </row>
    <row r="20" spans="1:16" x14ac:dyDescent="0.3">
      <c r="A20" s="4">
        <v>11</v>
      </c>
      <c r="B20" t="s">
        <v>11</v>
      </c>
      <c r="C20" s="4">
        <v>28.9</v>
      </c>
      <c r="D20" t="s">
        <v>24</v>
      </c>
      <c r="E20" t="s">
        <v>13</v>
      </c>
      <c r="F20" s="4" t="s">
        <v>23</v>
      </c>
      <c r="G20" s="4" t="s">
        <v>15</v>
      </c>
      <c r="H20" s="4">
        <v>7</v>
      </c>
      <c r="I20" s="4">
        <v>3</v>
      </c>
      <c r="J20" s="1">
        <v>45354</v>
      </c>
      <c r="K20" s="2">
        <v>2.3565972222222221E-2</v>
      </c>
      <c r="M20" s="4" t="str">
        <f t="shared" si="0"/>
        <v>LOW</v>
      </c>
      <c r="N20" s="4" t="str" cm="1">
        <f t="array" ref="N20">_xlfn.IFS(C20&gt;35,"HIGH",C20&gt;25,"MIDDLE",TRUE,"LOW")</f>
        <v>MIDDLE</v>
      </c>
      <c r="O20" s="4" t="str">
        <f t="shared" si="1"/>
        <v>OTHERS</v>
      </c>
      <c r="P20" s="4" t="str">
        <f t="shared" si="2"/>
        <v>PREMINUM MORNING</v>
      </c>
    </row>
    <row r="21" spans="1:16" x14ac:dyDescent="0.3">
      <c r="A21" s="4">
        <v>12</v>
      </c>
      <c r="B21" t="s">
        <v>11</v>
      </c>
      <c r="C21" s="4">
        <v>28.9</v>
      </c>
      <c r="D21" t="s">
        <v>18</v>
      </c>
      <c r="E21" t="s">
        <v>17</v>
      </c>
      <c r="F21" s="4" t="s">
        <v>23</v>
      </c>
      <c r="G21" s="4" t="s">
        <v>15</v>
      </c>
      <c r="H21" s="4">
        <v>7</v>
      </c>
      <c r="I21" s="4">
        <v>3</v>
      </c>
      <c r="J21" s="1">
        <v>45354</v>
      </c>
      <c r="K21" s="2">
        <v>1.870486111111111E-2</v>
      </c>
      <c r="M21" s="4" t="str">
        <f t="shared" si="0"/>
        <v>LOW</v>
      </c>
      <c r="N21" s="4" t="str" cm="1">
        <f t="array" ref="N21">_xlfn.IFS(C21&gt;35,"HIGH",C21&gt;25,"MIDDLE",TRUE,"LOW")</f>
        <v>MIDDLE</v>
      </c>
      <c r="O21" s="4" t="str">
        <f t="shared" si="1"/>
        <v>OTHERS</v>
      </c>
      <c r="P21" s="4" t="str">
        <f t="shared" si="2"/>
        <v>OTHERS</v>
      </c>
    </row>
    <row r="22" spans="1:16" x14ac:dyDescent="0.3">
      <c r="A22" s="4">
        <v>13</v>
      </c>
      <c r="B22" t="s">
        <v>11</v>
      </c>
      <c r="C22" s="4">
        <v>38.700000000000003</v>
      </c>
      <c r="D22" t="s">
        <v>16</v>
      </c>
      <c r="E22" t="s">
        <v>17</v>
      </c>
      <c r="F22" s="4" t="s">
        <v>23</v>
      </c>
      <c r="G22" s="4" t="s">
        <v>15</v>
      </c>
      <c r="H22" s="4">
        <v>7</v>
      </c>
      <c r="I22" s="4">
        <v>3</v>
      </c>
      <c r="J22" s="1">
        <v>45354</v>
      </c>
      <c r="K22" s="2">
        <v>6.6701388888888886E-3</v>
      </c>
      <c r="M22" s="4" t="str">
        <f t="shared" si="0"/>
        <v>HIGH</v>
      </c>
      <c r="N22" s="4" t="str" cm="1">
        <f t="array" ref="N22">_xlfn.IFS(C22&gt;35,"HIGH",C22&gt;25,"MIDDLE",TRUE,"LOW")</f>
        <v>HIGH</v>
      </c>
      <c r="O22" s="4" t="str">
        <f t="shared" si="1"/>
        <v>OTHERS</v>
      </c>
      <c r="P22" s="4" t="str">
        <f t="shared" si="2"/>
        <v>PREMINUM MORNING</v>
      </c>
    </row>
    <row r="23" spans="1:16" x14ac:dyDescent="0.3">
      <c r="A23" s="4">
        <v>17</v>
      </c>
      <c r="B23" t="s">
        <v>11</v>
      </c>
      <c r="C23" s="4">
        <v>38.700000000000003</v>
      </c>
      <c r="D23" t="s">
        <v>21</v>
      </c>
      <c r="E23" t="s">
        <v>20</v>
      </c>
      <c r="F23" s="4" t="s">
        <v>23</v>
      </c>
      <c r="G23" s="4" t="s">
        <v>15</v>
      </c>
      <c r="H23" s="4">
        <v>7</v>
      </c>
      <c r="I23" s="4">
        <v>3</v>
      </c>
      <c r="J23" s="1">
        <v>45354</v>
      </c>
      <c r="K23" s="2">
        <v>4.6331018518518518E-3</v>
      </c>
      <c r="M23" s="4" t="str">
        <f t="shared" si="0"/>
        <v>HIGH</v>
      </c>
      <c r="N23" s="4" t="str" cm="1">
        <f t="array" ref="N23">_xlfn.IFS(C23&gt;35,"HIGH",C23&gt;25,"MIDDLE",TRUE,"LOW")</f>
        <v>HIGH</v>
      </c>
      <c r="O23" s="4" t="str">
        <f t="shared" si="1"/>
        <v>OTHERS</v>
      </c>
      <c r="P23" s="4" t="str">
        <f t="shared" si="2"/>
        <v>PREMINUM MORNING</v>
      </c>
    </row>
    <row r="24" spans="1:16" x14ac:dyDescent="0.3">
      <c r="A24" s="4">
        <v>17</v>
      </c>
      <c r="B24" t="s">
        <v>11</v>
      </c>
      <c r="C24" s="4">
        <v>28.9</v>
      </c>
      <c r="D24" t="s">
        <v>24</v>
      </c>
      <c r="E24" t="s">
        <v>20</v>
      </c>
      <c r="F24" s="4" t="s">
        <v>23</v>
      </c>
      <c r="G24" s="4" t="s">
        <v>15</v>
      </c>
      <c r="H24" s="4">
        <v>7</v>
      </c>
      <c r="I24" s="4">
        <v>3</v>
      </c>
      <c r="J24" s="1">
        <v>45354</v>
      </c>
      <c r="K24" s="2">
        <v>6.0868055555555554E-3</v>
      </c>
      <c r="M24" s="4" t="str">
        <f t="shared" si="0"/>
        <v>LOW</v>
      </c>
      <c r="N24" s="4" t="str" cm="1">
        <f t="array" ref="N24">_xlfn.IFS(C24&gt;35,"HIGH",C24&gt;25,"MIDDLE",TRUE,"LOW")</f>
        <v>MIDDLE</v>
      </c>
      <c r="O24" s="4" t="str">
        <f t="shared" si="1"/>
        <v>OTHERS</v>
      </c>
      <c r="P24" s="4" t="str">
        <f t="shared" si="2"/>
        <v>OTHERS</v>
      </c>
    </row>
    <row r="25" spans="1:16" x14ac:dyDescent="0.3">
      <c r="A25" s="4">
        <v>18</v>
      </c>
      <c r="B25" t="s">
        <v>11</v>
      </c>
      <c r="C25" s="4">
        <v>33.799999999999997</v>
      </c>
      <c r="D25" t="s">
        <v>19</v>
      </c>
      <c r="E25" t="s">
        <v>20</v>
      </c>
      <c r="F25" s="4" t="s">
        <v>23</v>
      </c>
      <c r="G25" s="4" t="s">
        <v>15</v>
      </c>
      <c r="H25" s="4">
        <v>7</v>
      </c>
      <c r="I25" s="4">
        <v>3</v>
      </c>
      <c r="J25" s="1">
        <v>45354</v>
      </c>
      <c r="K25" s="2">
        <v>2.3541666666666667E-3</v>
      </c>
      <c r="M25" s="4" t="str">
        <f t="shared" si="0"/>
        <v>LOW</v>
      </c>
      <c r="N25" s="4" t="str" cm="1">
        <f t="array" ref="N25">_xlfn.IFS(C25&gt;35,"HIGH",C25&gt;25,"MIDDLE",TRUE,"LOW")</f>
        <v>MIDDLE</v>
      </c>
      <c r="O25" s="4" t="str">
        <f t="shared" si="1"/>
        <v>OTHERS</v>
      </c>
      <c r="P25" s="4" t="str">
        <f t="shared" si="2"/>
        <v>OTHERS</v>
      </c>
    </row>
    <row r="26" spans="1:16" x14ac:dyDescent="0.3">
      <c r="A26" s="4">
        <v>18</v>
      </c>
      <c r="B26" t="s">
        <v>11</v>
      </c>
      <c r="C26" s="4">
        <v>33.799999999999997</v>
      </c>
      <c r="D26" t="s">
        <v>19</v>
      </c>
      <c r="E26" t="s">
        <v>20</v>
      </c>
      <c r="F26" s="4" t="s">
        <v>23</v>
      </c>
      <c r="G26" s="4" t="s">
        <v>15</v>
      </c>
      <c r="H26" s="4">
        <v>7</v>
      </c>
      <c r="I26" s="4">
        <v>3</v>
      </c>
      <c r="J26" s="1">
        <v>45354</v>
      </c>
      <c r="K26" s="2">
        <v>3.1006944444444441E-3</v>
      </c>
      <c r="M26" s="4" t="str">
        <f t="shared" si="0"/>
        <v>LOW</v>
      </c>
      <c r="N26" s="4" t="str" cm="1">
        <f t="array" ref="N26">_xlfn.IFS(C26&gt;35,"HIGH",C26&gt;25,"MIDDLE",TRUE,"LOW")</f>
        <v>MIDDLE</v>
      </c>
      <c r="O26" s="4" t="str">
        <f t="shared" si="1"/>
        <v>OTHERS</v>
      </c>
      <c r="P26" s="4" t="str">
        <f t="shared" si="2"/>
        <v>OTHERS</v>
      </c>
    </row>
    <row r="27" spans="1:16" x14ac:dyDescent="0.3">
      <c r="A27" s="4">
        <v>18</v>
      </c>
      <c r="B27" t="s">
        <v>11</v>
      </c>
      <c r="C27" s="4">
        <v>38.700000000000003</v>
      </c>
      <c r="D27" t="s">
        <v>16</v>
      </c>
      <c r="E27" t="s">
        <v>20</v>
      </c>
      <c r="F27" s="4" t="s">
        <v>23</v>
      </c>
      <c r="G27" s="4" t="s">
        <v>15</v>
      </c>
      <c r="H27" s="4">
        <v>7</v>
      </c>
      <c r="I27" s="4">
        <v>3</v>
      </c>
      <c r="J27" s="1">
        <v>45354</v>
      </c>
      <c r="K27" s="2">
        <v>5.6134259259259262E-3</v>
      </c>
      <c r="M27" s="4" t="str">
        <f t="shared" si="0"/>
        <v>HIGH</v>
      </c>
      <c r="N27" s="4" t="str" cm="1">
        <f t="array" ref="N27">_xlfn.IFS(C27&gt;35,"HIGH",C27&gt;25,"MIDDLE",TRUE,"LOW")</f>
        <v>HIGH</v>
      </c>
      <c r="O27" s="4" t="str">
        <f t="shared" si="1"/>
        <v>OTHERS</v>
      </c>
      <c r="P27" s="4" t="str">
        <f t="shared" si="2"/>
        <v>PREMINUM MORNING</v>
      </c>
    </row>
    <row r="28" spans="1:16" x14ac:dyDescent="0.3">
      <c r="A28" s="4">
        <v>10</v>
      </c>
      <c r="B28" t="s">
        <v>11</v>
      </c>
      <c r="C28" s="4">
        <v>38.700000000000003</v>
      </c>
      <c r="D28" t="s">
        <v>12</v>
      </c>
      <c r="E28" t="s">
        <v>13</v>
      </c>
      <c r="F28" s="4" t="s">
        <v>25</v>
      </c>
      <c r="G28" s="4" t="s">
        <v>15</v>
      </c>
      <c r="H28" s="4">
        <v>1</v>
      </c>
      <c r="I28" s="4">
        <v>3</v>
      </c>
      <c r="J28" s="1">
        <v>45355</v>
      </c>
      <c r="K28" s="2">
        <v>2.685185185185185E-3</v>
      </c>
      <c r="M28" s="4" t="str">
        <f t="shared" si="0"/>
        <v>HIGH</v>
      </c>
      <c r="N28" s="4" t="str" cm="1">
        <f t="array" ref="N28">_xlfn.IFS(C28&gt;35,"HIGH",C28&gt;25,"MIDDLE",TRUE,"LOW")</f>
        <v>HIGH</v>
      </c>
      <c r="O28" s="4" t="str">
        <f t="shared" si="1"/>
        <v>PREMINUM MORNING</v>
      </c>
      <c r="P28" s="4" t="str">
        <f t="shared" si="2"/>
        <v>PREMINUM MORNING</v>
      </c>
    </row>
    <row r="29" spans="1:16" x14ac:dyDescent="0.3">
      <c r="A29" s="4">
        <v>10</v>
      </c>
      <c r="B29" t="s">
        <v>11</v>
      </c>
      <c r="C29" s="4">
        <v>38.700000000000003</v>
      </c>
      <c r="D29" t="s">
        <v>12</v>
      </c>
      <c r="E29" t="s">
        <v>13</v>
      </c>
      <c r="F29" s="4" t="s">
        <v>25</v>
      </c>
      <c r="G29" s="4" t="s">
        <v>15</v>
      </c>
      <c r="H29" s="4">
        <v>1</v>
      </c>
      <c r="I29" s="4">
        <v>3</v>
      </c>
      <c r="J29" s="1">
        <v>45355</v>
      </c>
      <c r="K29" s="2">
        <v>3.8090277777777778E-2</v>
      </c>
      <c r="M29" s="4" t="str">
        <f t="shared" si="0"/>
        <v>HIGH</v>
      </c>
      <c r="N29" s="4" t="str" cm="1">
        <f t="array" ref="N29">_xlfn.IFS(C29&gt;35,"HIGH",C29&gt;25,"MIDDLE",TRUE,"LOW")</f>
        <v>HIGH</v>
      </c>
      <c r="O29" s="4" t="str">
        <f t="shared" si="1"/>
        <v>PREMINUM MORNING</v>
      </c>
      <c r="P29" s="4" t="str">
        <f t="shared" si="2"/>
        <v>PREMINUM MORNING</v>
      </c>
    </row>
    <row r="30" spans="1:16" x14ac:dyDescent="0.3">
      <c r="A30" s="4">
        <v>11</v>
      </c>
      <c r="B30" t="s">
        <v>11</v>
      </c>
      <c r="C30" s="4">
        <v>33.799999999999997</v>
      </c>
      <c r="D30" t="s">
        <v>19</v>
      </c>
      <c r="E30" t="s">
        <v>13</v>
      </c>
      <c r="F30" s="4" t="s">
        <v>25</v>
      </c>
      <c r="G30" s="4" t="s">
        <v>15</v>
      </c>
      <c r="H30" s="4">
        <v>1</v>
      </c>
      <c r="I30" s="4">
        <v>3</v>
      </c>
      <c r="J30" s="1">
        <v>45355</v>
      </c>
      <c r="K30" s="2">
        <v>3.6597222222222222E-3</v>
      </c>
      <c r="M30" s="4" t="str">
        <f t="shared" si="0"/>
        <v>LOW</v>
      </c>
      <c r="N30" s="4" t="str" cm="1">
        <f t="array" ref="N30">_xlfn.IFS(C30&gt;35,"HIGH",C30&gt;25,"MIDDLE",TRUE,"LOW")</f>
        <v>MIDDLE</v>
      </c>
      <c r="O30" s="4" t="str">
        <f t="shared" si="1"/>
        <v>OTHERS</v>
      </c>
      <c r="P30" s="4" t="str">
        <f t="shared" si="2"/>
        <v>PREMINUM MORNING</v>
      </c>
    </row>
    <row r="31" spans="1:16" x14ac:dyDescent="0.3">
      <c r="A31" s="4">
        <v>14</v>
      </c>
      <c r="B31" t="s">
        <v>11</v>
      </c>
      <c r="C31" s="4">
        <v>24</v>
      </c>
      <c r="D31" t="s">
        <v>26</v>
      </c>
      <c r="E31" t="s">
        <v>17</v>
      </c>
      <c r="F31" s="4" t="s">
        <v>25</v>
      </c>
      <c r="G31" s="4" t="s">
        <v>15</v>
      </c>
      <c r="H31" s="4">
        <v>1</v>
      </c>
      <c r="I31" s="4">
        <v>3</v>
      </c>
      <c r="J31" s="1">
        <v>45355</v>
      </c>
      <c r="K31" s="2">
        <v>3.2141203703703702E-3</v>
      </c>
      <c r="M31" s="4" t="str">
        <f t="shared" si="0"/>
        <v>LOW</v>
      </c>
      <c r="N31" s="4" t="str" cm="1">
        <f t="array" ref="N31">_xlfn.IFS(C31&gt;35,"HIGH",C31&gt;25,"MIDDLE",TRUE,"LOW")</f>
        <v>LOW</v>
      </c>
      <c r="O31" s="4" t="str">
        <f t="shared" si="1"/>
        <v>OTHERS</v>
      </c>
      <c r="P31" s="4" t="str">
        <f t="shared" si="2"/>
        <v>OTHERS</v>
      </c>
    </row>
    <row r="32" spans="1:16" x14ac:dyDescent="0.3">
      <c r="A32" s="4">
        <v>9</v>
      </c>
      <c r="B32" t="s">
        <v>11</v>
      </c>
      <c r="C32" s="4">
        <v>38.700000000000003</v>
      </c>
      <c r="D32" t="s">
        <v>12</v>
      </c>
      <c r="E32" t="s">
        <v>13</v>
      </c>
      <c r="F32" s="4" t="s">
        <v>27</v>
      </c>
      <c r="G32" s="4" t="s">
        <v>15</v>
      </c>
      <c r="H32" s="4">
        <v>2</v>
      </c>
      <c r="I32" s="4">
        <v>3</v>
      </c>
      <c r="J32" s="1">
        <v>45356</v>
      </c>
      <c r="K32" s="2">
        <v>4.1582175925925925E-2</v>
      </c>
      <c r="M32" s="4" t="str">
        <f t="shared" si="0"/>
        <v>HIGH</v>
      </c>
      <c r="N32" s="4" t="str" cm="1">
        <f t="array" ref="N32">_xlfn.IFS(C32&gt;35,"HIGH",C32&gt;25,"MIDDLE",TRUE,"LOW")</f>
        <v>HIGH</v>
      </c>
      <c r="O32" s="4" t="str">
        <f t="shared" si="1"/>
        <v>PREMINUM MORNING</v>
      </c>
      <c r="P32" s="4" t="str">
        <f t="shared" si="2"/>
        <v>PREMINUM MORNING</v>
      </c>
    </row>
    <row r="33" spans="1:16" x14ac:dyDescent="0.3">
      <c r="A33" s="4">
        <v>14</v>
      </c>
      <c r="B33" t="s">
        <v>11</v>
      </c>
      <c r="C33" s="4">
        <v>38.700000000000003</v>
      </c>
      <c r="D33" t="s">
        <v>12</v>
      </c>
      <c r="E33" t="s">
        <v>17</v>
      </c>
      <c r="F33" s="4" t="s">
        <v>27</v>
      </c>
      <c r="G33" s="4" t="s">
        <v>15</v>
      </c>
      <c r="H33" s="4">
        <v>2</v>
      </c>
      <c r="I33" s="4">
        <v>3</v>
      </c>
      <c r="J33" s="1">
        <v>45356</v>
      </c>
      <c r="K33" s="2">
        <v>2.4259259259259258E-2</v>
      </c>
      <c r="M33" s="4" t="str">
        <f t="shared" si="0"/>
        <v>HIGH</v>
      </c>
      <c r="N33" s="4" t="str" cm="1">
        <f t="array" ref="N33">_xlfn.IFS(C33&gt;35,"HIGH",C33&gt;25,"MIDDLE",TRUE,"LOW")</f>
        <v>HIGH</v>
      </c>
      <c r="O33" s="4" t="str">
        <f t="shared" si="1"/>
        <v>OTHERS</v>
      </c>
      <c r="P33" s="4" t="str">
        <f t="shared" si="2"/>
        <v>PREMINUM MORNING</v>
      </c>
    </row>
    <row r="34" spans="1:16" x14ac:dyDescent="0.3">
      <c r="A34" s="4">
        <v>17</v>
      </c>
      <c r="B34" t="s">
        <v>11</v>
      </c>
      <c r="C34" s="4">
        <v>38.700000000000003</v>
      </c>
      <c r="D34" t="s">
        <v>12</v>
      </c>
      <c r="E34" t="s">
        <v>20</v>
      </c>
      <c r="F34" s="4" t="s">
        <v>27</v>
      </c>
      <c r="G34" s="4" t="s">
        <v>15</v>
      </c>
      <c r="H34" s="4">
        <v>2</v>
      </c>
      <c r="I34" s="4">
        <v>3</v>
      </c>
      <c r="J34" s="1">
        <v>45356</v>
      </c>
      <c r="K34" s="2">
        <v>2.3680555555555555E-2</v>
      </c>
      <c r="M34" s="4" t="str">
        <f t="shared" si="0"/>
        <v>HIGH</v>
      </c>
      <c r="N34" s="4" t="str" cm="1">
        <f t="array" ref="N34">_xlfn.IFS(C34&gt;35,"HIGH",C34&gt;25,"MIDDLE",TRUE,"LOW")</f>
        <v>HIGH</v>
      </c>
      <c r="O34" s="4" t="str">
        <f t="shared" si="1"/>
        <v>OTHERS</v>
      </c>
      <c r="P34" s="4" t="str">
        <f t="shared" si="2"/>
        <v>PREMINUM MORNING</v>
      </c>
    </row>
    <row r="35" spans="1:16" x14ac:dyDescent="0.3">
      <c r="A35" s="4">
        <v>17</v>
      </c>
      <c r="B35" t="s">
        <v>11</v>
      </c>
      <c r="C35" s="4">
        <v>38.700000000000003</v>
      </c>
      <c r="D35" t="s">
        <v>16</v>
      </c>
      <c r="E35" t="s">
        <v>20</v>
      </c>
      <c r="F35" s="4" t="s">
        <v>27</v>
      </c>
      <c r="G35" s="4" t="s">
        <v>15</v>
      </c>
      <c r="H35" s="4">
        <v>2</v>
      </c>
      <c r="I35" s="4">
        <v>3</v>
      </c>
      <c r="J35" s="1">
        <v>45356</v>
      </c>
      <c r="K35" s="2">
        <v>2.4594907407407409E-2</v>
      </c>
      <c r="M35" s="4" t="str">
        <f t="shared" si="0"/>
        <v>HIGH</v>
      </c>
      <c r="N35" s="4" t="str" cm="1">
        <f t="array" ref="N35">_xlfn.IFS(C35&gt;35,"HIGH",C35&gt;25,"MIDDLE",TRUE,"LOW")</f>
        <v>HIGH</v>
      </c>
      <c r="O35" s="4" t="str">
        <f t="shared" si="1"/>
        <v>OTHERS</v>
      </c>
      <c r="P35" s="4" t="str">
        <f t="shared" si="2"/>
        <v>PREMINUM MORNING</v>
      </c>
    </row>
    <row r="36" spans="1:16" x14ac:dyDescent="0.3">
      <c r="A36" s="4">
        <v>17</v>
      </c>
      <c r="B36" t="s">
        <v>11</v>
      </c>
      <c r="C36" s="4">
        <v>38.700000000000003</v>
      </c>
      <c r="D36" t="s">
        <v>21</v>
      </c>
      <c r="E36" t="s">
        <v>20</v>
      </c>
      <c r="F36" s="4" t="s">
        <v>27</v>
      </c>
      <c r="G36" s="4" t="s">
        <v>15</v>
      </c>
      <c r="H36" s="4">
        <v>2</v>
      </c>
      <c r="I36" s="4">
        <v>3</v>
      </c>
      <c r="J36" s="1">
        <v>45356</v>
      </c>
      <c r="K36" s="2">
        <v>2.5331018518518517E-2</v>
      </c>
      <c r="M36" s="4" t="str">
        <f t="shared" si="0"/>
        <v>HIGH</v>
      </c>
      <c r="N36" s="4" t="str" cm="1">
        <f t="array" ref="N36">_xlfn.IFS(C36&gt;35,"HIGH",C36&gt;25,"MIDDLE",TRUE,"LOW")</f>
        <v>HIGH</v>
      </c>
      <c r="O36" s="4" t="str">
        <f t="shared" si="1"/>
        <v>OTHERS</v>
      </c>
      <c r="P36" s="4" t="str">
        <f t="shared" si="2"/>
        <v>PREMINUM MORNING</v>
      </c>
    </row>
    <row r="37" spans="1:16" x14ac:dyDescent="0.3">
      <c r="A37" s="4">
        <v>17</v>
      </c>
      <c r="B37" t="s">
        <v>11</v>
      </c>
      <c r="C37" s="4">
        <v>38.700000000000003</v>
      </c>
      <c r="D37" t="s">
        <v>16</v>
      </c>
      <c r="E37" t="s">
        <v>20</v>
      </c>
      <c r="F37" s="4" t="s">
        <v>27</v>
      </c>
      <c r="G37" s="4" t="s">
        <v>15</v>
      </c>
      <c r="H37" s="4">
        <v>2</v>
      </c>
      <c r="I37" s="4">
        <v>3</v>
      </c>
      <c r="J37" s="1">
        <v>45356</v>
      </c>
      <c r="K37" s="2">
        <v>2.5853009259259256E-2</v>
      </c>
      <c r="M37" s="4" t="str">
        <f t="shared" si="0"/>
        <v>HIGH</v>
      </c>
      <c r="N37" s="4" t="str" cm="1">
        <f t="array" ref="N37">_xlfn.IFS(C37&gt;35,"HIGH",C37&gt;25,"MIDDLE",TRUE,"LOW")</f>
        <v>HIGH</v>
      </c>
      <c r="O37" s="4" t="str">
        <f t="shared" si="1"/>
        <v>OTHERS</v>
      </c>
      <c r="P37" s="4" t="str">
        <f t="shared" si="2"/>
        <v>PREMINUM MORNING</v>
      </c>
    </row>
    <row r="38" spans="1:16" x14ac:dyDescent="0.3">
      <c r="A38" s="4">
        <v>17</v>
      </c>
      <c r="B38" t="s">
        <v>11</v>
      </c>
      <c r="C38" s="4">
        <v>38.700000000000003</v>
      </c>
      <c r="D38" t="s">
        <v>16</v>
      </c>
      <c r="E38" t="s">
        <v>20</v>
      </c>
      <c r="F38" s="4" t="s">
        <v>27</v>
      </c>
      <c r="G38" s="4" t="s">
        <v>15</v>
      </c>
      <c r="H38" s="4">
        <v>2</v>
      </c>
      <c r="I38" s="4">
        <v>3</v>
      </c>
      <c r="J38" s="1">
        <v>45356</v>
      </c>
      <c r="K38" s="2">
        <v>2.6497685185185187E-2</v>
      </c>
      <c r="M38" s="4" t="str">
        <f t="shared" si="0"/>
        <v>HIGH</v>
      </c>
      <c r="N38" s="4" t="str" cm="1">
        <f t="array" ref="N38">_xlfn.IFS(C38&gt;35,"HIGH",C38&gt;25,"MIDDLE",TRUE,"LOW")</f>
        <v>HIGH</v>
      </c>
      <c r="O38" s="4" t="str">
        <f t="shared" si="1"/>
        <v>OTHERS</v>
      </c>
      <c r="P38" s="4" t="str">
        <f t="shared" si="2"/>
        <v>PREMINUM MORNING</v>
      </c>
    </row>
    <row r="39" spans="1:16" x14ac:dyDescent="0.3">
      <c r="A39" s="4">
        <v>17</v>
      </c>
      <c r="B39" t="s">
        <v>11</v>
      </c>
      <c r="C39" s="4">
        <v>28.9</v>
      </c>
      <c r="D39" t="s">
        <v>24</v>
      </c>
      <c r="E39" t="s">
        <v>20</v>
      </c>
      <c r="F39" s="4" t="s">
        <v>27</v>
      </c>
      <c r="G39" s="4" t="s">
        <v>15</v>
      </c>
      <c r="H39" s="4">
        <v>2</v>
      </c>
      <c r="I39" s="4">
        <v>3</v>
      </c>
      <c r="J39" s="1">
        <v>45356</v>
      </c>
      <c r="K39" s="2">
        <v>3.9071759259259264E-2</v>
      </c>
      <c r="M39" s="4" t="str">
        <f t="shared" si="0"/>
        <v>LOW</v>
      </c>
      <c r="N39" s="4" t="str" cm="1">
        <f t="array" ref="N39">_xlfn.IFS(C39&gt;35,"HIGH",C39&gt;25,"MIDDLE",TRUE,"LOW")</f>
        <v>MIDDLE</v>
      </c>
      <c r="O39" s="4" t="str">
        <f t="shared" si="1"/>
        <v>OTHERS</v>
      </c>
      <c r="P39" s="4" t="str">
        <f t="shared" si="2"/>
        <v>OTHERS</v>
      </c>
    </row>
    <row r="40" spans="1:16" x14ac:dyDescent="0.3">
      <c r="A40" s="4">
        <v>18</v>
      </c>
      <c r="B40" t="s">
        <v>11</v>
      </c>
      <c r="C40" s="4">
        <v>38.700000000000003</v>
      </c>
      <c r="D40" t="s">
        <v>16</v>
      </c>
      <c r="E40" t="s">
        <v>20</v>
      </c>
      <c r="F40" s="4" t="s">
        <v>27</v>
      </c>
      <c r="G40" s="4" t="s">
        <v>15</v>
      </c>
      <c r="H40" s="4">
        <v>2</v>
      </c>
      <c r="I40" s="4">
        <v>3</v>
      </c>
      <c r="J40" s="1">
        <v>45356</v>
      </c>
      <c r="K40" s="2">
        <v>1.0555555555555557E-3</v>
      </c>
      <c r="M40" s="4" t="str">
        <f t="shared" si="0"/>
        <v>HIGH</v>
      </c>
      <c r="N40" s="4" t="str" cm="1">
        <f t="array" ref="N40">_xlfn.IFS(C40&gt;35,"HIGH",C40&gt;25,"MIDDLE",TRUE,"LOW")</f>
        <v>HIGH</v>
      </c>
      <c r="O40" s="4" t="str">
        <f t="shared" si="1"/>
        <v>OTHERS</v>
      </c>
      <c r="P40" s="4" t="str">
        <f t="shared" si="2"/>
        <v>PREMINUM MORNING</v>
      </c>
    </row>
    <row r="41" spans="1:16" x14ac:dyDescent="0.3">
      <c r="A41" s="4">
        <v>13</v>
      </c>
      <c r="B41" t="s">
        <v>11</v>
      </c>
      <c r="C41" s="4">
        <v>28.9</v>
      </c>
      <c r="D41" t="s">
        <v>18</v>
      </c>
      <c r="E41" t="s">
        <v>17</v>
      </c>
      <c r="F41" s="4" t="s">
        <v>28</v>
      </c>
      <c r="G41" s="4" t="s">
        <v>15</v>
      </c>
      <c r="H41" s="4">
        <v>3</v>
      </c>
      <c r="I41" s="4">
        <v>3</v>
      </c>
      <c r="J41" s="1">
        <v>45357</v>
      </c>
      <c r="K41" s="2">
        <v>1.6755787037037038E-2</v>
      </c>
      <c r="M41" s="4" t="str">
        <f t="shared" si="0"/>
        <v>LOW</v>
      </c>
      <c r="N41" s="4" t="str" cm="1">
        <f t="array" ref="N41">_xlfn.IFS(C41&gt;35,"HIGH",C41&gt;25,"MIDDLE",TRUE,"LOW")</f>
        <v>MIDDLE</v>
      </c>
      <c r="O41" s="4" t="str">
        <f t="shared" si="1"/>
        <v>OTHERS</v>
      </c>
      <c r="P41" s="4" t="str">
        <f t="shared" si="2"/>
        <v>OTHERS</v>
      </c>
    </row>
    <row r="42" spans="1:16" x14ac:dyDescent="0.3">
      <c r="A42" s="4">
        <v>13</v>
      </c>
      <c r="B42" t="s">
        <v>11</v>
      </c>
      <c r="C42" s="4">
        <v>28.9</v>
      </c>
      <c r="D42" t="s">
        <v>24</v>
      </c>
      <c r="E42" t="s">
        <v>17</v>
      </c>
      <c r="F42" s="4" t="s">
        <v>28</v>
      </c>
      <c r="G42" s="4" t="s">
        <v>15</v>
      </c>
      <c r="H42" s="4">
        <v>3</v>
      </c>
      <c r="I42" s="4">
        <v>3</v>
      </c>
      <c r="J42" s="1">
        <v>45357</v>
      </c>
      <c r="K42" s="2">
        <v>1.7527777777777778E-2</v>
      </c>
      <c r="M42" s="4" t="str">
        <f t="shared" si="0"/>
        <v>LOW</v>
      </c>
      <c r="N42" s="4" t="str" cm="1">
        <f t="array" ref="N42">_xlfn.IFS(C42&gt;35,"HIGH",C42&gt;25,"MIDDLE",TRUE,"LOW")</f>
        <v>MIDDLE</v>
      </c>
      <c r="O42" s="4" t="str">
        <f t="shared" si="1"/>
        <v>OTHERS</v>
      </c>
      <c r="P42" s="4" t="str">
        <f t="shared" si="2"/>
        <v>OTHERS</v>
      </c>
    </row>
    <row r="43" spans="1:16" x14ac:dyDescent="0.3">
      <c r="A43" s="4">
        <v>14</v>
      </c>
      <c r="B43" t="s">
        <v>11</v>
      </c>
      <c r="C43" s="4">
        <v>38.700000000000003</v>
      </c>
      <c r="D43" t="s">
        <v>29</v>
      </c>
      <c r="E43" t="s">
        <v>17</v>
      </c>
      <c r="F43" s="4" t="s">
        <v>28</v>
      </c>
      <c r="G43" s="4" t="s">
        <v>15</v>
      </c>
      <c r="H43" s="4">
        <v>3</v>
      </c>
      <c r="I43" s="4">
        <v>3</v>
      </c>
      <c r="J43" s="1">
        <v>45357</v>
      </c>
      <c r="K43" s="2">
        <v>3.6131944444444446E-2</v>
      </c>
      <c r="M43" s="4" t="str">
        <f t="shared" si="0"/>
        <v>HIGH</v>
      </c>
      <c r="N43" s="4" t="str" cm="1">
        <f t="array" ref="N43">_xlfn.IFS(C43&gt;35,"HIGH",C43&gt;25,"MIDDLE",TRUE,"LOW")</f>
        <v>HIGH</v>
      </c>
      <c r="O43" s="4" t="str">
        <f t="shared" si="1"/>
        <v>OTHERS</v>
      </c>
      <c r="P43" s="4" t="str">
        <f t="shared" si="2"/>
        <v>PREMINUM MORNING</v>
      </c>
    </row>
    <row r="44" spans="1:16" x14ac:dyDescent="0.3">
      <c r="A44" s="4">
        <v>14</v>
      </c>
      <c r="B44" t="s">
        <v>11</v>
      </c>
      <c r="C44" s="4">
        <v>38.700000000000003</v>
      </c>
      <c r="D44" t="s">
        <v>29</v>
      </c>
      <c r="E44" t="s">
        <v>17</v>
      </c>
      <c r="F44" s="4" t="s">
        <v>28</v>
      </c>
      <c r="G44" s="4" t="s">
        <v>15</v>
      </c>
      <c r="H44" s="4">
        <v>3</v>
      </c>
      <c r="I44" s="4">
        <v>3</v>
      </c>
      <c r="J44" s="1">
        <v>45357</v>
      </c>
      <c r="K44" s="2">
        <v>3.7017361111111112E-2</v>
      </c>
      <c r="M44" s="4" t="str">
        <f t="shared" si="0"/>
        <v>HIGH</v>
      </c>
      <c r="N44" s="4" t="str" cm="1">
        <f t="array" ref="N44">_xlfn.IFS(C44&gt;35,"HIGH",C44&gt;25,"MIDDLE",TRUE,"LOW")</f>
        <v>HIGH</v>
      </c>
      <c r="O44" s="4" t="str">
        <f t="shared" si="1"/>
        <v>OTHERS</v>
      </c>
      <c r="P44" s="4" t="str">
        <f t="shared" si="2"/>
        <v>PREMINUM MORNING</v>
      </c>
    </row>
    <row r="45" spans="1:16" x14ac:dyDescent="0.3">
      <c r="A45" s="4">
        <v>10</v>
      </c>
      <c r="B45" t="s">
        <v>11</v>
      </c>
      <c r="C45" s="4">
        <v>38.700000000000003</v>
      </c>
      <c r="D45" t="s">
        <v>16</v>
      </c>
      <c r="E45" t="s">
        <v>13</v>
      </c>
      <c r="F45" s="4" t="s">
        <v>30</v>
      </c>
      <c r="G45" s="4" t="s">
        <v>15</v>
      </c>
      <c r="H45" s="4">
        <v>4</v>
      </c>
      <c r="I45" s="4">
        <v>3</v>
      </c>
      <c r="J45" s="1">
        <v>45358</v>
      </c>
      <c r="K45" s="2">
        <v>1.2968749999999999E-2</v>
      </c>
      <c r="M45" s="4" t="str">
        <f t="shared" si="0"/>
        <v>HIGH</v>
      </c>
      <c r="N45" s="4" t="str" cm="1">
        <f t="array" ref="N45">_xlfn.IFS(C45&gt;35,"HIGH",C45&gt;25,"MIDDLE",TRUE,"LOW")</f>
        <v>HIGH</v>
      </c>
      <c r="O45" s="4" t="str">
        <f t="shared" si="1"/>
        <v>PREMINUM MORNING</v>
      </c>
      <c r="P45" s="4" t="str">
        <f t="shared" si="2"/>
        <v>PREMINUM MORNING</v>
      </c>
    </row>
    <row r="46" spans="1:16" x14ac:dyDescent="0.3">
      <c r="A46" s="4">
        <v>11</v>
      </c>
      <c r="B46" t="s">
        <v>11</v>
      </c>
      <c r="C46" s="4">
        <v>38.700000000000003</v>
      </c>
      <c r="D46" t="s">
        <v>12</v>
      </c>
      <c r="E46" t="s">
        <v>13</v>
      </c>
      <c r="F46" s="4" t="s">
        <v>30</v>
      </c>
      <c r="G46" s="4" t="s">
        <v>15</v>
      </c>
      <c r="H46" s="4">
        <v>4</v>
      </c>
      <c r="I46" s="4">
        <v>3</v>
      </c>
      <c r="J46" s="1">
        <v>45358</v>
      </c>
      <c r="K46" s="2">
        <v>2.7662037037037039E-3</v>
      </c>
      <c r="M46" s="4" t="str">
        <f t="shared" si="0"/>
        <v>HIGH</v>
      </c>
      <c r="N46" s="4" t="str" cm="1">
        <f t="array" ref="N46">_xlfn.IFS(C46&gt;35,"HIGH",C46&gt;25,"MIDDLE",TRUE,"LOW")</f>
        <v>HIGH</v>
      </c>
      <c r="O46" s="4" t="str">
        <f t="shared" si="1"/>
        <v>PREMINUM MORNING</v>
      </c>
      <c r="P46" s="4" t="str">
        <f t="shared" si="2"/>
        <v>PREMINUM MORNING</v>
      </c>
    </row>
    <row r="47" spans="1:16" x14ac:dyDescent="0.3">
      <c r="A47" s="4">
        <v>15</v>
      </c>
      <c r="B47" t="s">
        <v>11</v>
      </c>
      <c r="C47" s="4">
        <v>28.9</v>
      </c>
      <c r="D47" t="s">
        <v>18</v>
      </c>
      <c r="E47" t="s">
        <v>17</v>
      </c>
      <c r="F47" s="4" t="s">
        <v>30</v>
      </c>
      <c r="G47" s="4" t="s">
        <v>15</v>
      </c>
      <c r="H47" s="4">
        <v>4</v>
      </c>
      <c r="I47" s="4">
        <v>3</v>
      </c>
      <c r="J47" s="1">
        <v>45358</v>
      </c>
      <c r="K47" s="2">
        <v>2.803935185185185E-2</v>
      </c>
      <c r="M47" s="4" t="str">
        <f t="shared" si="0"/>
        <v>LOW</v>
      </c>
      <c r="N47" s="4" t="str" cm="1">
        <f t="array" ref="N47">_xlfn.IFS(C47&gt;35,"HIGH",C47&gt;25,"MIDDLE",TRUE,"LOW")</f>
        <v>MIDDLE</v>
      </c>
      <c r="O47" s="4" t="str">
        <f t="shared" si="1"/>
        <v>OTHERS</v>
      </c>
      <c r="P47" s="4" t="str">
        <f t="shared" si="2"/>
        <v>OTHERS</v>
      </c>
    </row>
    <row r="48" spans="1:16" x14ac:dyDescent="0.3">
      <c r="A48" s="4">
        <v>15</v>
      </c>
      <c r="B48" t="s">
        <v>11</v>
      </c>
      <c r="C48" s="4">
        <v>33.799999999999997</v>
      </c>
      <c r="D48" t="s">
        <v>19</v>
      </c>
      <c r="E48" t="s">
        <v>17</v>
      </c>
      <c r="F48" s="4" t="s">
        <v>30</v>
      </c>
      <c r="G48" s="4" t="s">
        <v>15</v>
      </c>
      <c r="H48" s="4">
        <v>4</v>
      </c>
      <c r="I48" s="4">
        <v>3</v>
      </c>
      <c r="J48" s="1">
        <v>45358</v>
      </c>
      <c r="K48" s="2">
        <v>2.8805555555555556E-2</v>
      </c>
      <c r="M48" s="4" t="str">
        <f t="shared" si="0"/>
        <v>LOW</v>
      </c>
      <c r="N48" s="4" t="str" cm="1">
        <f t="array" ref="N48">_xlfn.IFS(C48&gt;35,"HIGH",C48&gt;25,"MIDDLE",TRUE,"LOW")</f>
        <v>MIDDLE</v>
      </c>
      <c r="O48" s="4" t="str">
        <f t="shared" si="1"/>
        <v>OTHERS</v>
      </c>
      <c r="P48" s="4" t="str">
        <f t="shared" si="2"/>
        <v>OTHERS</v>
      </c>
    </row>
    <row r="49" spans="1:16" x14ac:dyDescent="0.3">
      <c r="A49" s="4">
        <v>10</v>
      </c>
      <c r="B49" t="s">
        <v>11</v>
      </c>
      <c r="C49" s="4">
        <v>28.9</v>
      </c>
      <c r="D49" t="s">
        <v>24</v>
      </c>
      <c r="E49" t="s">
        <v>13</v>
      </c>
      <c r="F49" s="4" t="s">
        <v>14</v>
      </c>
      <c r="G49" s="4" t="s">
        <v>15</v>
      </c>
      <c r="H49" s="4">
        <v>5</v>
      </c>
      <c r="I49" s="4">
        <v>3</v>
      </c>
      <c r="J49" s="1">
        <v>45359</v>
      </c>
      <c r="K49" s="2">
        <v>2.4089120370370372E-2</v>
      </c>
      <c r="M49" s="4" t="str">
        <f t="shared" si="0"/>
        <v>LOW</v>
      </c>
      <c r="N49" s="4" t="str" cm="1">
        <f t="array" ref="N49">_xlfn.IFS(C49&gt;35,"HIGH",C49&gt;25,"MIDDLE",TRUE,"LOW")</f>
        <v>MIDDLE</v>
      </c>
      <c r="O49" s="4" t="str">
        <f t="shared" si="1"/>
        <v>OTHERS</v>
      </c>
      <c r="P49" s="4" t="str">
        <f t="shared" si="2"/>
        <v>PREMINUM MORNING</v>
      </c>
    </row>
    <row r="50" spans="1:16" x14ac:dyDescent="0.3">
      <c r="A50" s="4">
        <v>12</v>
      </c>
      <c r="B50" t="s">
        <v>11</v>
      </c>
      <c r="C50" s="4">
        <v>38.700000000000003</v>
      </c>
      <c r="D50" t="s">
        <v>29</v>
      </c>
      <c r="E50" t="s">
        <v>17</v>
      </c>
      <c r="F50" s="4" t="s">
        <v>14</v>
      </c>
      <c r="G50" s="4" t="s">
        <v>15</v>
      </c>
      <c r="H50" s="4">
        <v>5</v>
      </c>
      <c r="I50" s="4">
        <v>3</v>
      </c>
      <c r="J50" s="1">
        <v>45359</v>
      </c>
      <c r="K50" s="2">
        <v>1.5609953703703704E-2</v>
      </c>
      <c r="M50" s="4" t="str">
        <f t="shared" si="0"/>
        <v>HIGH</v>
      </c>
      <c r="N50" s="4" t="str" cm="1">
        <f t="array" ref="N50">_xlfn.IFS(C50&gt;35,"HIGH",C50&gt;25,"MIDDLE",TRUE,"LOW")</f>
        <v>HIGH</v>
      </c>
      <c r="O50" s="4" t="str">
        <f t="shared" si="1"/>
        <v>OTHERS</v>
      </c>
      <c r="P50" s="4" t="str">
        <f t="shared" si="2"/>
        <v>PREMINUM MORNING</v>
      </c>
    </row>
    <row r="51" spans="1:16" x14ac:dyDescent="0.3">
      <c r="A51" s="4">
        <v>13</v>
      </c>
      <c r="B51" t="s">
        <v>11</v>
      </c>
      <c r="C51" s="4">
        <v>28.9</v>
      </c>
      <c r="D51" t="s">
        <v>18</v>
      </c>
      <c r="E51" t="s">
        <v>17</v>
      </c>
      <c r="F51" s="4" t="s">
        <v>14</v>
      </c>
      <c r="G51" s="4" t="s">
        <v>15</v>
      </c>
      <c r="H51" s="4">
        <v>5</v>
      </c>
      <c r="I51" s="4">
        <v>3</v>
      </c>
      <c r="J51" s="1">
        <v>45359</v>
      </c>
      <c r="K51" s="2">
        <v>3.6828703703703704E-2</v>
      </c>
      <c r="M51" s="4" t="str">
        <f t="shared" si="0"/>
        <v>LOW</v>
      </c>
      <c r="N51" s="4" t="str" cm="1">
        <f t="array" ref="N51">_xlfn.IFS(C51&gt;35,"HIGH",C51&gt;25,"MIDDLE",TRUE,"LOW")</f>
        <v>MIDDLE</v>
      </c>
      <c r="O51" s="4" t="str">
        <f t="shared" si="1"/>
        <v>OTHERS</v>
      </c>
      <c r="P51" s="4" t="str">
        <f t="shared" si="2"/>
        <v>OTHERS</v>
      </c>
    </row>
    <row r="52" spans="1:16" x14ac:dyDescent="0.3">
      <c r="A52" s="4">
        <v>14</v>
      </c>
      <c r="B52" t="s">
        <v>11</v>
      </c>
      <c r="C52" s="4">
        <v>28.9</v>
      </c>
      <c r="D52" t="s">
        <v>18</v>
      </c>
      <c r="E52" t="s">
        <v>17</v>
      </c>
      <c r="F52" s="4" t="s">
        <v>14</v>
      </c>
      <c r="G52" s="4" t="s">
        <v>15</v>
      </c>
      <c r="H52" s="4">
        <v>5</v>
      </c>
      <c r="I52" s="4">
        <v>3</v>
      </c>
      <c r="J52" s="1">
        <v>45359</v>
      </c>
      <c r="K52" s="2">
        <v>3.0702546296296294E-2</v>
      </c>
      <c r="M52" s="4" t="str">
        <f t="shared" si="0"/>
        <v>LOW</v>
      </c>
      <c r="N52" s="4" t="str" cm="1">
        <f t="array" ref="N52">_xlfn.IFS(C52&gt;35,"HIGH",C52&gt;25,"MIDDLE",TRUE,"LOW")</f>
        <v>MIDDLE</v>
      </c>
      <c r="O52" s="4" t="str">
        <f t="shared" si="1"/>
        <v>OTHERS</v>
      </c>
      <c r="P52" s="4" t="str">
        <f t="shared" si="2"/>
        <v>OTHERS</v>
      </c>
    </row>
    <row r="53" spans="1:16" x14ac:dyDescent="0.3">
      <c r="A53" s="4">
        <v>14</v>
      </c>
      <c r="B53" t="s">
        <v>11</v>
      </c>
      <c r="C53" s="4">
        <v>28.9</v>
      </c>
      <c r="D53" t="s">
        <v>18</v>
      </c>
      <c r="E53" t="s">
        <v>17</v>
      </c>
      <c r="F53" s="4" t="s">
        <v>14</v>
      </c>
      <c r="G53" s="4" t="s">
        <v>15</v>
      </c>
      <c r="H53" s="4">
        <v>5</v>
      </c>
      <c r="I53" s="4">
        <v>3</v>
      </c>
      <c r="J53" s="1">
        <v>45359</v>
      </c>
      <c r="K53" s="2">
        <v>3.1377314814814816E-2</v>
      </c>
      <c r="M53" s="4" t="str">
        <f t="shared" si="0"/>
        <v>LOW</v>
      </c>
      <c r="N53" s="4" t="str" cm="1">
        <f t="array" ref="N53">_xlfn.IFS(C53&gt;35,"HIGH",C53&gt;25,"MIDDLE",TRUE,"LOW")</f>
        <v>MIDDLE</v>
      </c>
      <c r="O53" s="4" t="str">
        <f t="shared" si="1"/>
        <v>OTHERS</v>
      </c>
      <c r="P53" s="4" t="str">
        <f t="shared" si="2"/>
        <v>OTHERS</v>
      </c>
    </row>
    <row r="54" spans="1:16" x14ac:dyDescent="0.3">
      <c r="A54" s="4">
        <v>14</v>
      </c>
      <c r="B54" t="s">
        <v>11</v>
      </c>
      <c r="C54" s="4">
        <v>33.799999999999997</v>
      </c>
      <c r="D54" t="s">
        <v>19</v>
      </c>
      <c r="E54" t="s">
        <v>17</v>
      </c>
      <c r="F54" s="4" t="s">
        <v>14</v>
      </c>
      <c r="G54" s="4" t="s">
        <v>15</v>
      </c>
      <c r="H54" s="4">
        <v>5</v>
      </c>
      <c r="I54" s="4">
        <v>3</v>
      </c>
      <c r="J54" s="1">
        <v>45359</v>
      </c>
      <c r="K54" s="2">
        <v>3.2074074074074074E-2</v>
      </c>
      <c r="M54" s="4" t="str">
        <f t="shared" si="0"/>
        <v>LOW</v>
      </c>
      <c r="N54" s="4" t="str" cm="1">
        <f t="array" ref="N54">_xlfn.IFS(C54&gt;35,"HIGH",C54&gt;25,"MIDDLE",TRUE,"LOW")</f>
        <v>MIDDLE</v>
      </c>
      <c r="O54" s="4" t="str">
        <f t="shared" si="1"/>
        <v>OTHERS</v>
      </c>
      <c r="P54" s="4" t="str">
        <f t="shared" si="2"/>
        <v>OTHERS</v>
      </c>
    </row>
    <row r="55" spans="1:16" x14ac:dyDescent="0.3">
      <c r="A55" s="4">
        <v>18</v>
      </c>
      <c r="B55" t="s">
        <v>11</v>
      </c>
      <c r="C55" s="4">
        <v>38.700000000000003</v>
      </c>
      <c r="D55" t="s">
        <v>12</v>
      </c>
      <c r="E55" t="s">
        <v>20</v>
      </c>
      <c r="F55" s="4" t="s">
        <v>14</v>
      </c>
      <c r="G55" s="4" t="s">
        <v>15</v>
      </c>
      <c r="H55" s="4">
        <v>5</v>
      </c>
      <c r="I55" s="4">
        <v>3</v>
      </c>
      <c r="J55" s="1">
        <v>45359</v>
      </c>
      <c r="K55" s="2">
        <v>4.0179398148148152E-2</v>
      </c>
      <c r="M55" s="4" t="str">
        <f t="shared" si="0"/>
        <v>HIGH</v>
      </c>
      <c r="N55" s="4" t="str" cm="1">
        <f t="array" ref="N55">_xlfn.IFS(C55&gt;35,"HIGH",C55&gt;25,"MIDDLE",TRUE,"LOW")</f>
        <v>HIGH</v>
      </c>
      <c r="O55" s="4" t="str">
        <f t="shared" si="1"/>
        <v>OTHERS</v>
      </c>
      <c r="P55" s="4" t="str">
        <f t="shared" si="2"/>
        <v>PREMINUM MORNING</v>
      </c>
    </row>
    <row r="56" spans="1:16" x14ac:dyDescent="0.3">
      <c r="A56" s="4">
        <v>18</v>
      </c>
      <c r="B56" t="s">
        <v>11</v>
      </c>
      <c r="C56" s="4">
        <v>38.700000000000003</v>
      </c>
      <c r="D56" t="s">
        <v>12</v>
      </c>
      <c r="E56" t="s">
        <v>20</v>
      </c>
      <c r="F56" s="4" t="s">
        <v>14</v>
      </c>
      <c r="G56" s="4" t="s">
        <v>15</v>
      </c>
      <c r="H56" s="4">
        <v>5</v>
      </c>
      <c r="I56" s="4">
        <v>3</v>
      </c>
      <c r="J56" s="1">
        <v>45359</v>
      </c>
      <c r="K56" s="2">
        <v>4.1260416666666667E-2</v>
      </c>
      <c r="M56" s="4" t="str">
        <f t="shared" si="0"/>
        <v>HIGH</v>
      </c>
      <c r="N56" s="4" t="str" cm="1">
        <f t="array" ref="N56">_xlfn.IFS(C56&gt;35,"HIGH",C56&gt;25,"MIDDLE",TRUE,"LOW")</f>
        <v>HIGH</v>
      </c>
      <c r="O56" s="4" t="str">
        <f t="shared" si="1"/>
        <v>OTHERS</v>
      </c>
      <c r="P56" s="4" t="str">
        <f t="shared" si="2"/>
        <v>PREMINUM MORNING</v>
      </c>
    </row>
    <row r="57" spans="1:16" x14ac:dyDescent="0.3">
      <c r="A57" s="4">
        <v>12</v>
      </c>
      <c r="B57" t="s">
        <v>11</v>
      </c>
      <c r="C57" s="4">
        <v>24</v>
      </c>
      <c r="D57" t="s">
        <v>26</v>
      </c>
      <c r="E57" t="s">
        <v>17</v>
      </c>
      <c r="F57" s="4" t="s">
        <v>22</v>
      </c>
      <c r="G57" s="4" t="s">
        <v>15</v>
      </c>
      <c r="H57" s="4">
        <v>6</v>
      </c>
      <c r="I57" s="4">
        <v>3</v>
      </c>
      <c r="J57" s="1">
        <v>45360</v>
      </c>
      <c r="K57" s="2">
        <v>3.6527777777777782E-3</v>
      </c>
      <c r="M57" s="4" t="str">
        <f t="shared" si="0"/>
        <v>LOW</v>
      </c>
      <c r="N57" s="4" t="str" cm="1">
        <f t="array" ref="N57">_xlfn.IFS(C57&gt;35,"HIGH",C57&gt;25,"MIDDLE",TRUE,"LOW")</f>
        <v>LOW</v>
      </c>
      <c r="O57" s="4" t="str">
        <f t="shared" si="1"/>
        <v>OTHERS</v>
      </c>
      <c r="P57" s="4" t="str">
        <f t="shared" si="2"/>
        <v>OTHERS</v>
      </c>
    </row>
    <row r="58" spans="1:16" x14ac:dyDescent="0.3">
      <c r="A58" s="4">
        <v>12</v>
      </c>
      <c r="B58" t="s">
        <v>11</v>
      </c>
      <c r="C58" s="4">
        <v>28.9</v>
      </c>
      <c r="D58" t="s">
        <v>18</v>
      </c>
      <c r="E58" t="s">
        <v>17</v>
      </c>
      <c r="F58" s="4" t="s">
        <v>22</v>
      </c>
      <c r="G58" s="4" t="s">
        <v>15</v>
      </c>
      <c r="H58" s="4">
        <v>6</v>
      </c>
      <c r="I58" s="4">
        <v>3</v>
      </c>
      <c r="J58" s="1">
        <v>45360</v>
      </c>
      <c r="K58" s="2">
        <v>5.3043981481481484E-3</v>
      </c>
      <c r="M58" s="4" t="str">
        <f t="shared" si="0"/>
        <v>LOW</v>
      </c>
      <c r="N58" s="4" t="str" cm="1">
        <f t="array" ref="N58">_xlfn.IFS(C58&gt;35,"HIGH",C58&gt;25,"MIDDLE",TRUE,"LOW")</f>
        <v>MIDDLE</v>
      </c>
      <c r="O58" s="4" t="str">
        <f t="shared" si="1"/>
        <v>OTHERS</v>
      </c>
      <c r="P58" s="4" t="str">
        <f t="shared" si="2"/>
        <v>OTHERS</v>
      </c>
    </row>
    <row r="59" spans="1:16" x14ac:dyDescent="0.3">
      <c r="A59" s="4">
        <v>12</v>
      </c>
      <c r="B59" t="s">
        <v>11</v>
      </c>
      <c r="C59" s="4">
        <v>38.700000000000003</v>
      </c>
      <c r="D59" t="s">
        <v>29</v>
      </c>
      <c r="E59" t="s">
        <v>17</v>
      </c>
      <c r="F59" s="4" t="s">
        <v>22</v>
      </c>
      <c r="G59" s="4" t="s">
        <v>15</v>
      </c>
      <c r="H59" s="4">
        <v>6</v>
      </c>
      <c r="I59" s="4">
        <v>3</v>
      </c>
      <c r="J59" s="1">
        <v>45360</v>
      </c>
      <c r="K59" s="2">
        <v>6.8020833333333336E-3</v>
      </c>
      <c r="M59" s="4" t="str">
        <f t="shared" si="0"/>
        <v>HIGH</v>
      </c>
      <c r="N59" s="4" t="str" cm="1">
        <f t="array" ref="N59">_xlfn.IFS(C59&gt;35,"HIGH",C59&gt;25,"MIDDLE",TRUE,"LOW")</f>
        <v>HIGH</v>
      </c>
      <c r="O59" s="4" t="str">
        <f t="shared" si="1"/>
        <v>OTHERS</v>
      </c>
      <c r="P59" s="4" t="str">
        <f t="shared" si="2"/>
        <v>PREMINUM MORNING</v>
      </c>
    </row>
    <row r="60" spans="1:16" x14ac:dyDescent="0.3">
      <c r="A60" s="4">
        <v>12</v>
      </c>
      <c r="B60" t="s">
        <v>11</v>
      </c>
      <c r="C60" s="4">
        <v>28.9</v>
      </c>
      <c r="D60" t="s">
        <v>18</v>
      </c>
      <c r="E60" t="s">
        <v>17</v>
      </c>
      <c r="F60" s="4" t="s">
        <v>22</v>
      </c>
      <c r="G60" s="4" t="s">
        <v>15</v>
      </c>
      <c r="H60" s="4">
        <v>6</v>
      </c>
      <c r="I60" s="4">
        <v>3</v>
      </c>
      <c r="J60" s="1">
        <v>45360</v>
      </c>
      <c r="K60" s="2">
        <v>9.0682870370370379E-3</v>
      </c>
      <c r="M60" s="4" t="str">
        <f t="shared" si="0"/>
        <v>LOW</v>
      </c>
      <c r="N60" s="4" t="str" cm="1">
        <f t="array" ref="N60">_xlfn.IFS(C60&gt;35,"HIGH",C60&gt;25,"MIDDLE",TRUE,"LOW")</f>
        <v>MIDDLE</v>
      </c>
      <c r="O60" s="4" t="str">
        <f t="shared" si="1"/>
        <v>OTHERS</v>
      </c>
      <c r="P60" s="4" t="str">
        <f t="shared" si="2"/>
        <v>OTHERS</v>
      </c>
    </row>
    <row r="61" spans="1:16" x14ac:dyDescent="0.3">
      <c r="A61" s="4">
        <v>12</v>
      </c>
      <c r="B61" t="s">
        <v>11</v>
      </c>
      <c r="C61" s="4">
        <v>28.9</v>
      </c>
      <c r="D61" t="s">
        <v>18</v>
      </c>
      <c r="E61" t="s">
        <v>17</v>
      </c>
      <c r="F61" s="4" t="s">
        <v>22</v>
      </c>
      <c r="G61" s="4" t="s">
        <v>15</v>
      </c>
      <c r="H61" s="4">
        <v>6</v>
      </c>
      <c r="I61" s="4">
        <v>3</v>
      </c>
      <c r="J61" s="1">
        <v>45360</v>
      </c>
      <c r="K61" s="2">
        <v>1.0028935185185186E-2</v>
      </c>
      <c r="M61" s="4" t="str">
        <f t="shared" si="0"/>
        <v>LOW</v>
      </c>
      <c r="N61" s="4" t="str" cm="1">
        <f t="array" ref="N61">_xlfn.IFS(C61&gt;35,"HIGH",C61&gt;25,"MIDDLE",TRUE,"LOW")</f>
        <v>MIDDLE</v>
      </c>
      <c r="O61" s="4" t="str">
        <f t="shared" si="1"/>
        <v>OTHERS</v>
      </c>
      <c r="P61" s="4" t="str">
        <f t="shared" si="2"/>
        <v>OTHERS</v>
      </c>
    </row>
    <row r="62" spans="1:16" x14ac:dyDescent="0.3">
      <c r="A62" s="4">
        <v>13</v>
      </c>
      <c r="B62" t="s">
        <v>11</v>
      </c>
      <c r="C62" s="4">
        <v>38.700000000000003</v>
      </c>
      <c r="D62" t="s">
        <v>12</v>
      </c>
      <c r="E62" t="s">
        <v>17</v>
      </c>
      <c r="F62" s="4" t="s">
        <v>22</v>
      </c>
      <c r="G62" s="4" t="s">
        <v>15</v>
      </c>
      <c r="H62" s="4">
        <v>6</v>
      </c>
      <c r="I62" s="4">
        <v>3</v>
      </c>
      <c r="J62" s="1">
        <v>45360</v>
      </c>
      <c r="K62" s="2">
        <v>6.5069444444444445E-3</v>
      </c>
      <c r="M62" s="4" t="str">
        <f t="shared" si="0"/>
        <v>HIGH</v>
      </c>
      <c r="N62" s="4" t="str" cm="1">
        <f t="array" ref="N62">_xlfn.IFS(C62&gt;35,"HIGH",C62&gt;25,"MIDDLE",TRUE,"LOW")</f>
        <v>HIGH</v>
      </c>
      <c r="O62" s="4" t="str">
        <f t="shared" si="1"/>
        <v>OTHERS</v>
      </c>
      <c r="P62" s="4" t="str">
        <f t="shared" si="2"/>
        <v>PREMINUM MORNING</v>
      </c>
    </row>
    <row r="63" spans="1:16" x14ac:dyDescent="0.3">
      <c r="A63" s="4">
        <v>13</v>
      </c>
      <c r="B63" t="s">
        <v>11</v>
      </c>
      <c r="C63" s="4">
        <v>33.799999999999997</v>
      </c>
      <c r="D63" t="s">
        <v>19</v>
      </c>
      <c r="E63" t="s">
        <v>17</v>
      </c>
      <c r="F63" s="4" t="s">
        <v>22</v>
      </c>
      <c r="G63" s="4" t="s">
        <v>15</v>
      </c>
      <c r="H63" s="4">
        <v>6</v>
      </c>
      <c r="I63" s="4">
        <v>3</v>
      </c>
      <c r="J63" s="1">
        <v>45360</v>
      </c>
      <c r="K63" s="2">
        <v>2.8543981481481479E-2</v>
      </c>
      <c r="M63" s="4" t="str">
        <f t="shared" si="0"/>
        <v>LOW</v>
      </c>
      <c r="N63" s="4" t="str" cm="1">
        <f t="array" ref="N63">_xlfn.IFS(C63&gt;35,"HIGH",C63&gt;25,"MIDDLE",TRUE,"LOW")</f>
        <v>MIDDLE</v>
      </c>
      <c r="O63" s="4" t="str">
        <f t="shared" si="1"/>
        <v>OTHERS</v>
      </c>
      <c r="P63" s="4" t="str">
        <f t="shared" si="2"/>
        <v>OTHERS</v>
      </c>
    </row>
    <row r="64" spans="1:16" x14ac:dyDescent="0.3">
      <c r="A64" s="4">
        <v>13</v>
      </c>
      <c r="B64" t="s">
        <v>11</v>
      </c>
      <c r="C64" s="4">
        <v>28.9</v>
      </c>
      <c r="D64" t="s">
        <v>24</v>
      </c>
      <c r="E64" t="s">
        <v>17</v>
      </c>
      <c r="F64" s="4" t="s">
        <v>22</v>
      </c>
      <c r="G64" s="4" t="s">
        <v>15</v>
      </c>
      <c r="H64" s="4">
        <v>6</v>
      </c>
      <c r="I64" s="4">
        <v>3</v>
      </c>
      <c r="J64" s="1">
        <v>45360</v>
      </c>
      <c r="K64" s="2">
        <v>3.6925925925925925E-2</v>
      </c>
      <c r="M64" s="4" t="str">
        <f t="shared" si="0"/>
        <v>LOW</v>
      </c>
      <c r="N64" s="4" t="str" cm="1">
        <f t="array" ref="N64">_xlfn.IFS(C64&gt;35,"HIGH",C64&gt;25,"MIDDLE",TRUE,"LOW")</f>
        <v>MIDDLE</v>
      </c>
      <c r="O64" s="4" t="str">
        <f t="shared" si="1"/>
        <v>OTHERS</v>
      </c>
      <c r="P64" s="4" t="str">
        <f t="shared" si="2"/>
        <v>OTHERS</v>
      </c>
    </row>
    <row r="65" spans="1:16" x14ac:dyDescent="0.3">
      <c r="A65" s="4">
        <v>13</v>
      </c>
      <c r="B65" t="s">
        <v>11</v>
      </c>
      <c r="C65" s="4">
        <v>38.700000000000003</v>
      </c>
      <c r="D65" t="s">
        <v>29</v>
      </c>
      <c r="E65" t="s">
        <v>17</v>
      </c>
      <c r="F65" s="4" t="s">
        <v>22</v>
      </c>
      <c r="G65" s="4" t="s">
        <v>15</v>
      </c>
      <c r="H65" s="4">
        <v>6</v>
      </c>
      <c r="I65" s="4">
        <v>3</v>
      </c>
      <c r="J65" s="1">
        <v>45360</v>
      </c>
      <c r="K65" s="2">
        <v>3.7925925925925925E-2</v>
      </c>
      <c r="M65" s="4" t="str">
        <f t="shared" si="0"/>
        <v>HIGH</v>
      </c>
      <c r="N65" s="4" t="str" cm="1">
        <f t="array" ref="N65">_xlfn.IFS(C65&gt;35,"HIGH",C65&gt;25,"MIDDLE",TRUE,"LOW")</f>
        <v>HIGH</v>
      </c>
      <c r="O65" s="4" t="str">
        <f t="shared" si="1"/>
        <v>OTHERS</v>
      </c>
      <c r="P65" s="4" t="str">
        <f t="shared" si="2"/>
        <v>PREMINUM MORNING</v>
      </c>
    </row>
    <row r="66" spans="1:16" x14ac:dyDescent="0.3">
      <c r="A66" s="4">
        <v>14</v>
      </c>
      <c r="B66" t="s">
        <v>11</v>
      </c>
      <c r="C66" s="4">
        <v>33.799999999999997</v>
      </c>
      <c r="D66" t="s">
        <v>19</v>
      </c>
      <c r="E66" t="s">
        <v>17</v>
      </c>
      <c r="F66" s="4" t="s">
        <v>22</v>
      </c>
      <c r="G66" s="4" t="s">
        <v>15</v>
      </c>
      <c r="H66" s="4">
        <v>6</v>
      </c>
      <c r="I66" s="4">
        <v>3</v>
      </c>
      <c r="J66" s="1">
        <v>45360</v>
      </c>
      <c r="K66" s="2">
        <v>5.5763888888888894E-3</v>
      </c>
      <c r="M66" s="4" t="str">
        <f t="shared" si="0"/>
        <v>LOW</v>
      </c>
      <c r="N66" s="4" t="str" cm="1">
        <f t="array" ref="N66">_xlfn.IFS(C66&gt;35,"HIGH",C66&gt;25,"MIDDLE",TRUE,"LOW")</f>
        <v>MIDDLE</v>
      </c>
      <c r="O66" s="4" t="str">
        <f t="shared" si="1"/>
        <v>OTHERS</v>
      </c>
      <c r="P66" s="4" t="str">
        <f t="shared" si="2"/>
        <v>OTHERS</v>
      </c>
    </row>
    <row r="67" spans="1:16" x14ac:dyDescent="0.3">
      <c r="A67" s="4">
        <v>14</v>
      </c>
      <c r="B67" t="s">
        <v>11</v>
      </c>
      <c r="C67" s="4">
        <v>38.700000000000003</v>
      </c>
      <c r="D67" t="s">
        <v>16</v>
      </c>
      <c r="E67" t="s">
        <v>17</v>
      </c>
      <c r="F67" s="4" t="s">
        <v>22</v>
      </c>
      <c r="G67" s="4" t="s">
        <v>15</v>
      </c>
      <c r="H67" s="4">
        <v>6</v>
      </c>
      <c r="I67" s="4">
        <v>3</v>
      </c>
      <c r="J67" s="1">
        <v>45360</v>
      </c>
      <c r="K67" s="2">
        <v>1.8667824074074076E-2</v>
      </c>
      <c r="M67" s="4" t="str">
        <f t="shared" ref="M67:M130" si="3">IF(C67&gt;35,"HIGH","LOW")</f>
        <v>HIGH</v>
      </c>
      <c r="N67" s="4" t="str" cm="1">
        <f t="array" ref="N67">_xlfn.IFS(C67&gt;35,"HIGH",C67&gt;25,"MIDDLE",TRUE,"LOW")</f>
        <v>HIGH</v>
      </c>
      <c r="O67" s="4" t="str">
        <f t="shared" ref="O67:O130" si="4">IF(AND(C67&gt;35,E67="MORNING"),"PREMINUM MORNING","OTHERS")</f>
        <v>OTHERS</v>
      </c>
      <c r="P67" s="4" t="str">
        <f t="shared" ref="P67:P130" si="5">IF(OR(C67&gt;35,E67="MORNING"),"PREMINUM MORNING","OTHERS")</f>
        <v>PREMINUM MORNING</v>
      </c>
    </row>
    <row r="68" spans="1:16" x14ac:dyDescent="0.3">
      <c r="A68" s="4">
        <v>19</v>
      </c>
      <c r="B68" t="s">
        <v>11</v>
      </c>
      <c r="C68" s="4">
        <v>38.700000000000003</v>
      </c>
      <c r="D68" t="s">
        <v>29</v>
      </c>
      <c r="E68" t="s">
        <v>20</v>
      </c>
      <c r="F68" s="4" t="s">
        <v>22</v>
      </c>
      <c r="G68" s="4" t="s">
        <v>15</v>
      </c>
      <c r="H68" s="4">
        <v>6</v>
      </c>
      <c r="I68" s="4">
        <v>3</v>
      </c>
      <c r="J68" s="1">
        <v>45360</v>
      </c>
      <c r="K68" s="2">
        <v>1.2472222222222221E-2</v>
      </c>
      <c r="M68" s="4" t="str">
        <f t="shared" si="3"/>
        <v>HIGH</v>
      </c>
      <c r="N68" s="4" t="str" cm="1">
        <f t="array" ref="N68">_xlfn.IFS(C68&gt;35,"HIGH",C68&gt;25,"MIDDLE",TRUE,"LOW")</f>
        <v>HIGH</v>
      </c>
      <c r="O68" s="4" t="str">
        <f t="shared" si="4"/>
        <v>OTHERS</v>
      </c>
      <c r="P68" s="4" t="str">
        <f t="shared" si="5"/>
        <v>PREMINUM MORNING</v>
      </c>
    </row>
    <row r="69" spans="1:16" x14ac:dyDescent="0.3">
      <c r="A69" s="4">
        <v>19</v>
      </c>
      <c r="B69" t="s">
        <v>11</v>
      </c>
      <c r="C69" s="4">
        <v>38.700000000000003</v>
      </c>
      <c r="D69" t="s">
        <v>16</v>
      </c>
      <c r="E69" t="s">
        <v>20</v>
      </c>
      <c r="F69" s="4" t="s">
        <v>22</v>
      </c>
      <c r="G69" s="4" t="s">
        <v>15</v>
      </c>
      <c r="H69" s="4">
        <v>6</v>
      </c>
      <c r="I69" s="4">
        <v>3</v>
      </c>
      <c r="J69" s="1">
        <v>45360</v>
      </c>
      <c r="K69" s="2">
        <v>1.3311342592592592E-2</v>
      </c>
      <c r="M69" s="4" t="str">
        <f t="shared" si="3"/>
        <v>HIGH</v>
      </c>
      <c r="N69" s="4" t="str" cm="1">
        <f t="array" ref="N69">_xlfn.IFS(C69&gt;35,"HIGH",C69&gt;25,"MIDDLE",TRUE,"LOW")</f>
        <v>HIGH</v>
      </c>
      <c r="O69" s="4" t="str">
        <f t="shared" si="4"/>
        <v>OTHERS</v>
      </c>
      <c r="P69" s="4" t="str">
        <f t="shared" si="5"/>
        <v>PREMINUM MORNING</v>
      </c>
    </row>
    <row r="70" spans="1:16" x14ac:dyDescent="0.3">
      <c r="A70" s="4">
        <v>11</v>
      </c>
      <c r="B70" t="s">
        <v>11</v>
      </c>
      <c r="C70" s="4">
        <v>24</v>
      </c>
      <c r="D70" t="s">
        <v>26</v>
      </c>
      <c r="E70" t="s">
        <v>13</v>
      </c>
      <c r="F70" s="4" t="s">
        <v>23</v>
      </c>
      <c r="G70" s="4" t="s">
        <v>15</v>
      </c>
      <c r="H70" s="4">
        <v>7</v>
      </c>
      <c r="I70" s="4">
        <v>3</v>
      </c>
      <c r="J70" s="1">
        <v>45361</v>
      </c>
      <c r="K70" s="2">
        <v>1.3435185185185185E-2</v>
      </c>
      <c r="M70" s="4" t="str">
        <f t="shared" si="3"/>
        <v>LOW</v>
      </c>
      <c r="N70" s="4" t="str" cm="1">
        <f t="array" ref="N70">_xlfn.IFS(C70&gt;35,"HIGH",C70&gt;25,"MIDDLE",TRUE,"LOW")</f>
        <v>LOW</v>
      </c>
      <c r="O70" s="4" t="str">
        <f t="shared" si="4"/>
        <v>OTHERS</v>
      </c>
      <c r="P70" s="4" t="str">
        <f t="shared" si="5"/>
        <v>PREMINUM MORNING</v>
      </c>
    </row>
    <row r="71" spans="1:16" x14ac:dyDescent="0.3">
      <c r="A71" s="4">
        <v>19</v>
      </c>
      <c r="B71" t="s">
        <v>11</v>
      </c>
      <c r="C71" s="4">
        <v>38.700000000000003</v>
      </c>
      <c r="D71" t="s">
        <v>12</v>
      </c>
      <c r="E71" t="s">
        <v>20</v>
      </c>
      <c r="F71" s="4" t="s">
        <v>23</v>
      </c>
      <c r="G71" s="4" t="s">
        <v>15</v>
      </c>
      <c r="H71" s="4">
        <v>7</v>
      </c>
      <c r="I71" s="4">
        <v>3</v>
      </c>
      <c r="J71" s="1">
        <v>45361</v>
      </c>
      <c r="K71" s="2">
        <v>2.3616898148148147E-2</v>
      </c>
      <c r="M71" s="4" t="str">
        <f t="shared" si="3"/>
        <v>HIGH</v>
      </c>
      <c r="N71" s="4" t="str" cm="1">
        <f t="array" ref="N71">_xlfn.IFS(C71&gt;35,"HIGH",C71&gt;25,"MIDDLE",TRUE,"LOW")</f>
        <v>HIGH</v>
      </c>
      <c r="O71" s="4" t="str">
        <f t="shared" si="4"/>
        <v>OTHERS</v>
      </c>
      <c r="P71" s="4" t="str">
        <f t="shared" si="5"/>
        <v>PREMINUM MORNING</v>
      </c>
    </row>
    <row r="72" spans="1:16" x14ac:dyDescent="0.3">
      <c r="A72" s="4">
        <v>19</v>
      </c>
      <c r="B72" t="s">
        <v>11</v>
      </c>
      <c r="C72" s="4">
        <v>28.9</v>
      </c>
      <c r="D72" t="s">
        <v>24</v>
      </c>
      <c r="E72" t="s">
        <v>20</v>
      </c>
      <c r="F72" s="4" t="s">
        <v>23</v>
      </c>
      <c r="G72" s="4" t="s">
        <v>15</v>
      </c>
      <c r="H72" s="4">
        <v>7</v>
      </c>
      <c r="I72" s="4">
        <v>3</v>
      </c>
      <c r="J72" s="1">
        <v>45361</v>
      </c>
      <c r="K72" s="2">
        <v>2.4938657407407406E-2</v>
      </c>
      <c r="M72" s="4" t="str">
        <f t="shared" si="3"/>
        <v>LOW</v>
      </c>
      <c r="N72" s="4" t="str" cm="1">
        <f t="array" ref="N72">_xlfn.IFS(C72&gt;35,"HIGH",C72&gt;25,"MIDDLE",TRUE,"LOW")</f>
        <v>MIDDLE</v>
      </c>
      <c r="O72" s="4" t="str">
        <f t="shared" si="4"/>
        <v>OTHERS</v>
      </c>
      <c r="P72" s="4" t="str">
        <f t="shared" si="5"/>
        <v>OTHERS</v>
      </c>
    </row>
    <row r="73" spans="1:16" x14ac:dyDescent="0.3">
      <c r="A73" s="4">
        <v>11</v>
      </c>
      <c r="B73" t="s">
        <v>11</v>
      </c>
      <c r="C73" s="4">
        <v>38.700000000000003</v>
      </c>
      <c r="D73" t="s">
        <v>29</v>
      </c>
      <c r="E73" t="s">
        <v>13</v>
      </c>
      <c r="F73" s="4" t="s">
        <v>25</v>
      </c>
      <c r="G73" s="4" t="s">
        <v>15</v>
      </c>
      <c r="H73" s="4">
        <v>1</v>
      </c>
      <c r="I73" s="4">
        <v>3</v>
      </c>
      <c r="J73" s="1">
        <v>45362</v>
      </c>
      <c r="K73" s="2">
        <v>2.2902777777777779E-2</v>
      </c>
      <c r="M73" s="4" t="str">
        <f t="shared" si="3"/>
        <v>HIGH</v>
      </c>
      <c r="N73" s="4" t="str" cm="1">
        <f t="array" ref="N73">_xlfn.IFS(C73&gt;35,"HIGH",C73&gt;25,"MIDDLE",TRUE,"LOW")</f>
        <v>HIGH</v>
      </c>
      <c r="O73" s="4" t="str">
        <f t="shared" si="4"/>
        <v>PREMINUM MORNING</v>
      </c>
      <c r="P73" s="4" t="str">
        <f t="shared" si="5"/>
        <v>PREMINUM MORNING</v>
      </c>
    </row>
    <row r="74" spans="1:16" x14ac:dyDescent="0.3">
      <c r="A74" s="4">
        <v>16</v>
      </c>
      <c r="B74" t="s">
        <v>11</v>
      </c>
      <c r="C74" s="4">
        <v>28.9</v>
      </c>
      <c r="D74" t="s">
        <v>18</v>
      </c>
      <c r="E74" t="s">
        <v>17</v>
      </c>
      <c r="F74" s="4" t="s">
        <v>25</v>
      </c>
      <c r="G74" s="4" t="s">
        <v>15</v>
      </c>
      <c r="H74" s="4">
        <v>1</v>
      </c>
      <c r="I74" s="4">
        <v>3</v>
      </c>
      <c r="J74" s="1">
        <v>45362</v>
      </c>
      <c r="K74" s="2">
        <v>1.6972222222222222E-2</v>
      </c>
      <c r="M74" s="4" t="str">
        <f t="shared" si="3"/>
        <v>LOW</v>
      </c>
      <c r="N74" s="4" t="str" cm="1">
        <f t="array" ref="N74">_xlfn.IFS(C74&gt;35,"HIGH",C74&gt;25,"MIDDLE",TRUE,"LOW")</f>
        <v>MIDDLE</v>
      </c>
      <c r="O74" s="4" t="str">
        <f t="shared" si="4"/>
        <v>OTHERS</v>
      </c>
      <c r="P74" s="4" t="str">
        <f t="shared" si="5"/>
        <v>OTHERS</v>
      </c>
    </row>
    <row r="75" spans="1:16" x14ac:dyDescent="0.3">
      <c r="A75" s="4">
        <v>16</v>
      </c>
      <c r="B75" t="s">
        <v>11</v>
      </c>
      <c r="C75" s="4">
        <v>38.700000000000003</v>
      </c>
      <c r="D75" t="s">
        <v>12</v>
      </c>
      <c r="E75" t="s">
        <v>17</v>
      </c>
      <c r="F75" s="4" t="s">
        <v>25</v>
      </c>
      <c r="G75" s="4" t="s">
        <v>15</v>
      </c>
      <c r="H75" s="4">
        <v>1</v>
      </c>
      <c r="I75" s="4">
        <v>3</v>
      </c>
      <c r="J75" s="1">
        <v>45362</v>
      </c>
      <c r="K75" s="2">
        <v>1.7890046296296296E-2</v>
      </c>
      <c r="M75" s="4" t="str">
        <f t="shared" si="3"/>
        <v>HIGH</v>
      </c>
      <c r="N75" s="4" t="str" cm="1">
        <f t="array" ref="N75">_xlfn.IFS(C75&gt;35,"HIGH",C75&gt;25,"MIDDLE",TRUE,"LOW")</f>
        <v>HIGH</v>
      </c>
      <c r="O75" s="4" t="str">
        <f t="shared" si="4"/>
        <v>OTHERS</v>
      </c>
      <c r="P75" s="4" t="str">
        <f t="shared" si="5"/>
        <v>PREMINUM MORNING</v>
      </c>
    </row>
    <row r="76" spans="1:16" x14ac:dyDescent="0.3">
      <c r="A76" s="4">
        <v>16</v>
      </c>
      <c r="B76" t="s">
        <v>11</v>
      </c>
      <c r="C76" s="4">
        <v>28.9</v>
      </c>
      <c r="D76" t="s">
        <v>24</v>
      </c>
      <c r="E76" t="s">
        <v>17</v>
      </c>
      <c r="F76" s="4" t="s">
        <v>25</v>
      </c>
      <c r="G76" s="4" t="s">
        <v>15</v>
      </c>
      <c r="H76" s="4">
        <v>1</v>
      </c>
      <c r="I76" s="4">
        <v>3</v>
      </c>
      <c r="J76" s="1">
        <v>45362</v>
      </c>
      <c r="K76" s="2">
        <v>3.5296296296296298E-2</v>
      </c>
      <c r="M76" s="4" t="str">
        <f t="shared" si="3"/>
        <v>LOW</v>
      </c>
      <c r="N76" s="4" t="str" cm="1">
        <f t="array" ref="N76">_xlfn.IFS(C76&gt;35,"HIGH",C76&gt;25,"MIDDLE",TRUE,"LOW")</f>
        <v>MIDDLE</v>
      </c>
      <c r="O76" s="4" t="str">
        <f t="shared" si="4"/>
        <v>OTHERS</v>
      </c>
      <c r="P76" s="4" t="str">
        <f t="shared" si="5"/>
        <v>OTHERS</v>
      </c>
    </row>
    <row r="77" spans="1:16" x14ac:dyDescent="0.3">
      <c r="A77" s="4">
        <v>10</v>
      </c>
      <c r="B77" t="s">
        <v>11</v>
      </c>
      <c r="C77" s="4">
        <v>28.9</v>
      </c>
      <c r="D77" t="s">
        <v>18</v>
      </c>
      <c r="E77" t="s">
        <v>13</v>
      </c>
      <c r="F77" s="4" t="s">
        <v>27</v>
      </c>
      <c r="G77" s="4" t="s">
        <v>15</v>
      </c>
      <c r="H77" s="4">
        <v>2</v>
      </c>
      <c r="I77" s="4">
        <v>3</v>
      </c>
      <c r="J77" s="1">
        <v>45363</v>
      </c>
      <c r="K77" s="2">
        <v>1.0815972222222222E-2</v>
      </c>
      <c r="M77" s="4" t="str">
        <f t="shared" si="3"/>
        <v>LOW</v>
      </c>
      <c r="N77" s="4" t="str" cm="1">
        <f t="array" ref="N77">_xlfn.IFS(C77&gt;35,"HIGH",C77&gt;25,"MIDDLE",TRUE,"LOW")</f>
        <v>MIDDLE</v>
      </c>
      <c r="O77" s="4" t="str">
        <f t="shared" si="4"/>
        <v>OTHERS</v>
      </c>
      <c r="P77" s="4" t="str">
        <f t="shared" si="5"/>
        <v>PREMINUM MORNING</v>
      </c>
    </row>
    <row r="78" spans="1:16" x14ac:dyDescent="0.3">
      <c r="A78" s="4">
        <v>10</v>
      </c>
      <c r="B78" t="s">
        <v>11</v>
      </c>
      <c r="C78" s="4">
        <v>28.9</v>
      </c>
      <c r="D78" t="s">
        <v>24</v>
      </c>
      <c r="E78" t="s">
        <v>13</v>
      </c>
      <c r="F78" s="4" t="s">
        <v>27</v>
      </c>
      <c r="G78" s="4" t="s">
        <v>15</v>
      </c>
      <c r="H78" s="4">
        <v>2</v>
      </c>
      <c r="I78" s="4">
        <v>3</v>
      </c>
      <c r="J78" s="1">
        <v>45363</v>
      </c>
      <c r="K78" s="2">
        <v>1.1399305555555555E-2</v>
      </c>
      <c r="M78" s="4" t="str">
        <f t="shared" si="3"/>
        <v>LOW</v>
      </c>
      <c r="N78" s="4" t="str" cm="1">
        <f t="array" ref="N78">_xlfn.IFS(C78&gt;35,"HIGH",C78&gt;25,"MIDDLE",TRUE,"LOW")</f>
        <v>MIDDLE</v>
      </c>
      <c r="O78" s="4" t="str">
        <f t="shared" si="4"/>
        <v>OTHERS</v>
      </c>
      <c r="P78" s="4" t="str">
        <f t="shared" si="5"/>
        <v>PREMINUM MORNING</v>
      </c>
    </row>
    <row r="79" spans="1:16" x14ac:dyDescent="0.3">
      <c r="A79" s="4">
        <v>11</v>
      </c>
      <c r="B79" t="s">
        <v>11</v>
      </c>
      <c r="C79" s="4">
        <v>38.700000000000003</v>
      </c>
      <c r="D79" t="s">
        <v>16</v>
      </c>
      <c r="E79" t="s">
        <v>13</v>
      </c>
      <c r="F79" s="4" t="s">
        <v>27</v>
      </c>
      <c r="G79" s="4" t="s">
        <v>15</v>
      </c>
      <c r="H79" s="4">
        <v>2</v>
      </c>
      <c r="I79" s="4">
        <v>3</v>
      </c>
      <c r="J79" s="1">
        <v>45363</v>
      </c>
      <c r="K79" s="2">
        <v>1.4416666666666666E-2</v>
      </c>
      <c r="M79" s="4" t="str">
        <f t="shared" si="3"/>
        <v>HIGH</v>
      </c>
      <c r="N79" s="4" t="str" cm="1">
        <f t="array" ref="N79">_xlfn.IFS(C79&gt;35,"HIGH",C79&gt;25,"MIDDLE",TRUE,"LOW")</f>
        <v>HIGH</v>
      </c>
      <c r="O79" s="4" t="str">
        <f t="shared" si="4"/>
        <v>PREMINUM MORNING</v>
      </c>
      <c r="P79" s="4" t="str">
        <f t="shared" si="5"/>
        <v>PREMINUM MORNING</v>
      </c>
    </row>
    <row r="80" spans="1:16" x14ac:dyDescent="0.3">
      <c r="A80" s="4">
        <v>12</v>
      </c>
      <c r="B80" t="s">
        <v>11</v>
      </c>
      <c r="C80" s="4">
        <v>33.799999999999997</v>
      </c>
      <c r="D80" t="s">
        <v>19</v>
      </c>
      <c r="E80" t="s">
        <v>17</v>
      </c>
      <c r="F80" s="4" t="s">
        <v>27</v>
      </c>
      <c r="G80" s="4" t="s">
        <v>15</v>
      </c>
      <c r="H80" s="4">
        <v>2</v>
      </c>
      <c r="I80" s="4">
        <v>3</v>
      </c>
      <c r="J80" s="1">
        <v>45363</v>
      </c>
      <c r="K80" s="2">
        <v>3.2214120370370372E-2</v>
      </c>
      <c r="M80" s="4" t="str">
        <f t="shared" si="3"/>
        <v>LOW</v>
      </c>
      <c r="N80" s="4" t="str" cm="1">
        <f t="array" ref="N80">_xlfn.IFS(C80&gt;35,"HIGH",C80&gt;25,"MIDDLE",TRUE,"LOW")</f>
        <v>MIDDLE</v>
      </c>
      <c r="O80" s="4" t="str">
        <f t="shared" si="4"/>
        <v>OTHERS</v>
      </c>
      <c r="P80" s="4" t="str">
        <f t="shared" si="5"/>
        <v>OTHERS</v>
      </c>
    </row>
    <row r="81" spans="1:16" x14ac:dyDescent="0.3">
      <c r="A81" s="4">
        <v>12</v>
      </c>
      <c r="B81" t="s">
        <v>11</v>
      </c>
      <c r="C81" s="4">
        <v>28.9</v>
      </c>
      <c r="D81" t="s">
        <v>18</v>
      </c>
      <c r="E81" t="s">
        <v>17</v>
      </c>
      <c r="F81" s="4" t="s">
        <v>27</v>
      </c>
      <c r="G81" s="4" t="s">
        <v>15</v>
      </c>
      <c r="H81" s="4">
        <v>2</v>
      </c>
      <c r="I81" s="4">
        <v>3</v>
      </c>
      <c r="J81" s="1">
        <v>45363</v>
      </c>
      <c r="K81" s="2">
        <v>3.2939814814814818E-2</v>
      </c>
      <c r="M81" s="4" t="str">
        <f t="shared" si="3"/>
        <v>LOW</v>
      </c>
      <c r="N81" s="4" t="str" cm="1">
        <f t="array" ref="N81">_xlfn.IFS(C81&gt;35,"HIGH",C81&gt;25,"MIDDLE",TRUE,"LOW")</f>
        <v>MIDDLE</v>
      </c>
      <c r="O81" s="4" t="str">
        <f t="shared" si="4"/>
        <v>OTHERS</v>
      </c>
      <c r="P81" s="4" t="str">
        <f t="shared" si="5"/>
        <v>OTHERS</v>
      </c>
    </row>
    <row r="82" spans="1:16" x14ac:dyDescent="0.3">
      <c r="A82" s="4">
        <v>16</v>
      </c>
      <c r="B82" t="s">
        <v>11</v>
      </c>
      <c r="C82" s="4">
        <v>28.9</v>
      </c>
      <c r="D82" t="s">
        <v>18</v>
      </c>
      <c r="E82" t="s">
        <v>17</v>
      </c>
      <c r="F82" s="4" t="s">
        <v>27</v>
      </c>
      <c r="G82" s="4" t="s">
        <v>15</v>
      </c>
      <c r="H82" s="4">
        <v>2</v>
      </c>
      <c r="I82" s="4">
        <v>3</v>
      </c>
      <c r="J82" s="1">
        <v>45363</v>
      </c>
      <c r="K82" s="2">
        <v>1.0917824074074073E-2</v>
      </c>
      <c r="M82" s="4" t="str">
        <f t="shared" si="3"/>
        <v>LOW</v>
      </c>
      <c r="N82" s="4" t="str" cm="1">
        <f t="array" ref="N82">_xlfn.IFS(C82&gt;35,"HIGH",C82&gt;25,"MIDDLE",TRUE,"LOW")</f>
        <v>MIDDLE</v>
      </c>
      <c r="O82" s="4" t="str">
        <f t="shared" si="4"/>
        <v>OTHERS</v>
      </c>
      <c r="P82" s="4" t="str">
        <f t="shared" si="5"/>
        <v>OTHERS</v>
      </c>
    </row>
    <row r="83" spans="1:16" x14ac:dyDescent="0.3">
      <c r="A83" s="4">
        <v>11</v>
      </c>
      <c r="B83" t="s">
        <v>11</v>
      </c>
      <c r="C83" s="4">
        <v>38.700000000000003</v>
      </c>
      <c r="D83" t="s">
        <v>16</v>
      </c>
      <c r="E83" t="s">
        <v>13</v>
      </c>
      <c r="F83" s="4" t="s">
        <v>28</v>
      </c>
      <c r="G83" s="4" t="s">
        <v>15</v>
      </c>
      <c r="H83" s="4">
        <v>3</v>
      </c>
      <c r="I83" s="4">
        <v>3</v>
      </c>
      <c r="J83" s="1">
        <v>45364</v>
      </c>
      <c r="K83" s="2">
        <v>4.6643518518518518E-3</v>
      </c>
      <c r="M83" s="4" t="str">
        <f t="shared" si="3"/>
        <v>HIGH</v>
      </c>
      <c r="N83" s="4" t="str" cm="1">
        <f t="array" ref="N83">_xlfn.IFS(C83&gt;35,"HIGH",C83&gt;25,"MIDDLE",TRUE,"LOW")</f>
        <v>HIGH</v>
      </c>
      <c r="O83" s="4" t="str">
        <f t="shared" si="4"/>
        <v>PREMINUM MORNING</v>
      </c>
      <c r="P83" s="4" t="str">
        <f t="shared" si="5"/>
        <v>PREMINUM MORNING</v>
      </c>
    </row>
    <row r="84" spans="1:16" x14ac:dyDescent="0.3">
      <c r="A84" s="4">
        <v>11</v>
      </c>
      <c r="B84" t="s">
        <v>11</v>
      </c>
      <c r="C84" s="4">
        <v>28.9</v>
      </c>
      <c r="D84" t="s">
        <v>18</v>
      </c>
      <c r="E84" t="s">
        <v>13</v>
      </c>
      <c r="F84" s="4" t="s">
        <v>28</v>
      </c>
      <c r="G84" s="4" t="s">
        <v>15</v>
      </c>
      <c r="H84" s="4">
        <v>3</v>
      </c>
      <c r="I84" s="4">
        <v>3</v>
      </c>
      <c r="J84" s="1">
        <v>45364</v>
      </c>
      <c r="K84" s="2">
        <v>3.3527777777777781E-2</v>
      </c>
      <c r="M84" s="4" t="str">
        <f t="shared" si="3"/>
        <v>LOW</v>
      </c>
      <c r="N84" s="4" t="str" cm="1">
        <f t="array" ref="N84">_xlfn.IFS(C84&gt;35,"HIGH",C84&gt;25,"MIDDLE",TRUE,"LOW")</f>
        <v>MIDDLE</v>
      </c>
      <c r="O84" s="4" t="str">
        <f t="shared" si="4"/>
        <v>OTHERS</v>
      </c>
      <c r="P84" s="4" t="str">
        <f t="shared" si="5"/>
        <v>PREMINUM MORNING</v>
      </c>
    </row>
    <row r="85" spans="1:16" x14ac:dyDescent="0.3">
      <c r="A85" s="4">
        <v>12</v>
      </c>
      <c r="B85" t="s">
        <v>11</v>
      </c>
      <c r="C85" s="4">
        <v>28.9</v>
      </c>
      <c r="D85" t="s">
        <v>18</v>
      </c>
      <c r="E85" t="s">
        <v>17</v>
      </c>
      <c r="F85" s="4" t="s">
        <v>28</v>
      </c>
      <c r="G85" s="4" t="s">
        <v>15</v>
      </c>
      <c r="H85" s="4">
        <v>3</v>
      </c>
      <c r="I85" s="4">
        <v>3</v>
      </c>
      <c r="J85" s="1">
        <v>45364</v>
      </c>
      <c r="K85" s="2">
        <v>1.2572916666666666E-2</v>
      </c>
      <c r="M85" s="4" t="str">
        <f t="shared" si="3"/>
        <v>LOW</v>
      </c>
      <c r="N85" s="4" t="str" cm="1">
        <f t="array" ref="N85">_xlfn.IFS(C85&gt;35,"HIGH",C85&gt;25,"MIDDLE",TRUE,"LOW")</f>
        <v>MIDDLE</v>
      </c>
      <c r="O85" s="4" t="str">
        <f t="shared" si="4"/>
        <v>OTHERS</v>
      </c>
      <c r="P85" s="4" t="str">
        <f t="shared" si="5"/>
        <v>OTHERS</v>
      </c>
    </row>
    <row r="86" spans="1:16" x14ac:dyDescent="0.3">
      <c r="A86" s="4">
        <v>12</v>
      </c>
      <c r="B86" t="s">
        <v>11</v>
      </c>
      <c r="C86" s="4">
        <v>28.9</v>
      </c>
      <c r="D86" t="s">
        <v>18</v>
      </c>
      <c r="E86" t="s">
        <v>17</v>
      </c>
      <c r="F86" s="4" t="s">
        <v>28</v>
      </c>
      <c r="G86" s="4" t="s">
        <v>15</v>
      </c>
      <c r="H86" s="4">
        <v>3</v>
      </c>
      <c r="I86" s="4">
        <v>3</v>
      </c>
      <c r="J86" s="1">
        <v>45364</v>
      </c>
      <c r="K86" s="2">
        <v>1.325347222222222E-2</v>
      </c>
      <c r="M86" s="4" t="str">
        <f t="shared" si="3"/>
        <v>LOW</v>
      </c>
      <c r="N86" s="4" t="str" cm="1">
        <f t="array" ref="N86">_xlfn.IFS(C86&gt;35,"HIGH",C86&gt;25,"MIDDLE",TRUE,"LOW")</f>
        <v>MIDDLE</v>
      </c>
      <c r="O86" s="4" t="str">
        <f t="shared" si="4"/>
        <v>OTHERS</v>
      </c>
      <c r="P86" s="4" t="str">
        <f t="shared" si="5"/>
        <v>OTHERS</v>
      </c>
    </row>
    <row r="87" spans="1:16" x14ac:dyDescent="0.3">
      <c r="A87" s="4">
        <v>14</v>
      </c>
      <c r="B87" t="s">
        <v>11</v>
      </c>
      <c r="C87" s="4">
        <v>33.799999999999997</v>
      </c>
      <c r="D87" t="s">
        <v>19</v>
      </c>
      <c r="E87" t="s">
        <v>17</v>
      </c>
      <c r="F87" s="4" t="s">
        <v>28</v>
      </c>
      <c r="G87" s="4" t="s">
        <v>15</v>
      </c>
      <c r="H87" s="4">
        <v>3</v>
      </c>
      <c r="I87" s="4">
        <v>3</v>
      </c>
      <c r="J87" s="1">
        <v>45364</v>
      </c>
      <c r="K87" s="2">
        <v>1.8528935185185186E-2</v>
      </c>
      <c r="M87" s="4" t="str">
        <f t="shared" si="3"/>
        <v>LOW</v>
      </c>
      <c r="N87" s="4" t="str" cm="1">
        <f t="array" ref="N87">_xlfn.IFS(C87&gt;35,"HIGH",C87&gt;25,"MIDDLE",TRUE,"LOW")</f>
        <v>MIDDLE</v>
      </c>
      <c r="O87" s="4" t="str">
        <f t="shared" si="4"/>
        <v>OTHERS</v>
      </c>
      <c r="P87" s="4" t="str">
        <f t="shared" si="5"/>
        <v>OTHERS</v>
      </c>
    </row>
    <row r="88" spans="1:16" x14ac:dyDescent="0.3">
      <c r="A88" s="4">
        <v>15</v>
      </c>
      <c r="B88" t="s">
        <v>11</v>
      </c>
      <c r="C88" s="4">
        <v>24</v>
      </c>
      <c r="D88" t="s">
        <v>26</v>
      </c>
      <c r="E88" t="s">
        <v>17</v>
      </c>
      <c r="F88" s="4" t="s">
        <v>28</v>
      </c>
      <c r="G88" s="4" t="s">
        <v>15</v>
      </c>
      <c r="H88" s="4">
        <v>3</v>
      </c>
      <c r="I88" s="4">
        <v>3</v>
      </c>
      <c r="J88" s="1">
        <v>45364</v>
      </c>
      <c r="K88" s="2">
        <v>2.8035879629629633E-2</v>
      </c>
      <c r="M88" s="4" t="str">
        <f t="shared" si="3"/>
        <v>LOW</v>
      </c>
      <c r="N88" s="4" t="str" cm="1">
        <f t="array" ref="N88">_xlfn.IFS(C88&gt;35,"HIGH",C88&gt;25,"MIDDLE",TRUE,"LOW")</f>
        <v>LOW</v>
      </c>
      <c r="O88" s="4" t="str">
        <f t="shared" si="4"/>
        <v>OTHERS</v>
      </c>
      <c r="P88" s="4" t="str">
        <f t="shared" si="5"/>
        <v>OTHERS</v>
      </c>
    </row>
    <row r="89" spans="1:16" x14ac:dyDescent="0.3">
      <c r="A89" s="4">
        <v>15</v>
      </c>
      <c r="B89" t="s">
        <v>11</v>
      </c>
      <c r="C89" s="4">
        <v>24</v>
      </c>
      <c r="D89" t="s">
        <v>26</v>
      </c>
      <c r="E89" t="s">
        <v>17</v>
      </c>
      <c r="F89" s="4" t="s">
        <v>28</v>
      </c>
      <c r="G89" s="4" t="s">
        <v>15</v>
      </c>
      <c r="H89" s="4">
        <v>3</v>
      </c>
      <c r="I89" s="4">
        <v>3</v>
      </c>
      <c r="J89" s="1">
        <v>45364</v>
      </c>
      <c r="K89" s="2">
        <v>2.8708333333333336E-2</v>
      </c>
      <c r="M89" s="4" t="str">
        <f t="shared" si="3"/>
        <v>LOW</v>
      </c>
      <c r="N89" s="4" t="str" cm="1">
        <f t="array" ref="N89">_xlfn.IFS(C89&gt;35,"HIGH",C89&gt;25,"MIDDLE",TRUE,"LOW")</f>
        <v>LOW</v>
      </c>
      <c r="O89" s="4" t="str">
        <f t="shared" si="4"/>
        <v>OTHERS</v>
      </c>
      <c r="P89" s="4" t="str">
        <f t="shared" si="5"/>
        <v>OTHERS</v>
      </c>
    </row>
    <row r="90" spans="1:16" x14ac:dyDescent="0.3">
      <c r="A90" s="4">
        <v>16</v>
      </c>
      <c r="B90" t="s">
        <v>11</v>
      </c>
      <c r="C90" s="4">
        <v>24</v>
      </c>
      <c r="D90" t="s">
        <v>26</v>
      </c>
      <c r="E90" t="s">
        <v>17</v>
      </c>
      <c r="F90" s="4" t="s">
        <v>28</v>
      </c>
      <c r="G90" s="4" t="s">
        <v>15</v>
      </c>
      <c r="H90" s="4">
        <v>3</v>
      </c>
      <c r="I90" s="4">
        <v>3</v>
      </c>
      <c r="J90" s="1">
        <v>45364</v>
      </c>
      <c r="K90" s="2">
        <v>3.2747685185185185E-2</v>
      </c>
      <c r="M90" s="4" t="str">
        <f t="shared" si="3"/>
        <v>LOW</v>
      </c>
      <c r="N90" s="4" t="str" cm="1">
        <f t="array" ref="N90">_xlfn.IFS(C90&gt;35,"HIGH",C90&gt;25,"MIDDLE",TRUE,"LOW")</f>
        <v>LOW</v>
      </c>
      <c r="O90" s="4" t="str">
        <f t="shared" si="4"/>
        <v>OTHERS</v>
      </c>
      <c r="P90" s="4" t="str">
        <f t="shared" si="5"/>
        <v>OTHERS</v>
      </c>
    </row>
    <row r="91" spans="1:16" x14ac:dyDescent="0.3">
      <c r="A91" s="4">
        <v>10</v>
      </c>
      <c r="B91" t="s">
        <v>11</v>
      </c>
      <c r="C91" s="4">
        <v>38.700000000000003</v>
      </c>
      <c r="D91" t="s">
        <v>12</v>
      </c>
      <c r="E91" t="s">
        <v>13</v>
      </c>
      <c r="F91" s="4" t="s">
        <v>30</v>
      </c>
      <c r="G91" s="4" t="s">
        <v>15</v>
      </c>
      <c r="H91" s="4">
        <v>4</v>
      </c>
      <c r="I91" s="4">
        <v>3</v>
      </c>
      <c r="J91" s="1">
        <v>45365</v>
      </c>
      <c r="K91" s="2">
        <v>1.982638888888889E-2</v>
      </c>
      <c r="M91" s="4" t="str">
        <f t="shared" si="3"/>
        <v>HIGH</v>
      </c>
      <c r="N91" s="4" t="str" cm="1">
        <f t="array" ref="N91">_xlfn.IFS(C91&gt;35,"HIGH",C91&gt;25,"MIDDLE",TRUE,"LOW")</f>
        <v>HIGH</v>
      </c>
      <c r="O91" s="4" t="str">
        <f t="shared" si="4"/>
        <v>PREMINUM MORNING</v>
      </c>
      <c r="P91" s="4" t="str">
        <f t="shared" si="5"/>
        <v>PREMINUM MORNING</v>
      </c>
    </row>
    <row r="92" spans="1:16" x14ac:dyDescent="0.3">
      <c r="A92" s="4">
        <v>10</v>
      </c>
      <c r="B92" t="s">
        <v>11</v>
      </c>
      <c r="C92" s="4">
        <v>38.700000000000003</v>
      </c>
      <c r="D92" t="s">
        <v>16</v>
      </c>
      <c r="E92" t="s">
        <v>13</v>
      </c>
      <c r="F92" s="4" t="s">
        <v>30</v>
      </c>
      <c r="G92" s="4" t="s">
        <v>15</v>
      </c>
      <c r="H92" s="4">
        <v>4</v>
      </c>
      <c r="I92" s="4">
        <v>3</v>
      </c>
      <c r="J92" s="1">
        <v>45365</v>
      </c>
      <c r="K92" s="2">
        <v>2.053587962962963E-2</v>
      </c>
      <c r="M92" s="4" t="str">
        <f t="shared" si="3"/>
        <v>HIGH</v>
      </c>
      <c r="N92" s="4" t="str" cm="1">
        <f t="array" ref="N92">_xlfn.IFS(C92&gt;35,"HIGH",C92&gt;25,"MIDDLE",TRUE,"LOW")</f>
        <v>HIGH</v>
      </c>
      <c r="O92" s="4" t="str">
        <f t="shared" si="4"/>
        <v>PREMINUM MORNING</v>
      </c>
      <c r="P92" s="4" t="str">
        <f t="shared" si="5"/>
        <v>PREMINUM MORNING</v>
      </c>
    </row>
    <row r="93" spans="1:16" x14ac:dyDescent="0.3">
      <c r="A93" s="4">
        <v>13</v>
      </c>
      <c r="B93" t="s">
        <v>11</v>
      </c>
      <c r="C93" s="4">
        <v>28.9</v>
      </c>
      <c r="D93" t="s">
        <v>24</v>
      </c>
      <c r="E93" t="s">
        <v>17</v>
      </c>
      <c r="F93" s="4" t="s">
        <v>30</v>
      </c>
      <c r="G93" s="4" t="s">
        <v>15</v>
      </c>
      <c r="H93" s="4">
        <v>4</v>
      </c>
      <c r="I93" s="4">
        <v>3</v>
      </c>
      <c r="J93" s="1">
        <v>45365</v>
      </c>
      <c r="K93" s="2">
        <v>1.9091435185185184E-2</v>
      </c>
      <c r="M93" s="4" t="str">
        <f t="shared" si="3"/>
        <v>LOW</v>
      </c>
      <c r="N93" s="4" t="str" cm="1">
        <f t="array" ref="N93">_xlfn.IFS(C93&gt;35,"HIGH",C93&gt;25,"MIDDLE",TRUE,"LOW")</f>
        <v>MIDDLE</v>
      </c>
      <c r="O93" s="4" t="str">
        <f t="shared" si="4"/>
        <v>OTHERS</v>
      </c>
      <c r="P93" s="4" t="str">
        <f t="shared" si="5"/>
        <v>OTHERS</v>
      </c>
    </row>
    <row r="94" spans="1:16" x14ac:dyDescent="0.3">
      <c r="A94" s="4">
        <v>13</v>
      </c>
      <c r="B94" t="s">
        <v>11</v>
      </c>
      <c r="C94" s="4">
        <v>28.9</v>
      </c>
      <c r="D94" t="s">
        <v>18</v>
      </c>
      <c r="E94" t="s">
        <v>17</v>
      </c>
      <c r="F94" s="4" t="s">
        <v>30</v>
      </c>
      <c r="G94" s="4" t="s">
        <v>15</v>
      </c>
      <c r="H94" s="4">
        <v>4</v>
      </c>
      <c r="I94" s="4">
        <v>3</v>
      </c>
      <c r="J94" s="1">
        <v>45365</v>
      </c>
      <c r="K94" s="2">
        <v>1.9728009259259258E-2</v>
      </c>
      <c r="M94" s="4" t="str">
        <f t="shared" si="3"/>
        <v>LOW</v>
      </c>
      <c r="N94" s="4" t="str" cm="1">
        <f t="array" ref="N94">_xlfn.IFS(C94&gt;35,"HIGH",C94&gt;25,"MIDDLE",TRUE,"LOW")</f>
        <v>MIDDLE</v>
      </c>
      <c r="O94" s="4" t="str">
        <f t="shared" si="4"/>
        <v>OTHERS</v>
      </c>
      <c r="P94" s="4" t="str">
        <f t="shared" si="5"/>
        <v>OTHERS</v>
      </c>
    </row>
    <row r="95" spans="1:16" x14ac:dyDescent="0.3">
      <c r="A95" s="4">
        <v>13</v>
      </c>
      <c r="B95" t="s">
        <v>11</v>
      </c>
      <c r="C95" s="4">
        <v>33.799999999999997</v>
      </c>
      <c r="D95" t="s">
        <v>19</v>
      </c>
      <c r="E95" t="s">
        <v>17</v>
      </c>
      <c r="F95" s="4" t="s">
        <v>30</v>
      </c>
      <c r="G95" s="4" t="s">
        <v>15</v>
      </c>
      <c r="H95" s="4">
        <v>4</v>
      </c>
      <c r="I95" s="4">
        <v>3</v>
      </c>
      <c r="J95" s="1">
        <v>45365</v>
      </c>
      <c r="K95" s="2">
        <v>3.6109953703703707E-2</v>
      </c>
      <c r="M95" s="4" t="str">
        <f t="shared" si="3"/>
        <v>LOW</v>
      </c>
      <c r="N95" s="4" t="str" cm="1">
        <f t="array" ref="N95">_xlfn.IFS(C95&gt;35,"HIGH",C95&gt;25,"MIDDLE",TRUE,"LOW")</f>
        <v>MIDDLE</v>
      </c>
      <c r="O95" s="4" t="str">
        <f t="shared" si="4"/>
        <v>OTHERS</v>
      </c>
      <c r="P95" s="4" t="str">
        <f t="shared" si="5"/>
        <v>OTHERS</v>
      </c>
    </row>
    <row r="96" spans="1:16" x14ac:dyDescent="0.3">
      <c r="A96" s="4">
        <v>13</v>
      </c>
      <c r="B96" t="s">
        <v>11</v>
      </c>
      <c r="C96" s="4">
        <v>24</v>
      </c>
      <c r="D96" t="s">
        <v>26</v>
      </c>
      <c r="E96" t="s">
        <v>17</v>
      </c>
      <c r="F96" s="4" t="s">
        <v>30</v>
      </c>
      <c r="G96" s="4" t="s">
        <v>15</v>
      </c>
      <c r="H96" s="4">
        <v>4</v>
      </c>
      <c r="I96" s="4">
        <v>3</v>
      </c>
      <c r="J96" s="1">
        <v>45365</v>
      </c>
      <c r="K96" s="2">
        <v>3.6761574074074072E-2</v>
      </c>
      <c r="M96" s="4" t="str">
        <f t="shared" si="3"/>
        <v>LOW</v>
      </c>
      <c r="N96" s="4" t="str" cm="1">
        <f t="array" ref="N96">_xlfn.IFS(C96&gt;35,"HIGH",C96&gt;25,"MIDDLE",TRUE,"LOW")</f>
        <v>LOW</v>
      </c>
      <c r="O96" s="4" t="str">
        <f t="shared" si="4"/>
        <v>OTHERS</v>
      </c>
      <c r="P96" s="4" t="str">
        <f t="shared" si="5"/>
        <v>OTHERS</v>
      </c>
    </row>
    <row r="97" spans="1:16" x14ac:dyDescent="0.3">
      <c r="A97" s="4">
        <v>15</v>
      </c>
      <c r="B97" t="s">
        <v>11</v>
      </c>
      <c r="C97" s="4">
        <v>38.700000000000003</v>
      </c>
      <c r="D97" t="s">
        <v>12</v>
      </c>
      <c r="E97" t="s">
        <v>17</v>
      </c>
      <c r="F97" s="4" t="s">
        <v>30</v>
      </c>
      <c r="G97" s="4" t="s">
        <v>15</v>
      </c>
      <c r="H97" s="4">
        <v>4</v>
      </c>
      <c r="I97" s="4">
        <v>3</v>
      </c>
      <c r="J97" s="1">
        <v>45365</v>
      </c>
      <c r="K97" s="2">
        <v>1.4333333333333335E-2</v>
      </c>
      <c r="M97" s="4" t="str">
        <f t="shared" si="3"/>
        <v>HIGH</v>
      </c>
      <c r="N97" s="4" t="str" cm="1">
        <f t="array" ref="N97">_xlfn.IFS(C97&gt;35,"HIGH",C97&gt;25,"MIDDLE",TRUE,"LOW")</f>
        <v>HIGH</v>
      </c>
      <c r="O97" s="4" t="str">
        <f t="shared" si="4"/>
        <v>OTHERS</v>
      </c>
      <c r="P97" s="4" t="str">
        <f t="shared" si="5"/>
        <v>PREMINUM MORNING</v>
      </c>
    </row>
    <row r="98" spans="1:16" x14ac:dyDescent="0.3">
      <c r="A98" s="4">
        <v>16</v>
      </c>
      <c r="B98" t="s">
        <v>11</v>
      </c>
      <c r="C98" s="4">
        <v>33.799999999999997</v>
      </c>
      <c r="D98" t="s">
        <v>19</v>
      </c>
      <c r="E98" t="s">
        <v>17</v>
      </c>
      <c r="F98" s="4" t="s">
        <v>30</v>
      </c>
      <c r="G98" s="4" t="s">
        <v>15</v>
      </c>
      <c r="H98" s="4">
        <v>4</v>
      </c>
      <c r="I98" s="4">
        <v>3</v>
      </c>
      <c r="J98" s="1">
        <v>45365</v>
      </c>
      <c r="K98" s="2">
        <v>2.8877314814814816E-3</v>
      </c>
      <c r="M98" s="4" t="str">
        <f t="shared" si="3"/>
        <v>LOW</v>
      </c>
      <c r="N98" s="4" t="str" cm="1">
        <f t="array" ref="N98">_xlfn.IFS(C98&gt;35,"HIGH",C98&gt;25,"MIDDLE",TRUE,"LOW")</f>
        <v>MIDDLE</v>
      </c>
      <c r="O98" s="4" t="str">
        <f t="shared" si="4"/>
        <v>OTHERS</v>
      </c>
      <c r="P98" s="4" t="str">
        <f t="shared" si="5"/>
        <v>OTHERS</v>
      </c>
    </row>
    <row r="99" spans="1:16" x14ac:dyDescent="0.3">
      <c r="A99" s="4">
        <v>16</v>
      </c>
      <c r="B99" t="s">
        <v>11</v>
      </c>
      <c r="C99" s="4">
        <v>24</v>
      </c>
      <c r="D99" t="s">
        <v>26</v>
      </c>
      <c r="E99" t="s">
        <v>17</v>
      </c>
      <c r="F99" s="4" t="s">
        <v>30</v>
      </c>
      <c r="G99" s="4" t="s">
        <v>15</v>
      </c>
      <c r="H99" s="4">
        <v>4</v>
      </c>
      <c r="I99" s="4">
        <v>3</v>
      </c>
      <c r="J99" s="1">
        <v>45365</v>
      </c>
      <c r="K99" s="2">
        <v>3.7942129629629624E-2</v>
      </c>
      <c r="M99" s="4" t="str">
        <f t="shared" si="3"/>
        <v>LOW</v>
      </c>
      <c r="N99" s="4" t="str" cm="1">
        <f t="array" ref="N99">_xlfn.IFS(C99&gt;35,"HIGH",C99&gt;25,"MIDDLE",TRUE,"LOW")</f>
        <v>LOW</v>
      </c>
      <c r="O99" s="4" t="str">
        <f t="shared" si="4"/>
        <v>OTHERS</v>
      </c>
      <c r="P99" s="4" t="str">
        <f t="shared" si="5"/>
        <v>OTHERS</v>
      </c>
    </row>
    <row r="100" spans="1:16" x14ac:dyDescent="0.3">
      <c r="A100" s="4">
        <v>18</v>
      </c>
      <c r="B100" t="s">
        <v>11</v>
      </c>
      <c r="C100" s="4">
        <v>38.700000000000003</v>
      </c>
      <c r="D100" t="s">
        <v>16</v>
      </c>
      <c r="E100" t="s">
        <v>20</v>
      </c>
      <c r="F100" s="4" t="s">
        <v>30</v>
      </c>
      <c r="G100" s="4" t="s">
        <v>15</v>
      </c>
      <c r="H100" s="4">
        <v>4</v>
      </c>
      <c r="I100" s="4">
        <v>3</v>
      </c>
      <c r="J100" s="1">
        <v>45365</v>
      </c>
      <c r="K100" s="2">
        <v>4.092476851851852E-2</v>
      </c>
      <c r="M100" s="4" t="str">
        <f t="shared" si="3"/>
        <v>HIGH</v>
      </c>
      <c r="N100" s="4" t="str" cm="1">
        <f t="array" ref="N100">_xlfn.IFS(C100&gt;35,"HIGH",C100&gt;25,"MIDDLE",TRUE,"LOW")</f>
        <v>HIGH</v>
      </c>
      <c r="O100" s="4" t="str">
        <f t="shared" si="4"/>
        <v>OTHERS</v>
      </c>
      <c r="P100" s="4" t="str">
        <f t="shared" si="5"/>
        <v>PREMINUM MORNING</v>
      </c>
    </row>
    <row r="101" spans="1:16" x14ac:dyDescent="0.3">
      <c r="A101" s="4">
        <v>19</v>
      </c>
      <c r="B101" t="s">
        <v>11</v>
      </c>
      <c r="C101" s="4">
        <v>28.9</v>
      </c>
      <c r="D101" t="s">
        <v>24</v>
      </c>
      <c r="E101" t="s">
        <v>20</v>
      </c>
      <c r="F101" s="4" t="s">
        <v>30</v>
      </c>
      <c r="G101" s="4" t="s">
        <v>15</v>
      </c>
      <c r="H101" s="4">
        <v>4</v>
      </c>
      <c r="I101" s="4">
        <v>3</v>
      </c>
      <c r="J101" s="1">
        <v>45365</v>
      </c>
      <c r="K101" s="2">
        <v>1.0069444444444443E-4</v>
      </c>
      <c r="M101" s="4" t="str">
        <f t="shared" si="3"/>
        <v>LOW</v>
      </c>
      <c r="N101" s="4" t="str" cm="1">
        <f t="array" ref="N101">_xlfn.IFS(C101&gt;35,"HIGH",C101&gt;25,"MIDDLE",TRUE,"LOW")</f>
        <v>MIDDLE</v>
      </c>
      <c r="O101" s="4" t="str">
        <f t="shared" si="4"/>
        <v>OTHERS</v>
      </c>
      <c r="P101" s="4" t="str">
        <f t="shared" si="5"/>
        <v>OTHERS</v>
      </c>
    </row>
    <row r="102" spans="1:16" x14ac:dyDescent="0.3">
      <c r="A102" s="4">
        <v>10</v>
      </c>
      <c r="B102" t="s">
        <v>11</v>
      </c>
      <c r="C102" s="4">
        <v>38.700000000000003</v>
      </c>
      <c r="D102" t="s">
        <v>16</v>
      </c>
      <c r="E102" t="s">
        <v>13</v>
      </c>
      <c r="F102" s="4" t="s">
        <v>14</v>
      </c>
      <c r="G102" s="4" t="s">
        <v>15</v>
      </c>
      <c r="H102" s="4">
        <v>5</v>
      </c>
      <c r="I102" s="4">
        <v>3</v>
      </c>
      <c r="J102" s="1">
        <v>45366</v>
      </c>
      <c r="K102" s="2">
        <v>3.683101851851852E-2</v>
      </c>
      <c r="M102" s="4" t="str">
        <f t="shared" si="3"/>
        <v>HIGH</v>
      </c>
      <c r="N102" s="4" t="str" cm="1">
        <f t="array" ref="N102">_xlfn.IFS(C102&gt;35,"HIGH",C102&gt;25,"MIDDLE",TRUE,"LOW")</f>
        <v>HIGH</v>
      </c>
      <c r="O102" s="4" t="str">
        <f t="shared" si="4"/>
        <v>PREMINUM MORNING</v>
      </c>
      <c r="P102" s="4" t="str">
        <f t="shared" si="5"/>
        <v>PREMINUM MORNING</v>
      </c>
    </row>
    <row r="103" spans="1:16" x14ac:dyDescent="0.3">
      <c r="A103" s="4">
        <v>18</v>
      </c>
      <c r="B103" t="s">
        <v>11</v>
      </c>
      <c r="C103" s="4">
        <v>28.9</v>
      </c>
      <c r="D103" t="s">
        <v>18</v>
      </c>
      <c r="E103" t="s">
        <v>20</v>
      </c>
      <c r="F103" s="4" t="s">
        <v>14</v>
      </c>
      <c r="G103" s="4" t="s">
        <v>15</v>
      </c>
      <c r="H103" s="4">
        <v>5</v>
      </c>
      <c r="I103" s="4">
        <v>3</v>
      </c>
      <c r="J103" s="1">
        <v>45366</v>
      </c>
      <c r="K103" s="2">
        <v>1.3517361111111112E-2</v>
      </c>
      <c r="M103" s="4" t="str">
        <f t="shared" si="3"/>
        <v>LOW</v>
      </c>
      <c r="N103" s="4" t="str" cm="1">
        <f t="array" ref="N103">_xlfn.IFS(C103&gt;35,"HIGH",C103&gt;25,"MIDDLE",TRUE,"LOW")</f>
        <v>MIDDLE</v>
      </c>
      <c r="O103" s="4" t="str">
        <f t="shared" si="4"/>
        <v>OTHERS</v>
      </c>
      <c r="P103" s="4" t="str">
        <f t="shared" si="5"/>
        <v>OTHERS</v>
      </c>
    </row>
    <row r="104" spans="1:16" x14ac:dyDescent="0.3">
      <c r="A104" s="4">
        <v>12</v>
      </c>
      <c r="B104" t="s">
        <v>11</v>
      </c>
      <c r="C104" s="4">
        <v>33.799999999999997</v>
      </c>
      <c r="D104" t="s">
        <v>19</v>
      </c>
      <c r="E104" t="s">
        <v>17</v>
      </c>
      <c r="F104" s="4" t="s">
        <v>22</v>
      </c>
      <c r="G104" s="4" t="s">
        <v>15</v>
      </c>
      <c r="H104" s="4">
        <v>6</v>
      </c>
      <c r="I104" s="4">
        <v>3</v>
      </c>
      <c r="J104" s="1">
        <v>45367</v>
      </c>
      <c r="K104" s="2">
        <v>4.8055555555555551E-3</v>
      </c>
      <c r="M104" s="4" t="str">
        <f t="shared" si="3"/>
        <v>LOW</v>
      </c>
      <c r="N104" s="4" t="str" cm="1">
        <f t="array" ref="N104">_xlfn.IFS(C104&gt;35,"HIGH",C104&gt;25,"MIDDLE",TRUE,"LOW")</f>
        <v>MIDDLE</v>
      </c>
      <c r="O104" s="4" t="str">
        <f t="shared" si="4"/>
        <v>OTHERS</v>
      </c>
      <c r="P104" s="4" t="str">
        <f t="shared" si="5"/>
        <v>OTHERS</v>
      </c>
    </row>
    <row r="105" spans="1:16" x14ac:dyDescent="0.3">
      <c r="A105" s="4">
        <v>12</v>
      </c>
      <c r="B105" t="s">
        <v>11</v>
      </c>
      <c r="C105" s="4">
        <v>28.9</v>
      </c>
      <c r="D105" t="s">
        <v>18</v>
      </c>
      <c r="E105" t="s">
        <v>17</v>
      </c>
      <c r="F105" s="4" t="s">
        <v>22</v>
      </c>
      <c r="G105" s="4" t="s">
        <v>15</v>
      </c>
      <c r="H105" s="4">
        <v>6</v>
      </c>
      <c r="I105" s="4">
        <v>3</v>
      </c>
      <c r="J105" s="1">
        <v>45367</v>
      </c>
      <c r="K105" s="2">
        <v>5.4849537037037037E-3</v>
      </c>
      <c r="M105" s="4" t="str">
        <f t="shared" si="3"/>
        <v>LOW</v>
      </c>
      <c r="N105" s="4" t="str" cm="1">
        <f t="array" ref="N105">_xlfn.IFS(C105&gt;35,"HIGH",C105&gt;25,"MIDDLE",TRUE,"LOW")</f>
        <v>MIDDLE</v>
      </c>
      <c r="O105" s="4" t="str">
        <f t="shared" si="4"/>
        <v>OTHERS</v>
      </c>
      <c r="P105" s="4" t="str">
        <f t="shared" si="5"/>
        <v>OTHERS</v>
      </c>
    </row>
    <row r="106" spans="1:16" x14ac:dyDescent="0.3">
      <c r="A106" s="4">
        <v>15</v>
      </c>
      <c r="B106" t="s">
        <v>11</v>
      </c>
      <c r="C106" s="4">
        <v>28.9</v>
      </c>
      <c r="D106" t="s">
        <v>24</v>
      </c>
      <c r="E106" t="s">
        <v>17</v>
      </c>
      <c r="F106" s="4" t="s">
        <v>22</v>
      </c>
      <c r="G106" s="4" t="s">
        <v>15</v>
      </c>
      <c r="H106" s="4">
        <v>6</v>
      </c>
      <c r="I106" s="4">
        <v>3</v>
      </c>
      <c r="J106" s="1">
        <v>45367</v>
      </c>
      <c r="K106" s="2">
        <v>4.0491898148148145E-2</v>
      </c>
      <c r="M106" s="4" t="str">
        <f t="shared" si="3"/>
        <v>LOW</v>
      </c>
      <c r="N106" s="4" t="str" cm="1">
        <f t="array" ref="N106">_xlfn.IFS(C106&gt;35,"HIGH",C106&gt;25,"MIDDLE",TRUE,"LOW")</f>
        <v>MIDDLE</v>
      </c>
      <c r="O106" s="4" t="str">
        <f t="shared" si="4"/>
        <v>OTHERS</v>
      </c>
      <c r="P106" s="4" t="str">
        <f t="shared" si="5"/>
        <v>OTHERS</v>
      </c>
    </row>
    <row r="107" spans="1:16" x14ac:dyDescent="0.3">
      <c r="A107" s="4">
        <v>16</v>
      </c>
      <c r="B107" t="s">
        <v>11</v>
      </c>
      <c r="C107" s="4">
        <v>28.9</v>
      </c>
      <c r="D107" t="s">
        <v>24</v>
      </c>
      <c r="E107" t="s">
        <v>17</v>
      </c>
      <c r="F107" s="4" t="s">
        <v>22</v>
      </c>
      <c r="G107" s="4" t="s">
        <v>15</v>
      </c>
      <c r="H107" s="4">
        <v>6</v>
      </c>
      <c r="I107" s="4">
        <v>3</v>
      </c>
      <c r="J107" s="1">
        <v>45367</v>
      </c>
      <c r="K107" s="2">
        <v>2.3344907407407407E-3</v>
      </c>
      <c r="M107" s="4" t="str">
        <f t="shared" si="3"/>
        <v>LOW</v>
      </c>
      <c r="N107" s="4" t="str" cm="1">
        <f t="array" ref="N107">_xlfn.IFS(C107&gt;35,"HIGH",C107&gt;25,"MIDDLE",TRUE,"LOW")</f>
        <v>MIDDLE</v>
      </c>
      <c r="O107" s="4" t="str">
        <f t="shared" si="4"/>
        <v>OTHERS</v>
      </c>
      <c r="P107" s="4" t="str">
        <f t="shared" si="5"/>
        <v>OTHERS</v>
      </c>
    </row>
    <row r="108" spans="1:16" x14ac:dyDescent="0.3">
      <c r="A108" s="4">
        <v>16</v>
      </c>
      <c r="B108" t="s">
        <v>11</v>
      </c>
      <c r="C108" s="4">
        <v>28.9</v>
      </c>
      <c r="D108" t="s">
        <v>24</v>
      </c>
      <c r="E108" t="s">
        <v>17</v>
      </c>
      <c r="F108" s="4" t="s">
        <v>22</v>
      </c>
      <c r="G108" s="4" t="s">
        <v>15</v>
      </c>
      <c r="H108" s="4">
        <v>6</v>
      </c>
      <c r="I108" s="4">
        <v>3</v>
      </c>
      <c r="J108" s="1">
        <v>45367</v>
      </c>
      <c r="K108" s="2">
        <v>2.9097222222222224E-3</v>
      </c>
      <c r="M108" s="4" t="str">
        <f t="shared" si="3"/>
        <v>LOW</v>
      </c>
      <c r="N108" s="4" t="str" cm="1">
        <f t="array" ref="N108">_xlfn.IFS(C108&gt;35,"HIGH",C108&gt;25,"MIDDLE",TRUE,"LOW")</f>
        <v>MIDDLE</v>
      </c>
      <c r="O108" s="4" t="str">
        <f t="shared" si="4"/>
        <v>OTHERS</v>
      </c>
      <c r="P108" s="4" t="str">
        <f t="shared" si="5"/>
        <v>OTHERS</v>
      </c>
    </row>
    <row r="109" spans="1:16" x14ac:dyDescent="0.3">
      <c r="A109" s="4">
        <v>17</v>
      </c>
      <c r="B109" t="s">
        <v>11</v>
      </c>
      <c r="C109" s="4">
        <v>33.799999999999997</v>
      </c>
      <c r="D109" t="s">
        <v>19</v>
      </c>
      <c r="E109" t="s">
        <v>20</v>
      </c>
      <c r="F109" s="4" t="s">
        <v>22</v>
      </c>
      <c r="G109" s="4" t="s">
        <v>15</v>
      </c>
      <c r="H109" s="4">
        <v>6</v>
      </c>
      <c r="I109" s="4">
        <v>3</v>
      </c>
      <c r="J109" s="1">
        <v>45367</v>
      </c>
      <c r="K109" s="2">
        <v>4.0361111111111111E-2</v>
      </c>
      <c r="M109" s="4" t="str">
        <f t="shared" si="3"/>
        <v>LOW</v>
      </c>
      <c r="N109" s="4" t="str" cm="1">
        <f t="array" ref="N109">_xlfn.IFS(C109&gt;35,"HIGH",C109&gt;25,"MIDDLE",TRUE,"LOW")</f>
        <v>MIDDLE</v>
      </c>
      <c r="O109" s="4" t="str">
        <f t="shared" si="4"/>
        <v>OTHERS</v>
      </c>
      <c r="P109" s="4" t="str">
        <f t="shared" si="5"/>
        <v>OTHERS</v>
      </c>
    </row>
    <row r="110" spans="1:16" x14ac:dyDescent="0.3">
      <c r="A110" s="4">
        <v>12</v>
      </c>
      <c r="B110" t="s">
        <v>11</v>
      </c>
      <c r="C110" s="4">
        <v>28.9</v>
      </c>
      <c r="D110" t="s">
        <v>24</v>
      </c>
      <c r="E110" t="s">
        <v>17</v>
      </c>
      <c r="F110" s="4" t="s">
        <v>23</v>
      </c>
      <c r="G110" s="4" t="s">
        <v>15</v>
      </c>
      <c r="H110" s="4">
        <v>7</v>
      </c>
      <c r="I110" s="4">
        <v>3</v>
      </c>
      <c r="J110" s="1">
        <v>45368</v>
      </c>
      <c r="K110" s="2">
        <v>3.8496527777777775E-2</v>
      </c>
      <c r="M110" s="4" t="str">
        <f t="shared" si="3"/>
        <v>LOW</v>
      </c>
      <c r="N110" s="4" t="str" cm="1">
        <f t="array" ref="N110">_xlfn.IFS(C110&gt;35,"HIGH",C110&gt;25,"MIDDLE",TRUE,"LOW")</f>
        <v>MIDDLE</v>
      </c>
      <c r="O110" s="4" t="str">
        <f t="shared" si="4"/>
        <v>OTHERS</v>
      </c>
      <c r="P110" s="4" t="str">
        <f t="shared" si="5"/>
        <v>OTHERS</v>
      </c>
    </row>
    <row r="111" spans="1:16" x14ac:dyDescent="0.3">
      <c r="A111" s="4">
        <v>11</v>
      </c>
      <c r="B111" t="s">
        <v>11</v>
      </c>
      <c r="C111" s="4">
        <v>28.9</v>
      </c>
      <c r="D111" t="s">
        <v>24</v>
      </c>
      <c r="E111" t="s">
        <v>13</v>
      </c>
      <c r="F111" s="4" t="s">
        <v>25</v>
      </c>
      <c r="G111" s="4" t="s">
        <v>15</v>
      </c>
      <c r="H111" s="4">
        <v>1</v>
      </c>
      <c r="I111" s="4">
        <v>3</v>
      </c>
      <c r="J111" s="1">
        <v>45369</v>
      </c>
      <c r="K111" s="2">
        <v>1.2496527777777778E-2</v>
      </c>
      <c r="M111" s="4" t="str">
        <f t="shared" si="3"/>
        <v>LOW</v>
      </c>
      <c r="N111" s="4" t="str" cm="1">
        <f t="array" ref="N111">_xlfn.IFS(C111&gt;35,"HIGH",C111&gt;25,"MIDDLE",TRUE,"LOW")</f>
        <v>MIDDLE</v>
      </c>
      <c r="O111" s="4" t="str">
        <f t="shared" si="4"/>
        <v>OTHERS</v>
      </c>
      <c r="P111" s="4" t="str">
        <f t="shared" si="5"/>
        <v>PREMINUM MORNING</v>
      </c>
    </row>
    <row r="112" spans="1:16" x14ac:dyDescent="0.3">
      <c r="A112" s="4">
        <v>15</v>
      </c>
      <c r="B112" t="s">
        <v>11</v>
      </c>
      <c r="C112" s="4">
        <v>28.9</v>
      </c>
      <c r="D112" t="s">
        <v>18</v>
      </c>
      <c r="E112" t="s">
        <v>17</v>
      </c>
      <c r="F112" s="4" t="s">
        <v>25</v>
      </c>
      <c r="G112" s="4" t="s">
        <v>15</v>
      </c>
      <c r="H112" s="4">
        <v>1</v>
      </c>
      <c r="I112" s="4">
        <v>3</v>
      </c>
      <c r="J112" s="1">
        <v>45369</v>
      </c>
      <c r="K112" s="2">
        <v>2.1987268518518521E-2</v>
      </c>
      <c r="M112" s="4" t="str">
        <f t="shared" si="3"/>
        <v>LOW</v>
      </c>
      <c r="N112" s="4" t="str" cm="1">
        <f t="array" ref="N112">_xlfn.IFS(C112&gt;35,"HIGH",C112&gt;25,"MIDDLE",TRUE,"LOW")</f>
        <v>MIDDLE</v>
      </c>
      <c r="O112" s="4" t="str">
        <f t="shared" si="4"/>
        <v>OTHERS</v>
      </c>
      <c r="P112" s="4" t="str">
        <f t="shared" si="5"/>
        <v>OTHERS</v>
      </c>
    </row>
    <row r="113" spans="1:16" x14ac:dyDescent="0.3">
      <c r="A113" s="4">
        <v>15</v>
      </c>
      <c r="B113" t="s">
        <v>11</v>
      </c>
      <c r="C113" s="4">
        <v>28.9</v>
      </c>
      <c r="D113" t="s">
        <v>18</v>
      </c>
      <c r="E113" t="s">
        <v>17</v>
      </c>
      <c r="F113" s="4" t="s">
        <v>25</v>
      </c>
      <c r="G113" s="4" t="s">
        <v>15</v>
      </c>
      <c r="H113" s="4">
        <v>1</v>
      </c>
      <c r="I113" s="4">
        <v>3</v>
      </c>
      <c r="J113" s="1">
        <v>45369</v>
      </c>
      <c r="K113" s="2">
        <v>2.2664351851851852E-2</v>
      </c>
      <c r="M113" s="4" t="str">
        <f t="shared" si="3"/>
        <v>LOW</v>
      </c>
      <c r="N113" s="4" t="str" cm="1">
        <f t="array" ref="N113">_xlfn.IFS(C113&gt;35,"HIGH",C113&gt;25,"MIDDLE",TRUE,"LOW")</f>
        <v>MIDDLE</v>
      </c>
      <c r="O113" s="4" t="str">
        <f t="shared" si="4"/>
        <v>OTHERS</v>
      </c>
      <c r="P113" s="4" t="str">
        <f t="shared" si="5"/>
        <v>OTHERS</v>
      </c>
    </row>
    <row r="114" spans="1:16" x14ac:dyDescent="0.3">
      <c r="A114" s="4">
        <v>15</v>
      </c>
      <c r="B114" t="s">
        <v>11</v>
      </c>
      <c r="C114" s="4">
        <v>28.9</v>
      </c>
      <c r="D114" t="s">
        <v>18</v>
      </c>
      <c r="E114" t="s">
        <v>17</v>
      </c>
      <c r="F114" s="4" t="s">
        <v>25</v>
      </c>
      <c r="G114" s="4" t="s">
        <v>15</v>
      </c>
      <c r="H114" s="4">
        <v>1</v>
      </c>
      <c r="I114" s="4">
        <v>3</v>
      </c>
      <c r="J114" s="1">
        <v>45369</v>
      </c>
      <c r="K114" s="2">
        <v>2.3341435185185187E-2</v>
      </c>
      <c r="M114" s="4" t="str">
        <f t="shared" si="3"/>
        <v>LOW</v>
      </c>
      <c r="N114" s="4" t="str" cm="1">
        <f t="array" ref="N114">_xlfn.IFS(C114&gt;35,"HIGH",C114&gt;25,"MIDDLE",TRUE,"LOW")</f>
        <v>MIDDLE</v>
      </c>
      <c r="O114" s="4" t="str">
        <f t="shared" si="4"/>
        <v>OTHERS</v>
      </c>
      <c r="P114" s="4" t="str">
        <f t="shared" si="5"/>
        <v>OTHERS</v>
      </c>
    </row>
    <row r="115" spans="1:16" x14ac:dyDescent="0.3">
      <c r="A115" s="4">
        <v>14</v>
      </c>
      <c r="B115" t="s">
        <v>11</v>
      </c>
      <c r="C115" s="4">
        <v>38.700000000000003</v>
      </c>
      <c r="D115" t="s">
        <v>12</v>
      </c>
      <c r="E115" t="s">
        <v>17</v>
      </c>
      <c r="F115" s="4" t="s">
        <v>27</v>
      </c>
      <c r="G115" s="4" t="s">
        <v>15</v>
      </c>
      <c r="H115" s="4">
        <v>2</v>
      </c>
      <c r="I115" s="4">
        <v>3</v>
      </c>
      <c r="J115" s="1">
        <v>45370</v>
      </c>
      <c r="K115" s="2">
        <v>1.6377314814814815E-3</v>
      </c>
      <c r="M115" s="4" t="str">
        <f t="shared" si="3"/>
        <v>HIGH</v>
      </c>
      <c r="N115" s="4" t="str" cm="1">
        <f t="array" ref="N115">_xlfn.IFS(C115&gt;35,"HIGH",C115&gt;25,"MIDDLE",TRUE,"LOW")</f>
        <v>HIGH</v>
      </c>
      <c r="O115" s="4" t="str">
        <f t="shared" si="4"/>
        <v>OTHERS</v>
      </c>
      <c r="P115" s="4" t="str">
        <f t="shared" si="5"/>
        <v>PREMINUM MORNING</v>
      </c>
    </row>
    <row r="116" spans="1:16" x14ac:dyDescent="0.3">
      <c r="A116" s="4">
        <v>14</v>
      </c>
      <c r="B116" t="s">
        <v>11</v>
      </c>
      <c r="C116" s="4">
        <v>38.700000000000003</v>
      </c>
      <c r="D116" t="s">
        <v>12</v>
      </c>
      <c r="E116" t="s">
        <v>17</v>
      </c>
      <c r="F116" s="4" t="s">
        <v>27</v>
      </c>
      <c r="G116" s="4" t="s">
        <v>15</v>
      </c>
      <c r="H116" s="4">
        <v>2</v>
      </c>
      <c r="I116" s="4">
        <v>3</v>
      </c>
      <c r="J116" s="1">
        <v>45370</v>
      </c>
      <c r="K116" s="2">
        <v>2.3125000000000003E-3</v>
      </c>
      <c r="M116" s="4" t="str">
        <f t="shared" si="3"/>
        <v>HIGH</v>
      </c>
      <c r="N116" s="4" t="str" cm="1">
        <f t="array" ref="N116">_xlfn.IFS(C116&gt;35,"HIGH",C116&gt;25,"MIDDLE",TRUE,"LOW")</f>
        <v>HIGH</v>
      </c>
      <c r="O116" s="4" t="str">
        <f t="shared" si="4"/>
        <v>OTHERS</v>
      </c>
      <c r="P116" s="4" t="str">
        <f t="shared" si="5"/>
        <v>PREMINUM MORNING</v>
      </c>
    </row>
    <row r="117" spans="1:16" x14ac:dyDescent="0.3">
      <c r="A117" s="4">
        <v>15</v>
      </c>
      <c r="B117" t="s">
        <v>11</v>
      </c>
      <c r="C117" s="4">
        <v>38.700000000000003</v>
      </c>
      <c r="D117" t="s">
        <v>16</v>
      </c>
      <c r="E117" t="s">
        <v>17</v>
      </c>
      <c r="F117" s="4" t="s">
        <v>27</v>
      </c>
      <c r="G117" s="4" t="s">
        <v>15</v>
      </c>
      <c r="H117" s="4">
        <v>2</v>
      </c>
      <c r="I117" s="4">
        <v>3</v>
      </c>
      <c r="J117" s="1">
        <v>45370</v>
      </c>
      <c r="K117" s="2">
        <v>3.1979166666666666E-3</v>
      </c>
      <c r="M117" s="4" t="str">
        <f t="shared" si="3"/>
        <v>HIGH</v>
      </c>
      <c r="N117" s="4" t="str" cm="1">
        <f t="array" ref="N117">_xlfn.IFS(C117&gt;35,"HIGH",C117&gt;25,"MIDDLE",TRUE,"LOW")</f>
        <v>HIGH</v>
      </c>
      <c r="O117" s="4" t="str">
        <f t="shared" si="4"/>
        <v>OTHERS</v>
      </c>
      <c r="P117" s="4" t="str">
        <f t="shared" si="5"/>
        <v>PREMINUM MORNING</v>
      </c>
    </row>
    <row r="118" spans="1:16" x14ac:dyDescent="0.3">
      <c r="A118" s="4">
        <v>16</v>
      </c>
      <c r="B118" t="s">
        <v>11</v>
      </c>
      <c r="C118" s="4">
        <v>33.799999999999997</v>
      </c>
      <c r="D118" t="s">
        <v>19</v>
      </c>
      <c r="E118" t="s">
        <v>17</v>
      </c>
      <c r="F118" s="4" t="s">
        <v>27</v>
      </c>
      <c r="G118" s="4" t="s">
        <v>15</v>
      </c>
      <c r="H118" s="4">
        <v>2</v>
      </c>
      <c r="I118" s="4">
        <v>3</v>
      </c>
      <c r="J118" s="1">
        <v>45370</v>
      </c>
      <c r="K118" s="2">
        <v>3.7369212962962958E-2</v>
      </c>
      <c r="M118" s="4" t="str">
        <f t="shared" si="3"/>
        <v>LOW</v>
      </c>
      <c r="N118" s="4" t="str" cm="1">
        <f t="array" ref="N118">_xlfn.IFS(C118&gt;35,"HIGH",C118&gt;25,"MIDDLE",TRUE,"LOW")</f>
        <v>MIDDLE</v>
      </c>
      <c r="O118" s="4" t="str">
        <f t="shared" si="4"/>
        <v>OTHERS</v>
      </c>
      <c r="P118" s="4" t="str">
        <f t="shared" si="5"/>
        <v>OTHERS</v>
      </c>
    </row>
    <row r="119" spans="1:16" x14ac:dyDescent="0.3">
      <c r="A119" s="4">
        <v>11</v>
      </c>
      <c r="B119" t="s">
        <v>11</v>
      </c>
      <c r="C119" s="4">
        <v>28.9</v>
      </c>
      <c r="D119" t="s">
        <v>24</v>
      </c>
      <c r="E119" t="s">
        <v>13</v>
      </c>
      <c r="F119" s="4" t="s">
        <v>28</v>
      </c>
      <c r="G119" s="4" t="s">
        <v>15</v>
      </c>
      <c r="H119" s="4">
        <v>3</v>
      </c>
      <c r="I119" s="4">
        <v>3</v>
      </c>
      <c r="J119" s="1">
        <v>45371</v>
      </c>
      <c r="K119" s="2">
        <v>2.8662037037037038E-2</v>
      </c>
      <c r="M119" s="4" t="str">
        <f t="shared" si="3"/>
        <v>LOW</v>
      </c>
      <c r="N119" s="4" t="str" cm="1">
        <f t="array" ref="N119">_xlfn.IFS(C119&gt;35,"HIGH",C119&gt;25,"MIDDLE",TRUE,"LOW")</f>
        <v>MIDDLE</v>
      </c>
      <c r="O119" s="4" t="str">
        <f t="shared" si="4"/>
        <v>OTHERS</v>
      </c>
      <c r="P119" s="4" t="str">
        <f t="shared" si="5"/>
        <v>PREMINUM MORNING</v>
      </c>
    </row>
    <row r="120" spans="1:16" x14ac:dyDescent="0.3">
      <c r="A120" s="4">
        <v>12</v>
      </c>
      <c r="B120" t="s">
        <v>11</v>
      </c>
      <c r="C120" s="4">
        <v>28.9</v>
      </c>
      <c r="D120" t="s">
        <v>24</v>
      </c>
      <c r="E120" t="s">
        <v>17</v>
      </c>
      <c r="F120" s="4" t="s">
        <v>28</v>
      </c>
      <c r="G120" s="4" t="s">
        <v>15</v>
      </c>
      <c r="H120" s="4">
        <v>3</v>
      </c>
      <c r="I120" s="4">
        <v>3</v>
      </c>
      <c r="J120" s="1">
        <v>45371</v>
      </c>
      <c r="K120" s="2">
        <v>2.1400462962962961E-2</v>
      </c>
      <c r="M120" s="4" t="str">
        <f t="shared" si="3"/>
        <v>LOW</v>
      </c>
      <c r="N120" s="4" t="str" cm="1">
        <f t="array" ref="N120">_xlfn.IFS(C120&gt;35,"HIGH",C120&gt;25,"MIDDLE",TRUE,"LOW")</f>
        <v>MIDDLE</v>
      </c>
      <c r="O120" s="4" t="str">
        <f t="shared" si="4"/>
        <v>OTHERS</v>
      </c>
      <c r="P120" s="4" t="str">
        <f t="shared" si="5"/>
        <v>OTHERS</v>
      </c>
    </row>
    <row r="121" spans="1:16" x14ac:dyDescent="0.3">
      <c r="A121" s="4">
        <v>13</v>
      </c>
      <c r="B121" t="s">
        <v>11</v>
      </c>
      <c r="C121" s="4">
        <v>38.700000000000003</v>
      </c>
      <c r="D121" t="s">
        <v>29</v>
      </c>
      <c r="E121" t="s">
        <v>17</v>
      </c>
      <c r="F121" s="4" t="s">
        <v>28</v>
      </c>
      <c r="G121" s="4" t="s">
        <v>15</v>
      </c>
      <c r="H121" s="4">
        <v>3</v>
      </c>
      <c r="I121" s="4">
        <v>3</v>
      </c>
      <c r="J121" s="1">
        <v>45371</v>
      </c>
      <c r="K121" s="2">
        <v>1.1659722222222222E-2</v>
      </c>
      <c r="M121" s="4" t="str">
        <f t="shared" si="3"/>
        <v>HIGH</v>
      </c>
      <c r="N121" s="4" t="str" cm="1">
        <f t="array" ref="N121">_xlfn.IFS(C121&gt;35,"HIGH",C121&gt;25,"MIDDLE",TRUE,"LOW")</f>
        <v>HIGH</v>
      </c>
      <c r="O121" s="4" t="str">
        <f t="shared" si="4"/>
        <v>OTHERS</v>
      </c>
      <c r="P121" s="4" t="str">
        <f t="shared" si="5"/>
        <v>PREMINUM MORNING</v>
      </c>
    </row>
    <row r="122" spans="1:16" x14ac:dyDescent="0.3">
      <c r="A122" s="4">
        <v>16</v>
      </c>
      <c r="B122" t="s">
        <v>11</v>
      </c>
      <c r="C122" s="4">
        <v>38.700000000000003</v>
      </c>
      <c r="D122" t="s">
        <v>21</v>
      </c>
      <c r="E122" t="s">
        <v>17</v>
      </c>
      <c r="F122" s="4" t="s">
        <v>28</v>
      </c>
      <c r="G122" s="4" t="s">
        <v>15</v>
      </c>
      <c r="H122" s="4">
        <v>3</v>
      </c>
      <c r="I122" s="4">
        <v>3</v>
      </c>
      <c r="J122" s="1">
        <v>45371</v>
      </c>
      <c r="K122" s="2">
        <v>2.9607638888888888E-2</v>
      </c>
      <c r="M122" s="4" t="str">
        <f t="shared" si="3"/>
        <v>HIGH</v>
      </c>
      <c r="N122" s="4" t="str" cm="1">
        <f t="array" ref="N122">_xlfn.IFS(C122&gt;35,"HIGH",C122&gt;25,"MIDDLE",TRUE,"LOW")</f>
        <v>HIGH</v>
      </c>
      <c r="O122" s="4" t="str">
        <f t="shared" si="4"/>
        <v>OTHERS</v>
      </c>
      <c r="P122" s="4" t="str">
        <f t="shared" si="5"/>
        <v>PREMINUM MORNING</v>
      </c>
    </row>
    <row r="123" spans="1:16" x14ac:dyDescent="0.3">
      <c r="A123" s="4">
        <v>17</v>
      </c>
      <c r="B123" t="s">
        <v>11</v>
      </c>
      <c r="C123" s="4">
        <v>38.700000000000003</v>
      </c>
      <c r="D123" t="s">
        <v>12</v>
      </c>
      <c r="E123" t="s">
        <v>20</v>
      </c>
      <c r="F123" s="4" t="s">
        <v>28</v>
      </c>
      <c r="G123" s="4" t="s">
        <v>15</v>
      </c>
      <c r="H123" s="4">
        <v>3</v>
      </c>
      <c r="I123" s="4">
        <v>3</v>
      </c>
      <c r="J123" s="1">
        <v>45371</v>
      </c>
      <c r="K123" s="2">
        <v>3.5055555555555555E-2</v>
      </c>
      <c r="M123" s="4" t="str">
        <f t="shared" si="3"/>
        <v>HIGH</v>
      </c>
      <c r="N123" s="4" t="str" cm="1">
        <f t="array" ref="N123">_xlfn.IFS(C123&gt;35,"HIGH",C123&gt;25,"MIDDLE",TRUE,"LOW")</f>
        <v>HIGH</v>
      </c>
      <c r="O123" s="4" t="str">
        <f t="shared" si="4"/>
        <v>OTHERS</v>
      </c>
      <c r="P123" s="4" t="str">
        <f t="shared" si="5"/>
        <v>PREMINUM MORNING</v>
      </c>
    </row>
    <row r="124" spans="1:16" x14ac:dyDescent="0.3">
      <c r="A124" s="4">
        <v>12</v>
      </c>
      <c r="B124" t="s">
        <v>11</v>
      </c>
      <c r="C124" s="4">
        <v>28.9</v>
      </c>
      <c r="D124" t="s">
        <v>24</v>
      </c>
      <c r="E124" t="s">
        <v>17</v>
      </c>
      <c r="F124" s="4" t="s">
        <v>30</v>
      </c>
      <c r="G124" s="4" t="s">
        <v>15</v>
      </c>
      <c r="H124" s="4">
        <v>4</v>
      </c>
      <c r="I124" s="4">
        <v>3</v>
      </c>
      <c r="J124" s="1">
        <v>45372</v>
      </c>
      <c r="K124" s="2">
        <v>1.7467592592592594E-2</v>
      </c>
      <c r="M124" s="4" t="str">
        <f t="shared" si="3"/>
        <v>LOW</v>
      </c>
      <c r="N124" s="4" t="str" cm="1">
        <f t="array" ref="N124">_xlfn.IFS(C124&gt;35,"HIGH",C124&gt;25,"MIDDLE",TRUE,"LOW")</f>
        <v>MIDDLE</v>
      </c>
      <c r="O124" s="4" t="str">
        <f t="shared" si="4"/>
        <v>OTHERS</v>
      </c>
      <c r="P124" s="4" t="str">
        <f t="shared" si="5"/>
        <v>OTHERS</v>
      </c>
    </row>
    <row r="125" spans="1:16" x14ac:dyDescent="0.3">
      <c r="A125" s="4">
        <v>12</v>
      </c>
      <c r="B125" t="s">
        <v>11</v>
      </c>
      <c r="C125" s="4">
        <v>38.700000000000003</v>
      </c>
      <c r="D125" t="s">
        <v>29</v>
      </c>
      <c r="E125" t="s">
        <v>17</v>
      </c>
      <c r="F125" s="4" t="s">
        <v>30</v>
      </c>
      <c r="G125" s="4" t="s">
        <v>15</v>
      </c>
      <c r="H125" s="4">
        <v>4</v>
      </c>
      <c r="I125" s="4">
        <v>3</v>
      </c>
      <c r="J125" s="1">
        <v>45372</v>
      </c>
      <c r="K125" s="2">
        <v>1.8256944444444447E-2</v>
      </c>
      <c r="M125" s="4" t="str">
        <f t="shared" si="3"/>
        <v>HIGH</v>
      </c>
      <c r="N125" s="4" t="str" cm="1">
        <f t="array" ref="N125">_xlfn.IFS(C125&gt;35,"HIGH",C125&gt;25,"MIDDLE",TRUE,"LOW")</f>
        <v>HIGH</v>
      </c>
      <c r="O125" s="4" t="str">
        <f t="shared" si="4"/>
        <v>OTHERS</v>
      </c>
      <c r="P125" s="4" t="str">
        <f t="shared" si="5"/>
        <v>PREMINUM MORNING</v>
      </c>
    </row>
    <row r="126" spans="1:16" x14ac:dyDescent="0.3">
      <c r="A126" s="4">
        <v>17</v>
      </c>
      <c r="B126" t="s">
        <v>11</v>
      </c>
      <c r="C126" s="4">
        <v>28.9</v>
      </c>
      <c r="D126" t="s">
        <v>24</v>
      </c>
      <c r="E126" t="s">
        <v>20</v>
      </c>
      <c r="F126" s="4" t="s">
        <v>30</v>
      </c>
      <c r="G126" s="4" t="s">
        <v>15</v>
      </c>
      <c r="H126" s="4">
        <v>4</v>
      </c>
      <c r="I126" s="4">
        <v>3</v>
      </c>
      <c r="J126" s="1">
        <v>45372</v>
      </c>
      <c r="K126" s="2">
        <v>1.5293981481481483E-2</v>
      </c>
      <c r="M126" s="4" t="str">
        <f t="shared" si="3"/>
        <v>LOW</v>
      </c>
      <c r="N126" s="4" t="str" cm="1">
        <f t="array" ref="N126">_xlfn.IFS(C126&gt;35,"HIGH",C126&gt;25,"MIDDLE",TRUE,"LOW")</f>
        <v>MIDDLE</v>
      </c>
      <c r="O126" s="4" t="str">
        <f t="shared" si="4"/>
        <v>OTHERS</v>
      </c>
      <c r="P126" s="4" t="str">
        <f t="shared" si="5"/>
        <v>OTHERS</v>
      </c>
    </row>
    <row r="127" spans="1:16" x14ac:dyDescent="0.3">
      <c r="A127" s="4">
        <v>19</v>
      </c>
      <c r="B127" t="s">
        <v>11</v>
      </c>
      <c r="C127" s="4">
        <v>38.700000000000003</v>
      </c>
      <c r="D127" t="s">
        <v>12</v>
      </c>
      <c r="E127" t="s">
        <v>20</v>
      </c>
      <c r="F127" s="4" t="s">
        <v>30</v>
      </c>
      <c r="G127" s="4" t="s">
        <v>15</v>
      </c>
      <c r="H127" s="4">
        <v>4</v>
      </c>
      <c r="I127" s="4">
        <v>3</v>
      </c>
      <c r="J127" s="1">
        <v>45372</v>
      </c>
      <c r="K127" s="2">
        <v>1.4311342592592593E-2</v>
      </c>
      <c r="M127" s="4" t="str">
        <f t="shared" si="3"/>
        <v>HIGH</v>
      </c>
      <c r="N127" s="4" t="str" cm="1">
        <f t="array" ref="N127">_xlfn.IFS(C127&gt;35,"HIGH",C127&gt;25,"MIDDLE",TRUE,"LOW")</f>
        <v>HIGH</v>
      </c>
      <c r="O127" s="4" t="str">
        <f t="shared" si="4"/>
        <v>OTHERS</v>
      </c>
      <c r="P127" s="4" t="str">
        <f t="shared" si="5"/>
        <v>PREMINUM MORNING</v>
      </c>
    </row>
    <row r="128" spans="1:16" x14ac:dyDescent="0.3">
      <c r="A128" s="4">
        <v>10</v>
      </c>
      <c r="B128" t="s">
        <v>11</v>
      </c>
      <c r="C128" s="4">
        <v>33.799999999999997</v>
      </c>
      <c r="D128" t="s">
        <v>19</v>
      </c>
      <c r="E128" t="s">
        <v>13</v>
      </c>
      <c r="F128" s="4" t="s">
        <v>14</v>
      </c>
      <c r="G128" s="4" t="s">
        <v>15</v>
      </c>
      <c r="H128" s="4">
        <v>5</v>
      </c>
      <c r="I128" s="4">
        <v>3</v>
      </c>
      <c r="J128" s="1">
        <v>45373</v>
      </c>
      <c r="K128" s="2">
        <v>2.4925925925925924E-2</v>
      </c>
      <c r="M128" s="4" t="str">
        <f t="shared" si="3"/>
        <v>LOW</v>
      </c>
      <c r="N128" s="4" t="str" cm="1">
        <f t="array" ref="N128">_xlfn.IFS(C128&gt;35,"HIGH",C128&gt;25,"MIDDLE",TRUE,"LOW")</f>
        <v>MIDDLE</v>
      </c>
      <c r="O128" s="4" t="str">
        <f t="shared" si="4"/>
        <v>OTHERS</v>
      </c>
      <c r="P128" s="4" t="str">
        <f t="shared" si="5"/>
        <v>PREMINUM MORNING</v>
      </c>
    </row>
    <row r="129" spans="1:16" x14ac:dyDescent="0.3">
      <c r="A129" s="4">
        <v>13</v>
      </c>
      <c r="B129" t="s">
        <v>11</v>
      </c>
      <c r="C129" s="4">
        <v>33.799999999999997</v>
      </c>
      <c r="D129" t="s">
        <v>19</v>
      </c>
      <c r="E129" t="s">
        <v>17</v>
      </c>
      <c r="F129" s="4" t="s">
        <v>14</v>
      </c>
      <c r="G129" s="4" t="s">
        <v>15</v>
      </c>
      <c r="H129" s="4">
        <v>5</v>
      </c>
      <c r="I129" s="4">
        <v>3</v>
      </c>
      <c r="J129" s="1">
        <v>45373</v>
      </c>
      <c r="K129" s="2">
        <v>2.0373842592592593E-2</v>
      </c>
      <c r="M129" s="4" t="str">
        <f t="shared" si="3"/>
        <v>LOW</v>
      </c>
      <c r="N129" s="4" t="str" cm="1">
        <f t="array" ref="N129">_xlfn.IFS(C129&gt;35,"HIGH",C129&gt;25,"MIDDLE",TRUE,"LOW")</f>
        <v>MIDDLE</v>
      </c>
      <c r="O129" s="4" t="str">
        <f t="shared" si="4"/>
        <v>OTHERS</v>
      </c>
      <c r="P129" s="4" t="str">
        <f t="shared" si="5"/>
        <v>OTHERS</v>
      </c>
    </row>
    <row r="130" spans="1:16" x14ac:dyDescent="0.3">
      <c r="A130" s="4">
        <v>17</v>
      </c>
      <c r="B130" t="s">
        <v>11</v>
      </c>
      <c r="C130" s="4">
        <v>28.9</v>
      </c>
      <c r="D130" t="s">
        <v>18</v>
      </c>
      <c r="E130" t="s">
        <v>20</v>
      </c>
      <c r="F130" s="4" t="s">
        <v>14</v>
      </c>
      <c r="G130" s="4" t="s">
        <v>15</v>
      </c>
      <c r="H130" s="4">
        <v>5</v>
      </c>
      <c r="I130" s="4">
        <v>3</v>
      </c>
      <c r="J130" s="1">
        <v>45373</v>
      </c>
      <c r="K130" s="2">
        <v>1.1848379629629631E-2</v>
      </c>
      <c r="M130" s="4" t="str">
        <f t="shared" si="3"/>
        <v>LOW</v>
      </c>
      <c r="N130" s="4" t="str" cm="1">
        <f t="array" ref="N130">_xlfn.IFS(C130&gt;35,"HIGH",C130&gt;25,"MIDDLE",TRUE,"LOW")</f>
        <v>MIDDLE</v>
      </c>
      <c r="O130" s="4" t="str">
        <f t="shared" si="4"/>
        <v>OTHERS</v>
      </c>
      <c r="P130" s="4" t="str">
        <f t="shared" si="5"/>
        <v>OTHERS</v>
      </c>
    </row>
    <row r="131" spans="1:16" x14ac:dyDescent="0.3">
      <c r="A131" s="4">
        <v>17</v>
      </c>
      <c r="B131" t="s">
        <v>11</v>
      </c>
      <c r="C131" s="4">
        <v>24</v>
      </c>
      <c r="D131" t="s">
        <v>26</v>
      </c>
      <c r="E131" t="s">
        <v>20</v>
      </c>
      <c r="F131" s="4" t="s">
        <v>14</v>
      </c>
      <c r="G131" s="4" t="s">
        <v>15</v>
      </c>
      <c r="H131" s="4">
        <v>5</v>
      </c>
      <c r="I131" s="4">
        <v>3</v>
      </c>
      <c r="J131" s="1">
        <v>45373</v>
      </c>
      <c r="K131" s="2">
        <v>1.2488425925925925E-2</v>
      </c>
      <c r="M131" s="4" t="str">
        <f t="shared" ref="M131:M194" si="6">IF(C131&gt;35,"HIGH","LOW")</f>
        <v>LOW</v>
      </c>
      <c r="N131" s="4" t="str" cm="1">
        <f t="array" ref="N131">_xlfn.IFS(C131&gt;35,"HIGH",C131&gt;25,"MIDDLE",TRUE,"LOW")</f>
        <v>LOW</v>
      </c>
      <c r="O131" s="4" t="str">
        <f t="shared" ref="O131:O194" si="7">IF(AND(C131&gt;35,E131="MORNING"),"PREMINUM MORNING","OTHERS")</f>
        <v>OTHERS</v>
      </c>
      <c r="P131" s="4" t="str">
        <f t="shared" ref="P131:P194" si="8">IF(OR(C131&gt;35,E131="MORNING"),"PREMINUM MORNING","OTHERS")</f>
        <v>OTHERS</v>
      </c>
    </row>
    <row r="132" spans="1:16" x14ac:dyDescent="0.3">
      <c r="A132" s="4">
        <v>17</v>
      </c>
      <c r="B132" t="s">
        <v>11</v>
      </c>
      <c r="C132" s="4">
        <v>28.9</v>
      </c>
      <c r="D132" t="s">
        <v>18</v>
      </c>
      <c r="E132" t="s">
        <v>20</v>
      </c>
      <c r="F132" s="4" t="s">
        <v>14</v>
      </c>
      <c r="G132" s="4" t="s">
        <v>15</v>
      </c>
      <c r="H132" s="4">
        <v>5</v>
      </c>
      <c r="I132" s="4">
        <v>3</v>
      </c>
      <c r="J132" s="1">
        <v>45373</v>
      </c>
      <c r="K132" s="2">
        <v>1.4461805555555556E-2</v>
      </c>
      <c r="M132" s="4" t="str">
        <f t="shared" si="6"/>
        <v>LOW</v>
      </c>
      <c r="N132" s="4" t="str" cm="1">
        <f t="array" ref="N132">_xlfn.IFS(C132&gt;35,"HIGH",C132&gt;25,"MIDDLE",TRUE,"LOW")</f>
        <v>MIDDLE</v>
      </c>
      <c r="O132" s="4" t="str">
        <f t="shared" si="7"/>
        <v>OTHERS</v>
      </c>
      <c r="P132" s="4" t="str">
        <f t="shared" si="8"/>
        <v>OTHERS</v>
      </c>
    </row>
    <row r="133" spans="1:16" x14ac:dyDescent="0.3">
      <c r="A133" s="4">
        <v>10</v>
      </c>
      <c r="B133" t="s">
        <v>11</v>
      </c>
      <c r="C133" s="4">
        <v>38.700000000000003</v>
      </c>
      <c r="D133" t="s">
        <v>12</v>
      </c>
      <c r="E133" t="s">
        <v>13</v>
      </c>
      <c r="F133" s="4" t="s">
        <v>22</v>
      </c>
      <c r="G133" s="4" t="s">
        <v>15</v>
      </c>
      <c r="H133" s="4">
        <v>6</v>
      </c>
      <c r="I133" s="4">
        <v>3</v>
      </c>
      <c r="J133" s="1">
        <v>45374</v>
      </c>
      <c r="K133" s="2">
        <v>3.0550925925925926E-2</v>
      </c>
      <c r="M133" s="4" t="str">
        <f t="shared" si="6"/>
        <v>HIGH</v>
      </c>
      <c r="N133" s="4" t="str" cm="1">
        <f t="array" ref="N133">_xlfn.IFS(C133&gt;35,"HIGH",C133&gt;25,"MIDDLE",TRUE,"LOW")</f>
        <v>HIGH</v>
      </c>
      <c r="O133" s="4" t="str">
        <f t="shared" si="7"/>
        <v>PREMINUM MORNING</v>
      </c>
      <c r="P133" s="4" t="str">
        <f t="shared" si="8"/>
        <v>PREMINUM MORNING</v>
      </c>
    </row>
    <row r="134" spans="1:16" x14ac:dyDescent="0.3">
      <c r="A134" s="4">
        <v>10</v>
      </c>
      <c r="B134" t="s">
        <v>11</v>
      </c>
      <c r="C134" s="4">
        <v>33.799999999999997</v>
      </c>
      <c r="D134" t="s">
        <v>19</v>
      </c>
      <c r="E134" t="s">
        <v>13</v>
      </c>
      <c r="F134" s="4" t="s">
        <v>22</v>
      </c>
      <c r="G134" s="4" t="s">
        <v>15</v>
      </c>
      <c r="H134" s="4">
        <v>6</v>
      </c>
      <c r="I134" s="4">
        <v>3</v>
      </c>
      <c r="J134" s="1">
        <v>45374</v>
      </c>
      <c r="K134" s="2">
        <v>3.1333333333333331E-2</v>
      </c>
      <c r="M134" s="4" t="str">
        <f t="shared" si="6"/>
        <v>LOW</v>
      </c>
      <c r="N134" s="4" t="str" cm="1">
        <f t="array" ref="N134">_xlfn.IFS(C134&gt;35,"HIGH",C134&gt;25,"MIDDLE",TRUE,"LOW")</f>
        <v>MIDDLE</v>
      </c>
      <c r="O134" s="4" t="str">
        <f t="shared" si="7"/>
        <v>OTHERS</v>
      </c>
      <c r="P134" s="4" t="str">
        <f t="shared" si="8"/>
        <v>PREMINUM MORNING</v>
      </c>
    </row>
    <row r="135" spans="1:16" x14ac:dyDescent="0.3">
      <c r="A135" s="4">
        <v>13</v>
      </c>
      <c r="B135" t="s">
        <v>11</v>
      </c>
      <c r="C135" s="4">
        <v>38.700000000000003</v>
      </c>
      <c r="D135" t="s">
        <v>29</v>
      </c>
      <c r="E135" t="s">
        <v>17</v>
      </c>
      <c r="F135" s="4" t="s">
        <v>22</v>
      </c>
      <c r="G135" s="4" t="s">
        <v>15</v>
      </c>
      <c r="H135" s="4">
        <v>6</v>
      </c>
      <c r="I135" s="4">
        <v>3</v>
      </c>
      <c r="J135" s="1">
        <v>45374</v>
      </c>
      <c r="K135" s="2">
        <v>7.0335648148148154E-3</v>
      </c>
      <c r="M135" s="4" t="str">
        <f t="shared" si="6"/>
        <v>HIGH</v>
      </c>
      <c r="N135" s="4" t="str" cm="1">
        <f t="array" ref="N135">_xlfn.IFS(C135&gt;35,"HIGH",C135&gt;25,"MIDDLE",TRUE,"LOW")</f>
        <v>HIGH</v>
      </c>
      <c r="O135" s="4" t="str">
        <f t="shared" si="7"/>
        <v>OTHERS</v>
      </c>
      <c r="P135" s="4" t="str">
        <f t="shared" si="8"/>
        <v>PREMINUM MORNING</v>
      </c>
    </row>
    <row r="136" spans="1:16" x14ac:dyDescent="0.3">
      <c r="A136" s="4">
        <v>13</v>
      </c>
      <c r="B136" t="s">
        <v>11</v>
      </c>
      <c r="C136" s="4">
        <v>38.700000000000003</v>
      </c>
      <c r="D136" t="s">
        <v>21</v>
      </c>
      <c r="E136" t="s">
        <v>17</v>
      </c>
      <c r="F136" s="4" t="s">
        <v>22</v>
      </c>
      <c r="G136" s="4" t="s">
        <v>15</v>
      </c>
      <c r="H136" s="4">
        <v>6</v>
      </c>
      <c r="I136" s="4">
        <v>3</v>
      </c>
      <c r="J136" s="1">
        <v>45374</v>
      </c>
      <c r="K136" s="2">
        <v>7.7800925925925928E-3</v>
      </c>
      <c r="M136" s="4" t="str">
        <f t="shared" si="6"/>
        <v>HIGH</v>
      </c>
      <c r="N136" s="4" t="str" cm="1">
        <f t="array" ref="N136">_xlfn.IFS(C136&gt;35,"HIGH",C136&gt;25,"MIDDLE",TRUE,"LOW")</f>
        <v>HIGH</v>
      </c>
      <c r="O136" s="4" t="str">
        <f t="shared" si="7"/>
        <v>OTHERS</v>
      </c>
      <c r="P136" s="4" t="str">
        <f t="shared" si="8"/>
        <v>PREMINUM MORNING</v>
      </c>
    </row>
    <row r="137" spans="1:16" x14ac:dyDescent="0.3">
      <c r="A137" s="4">
        <v>14</v>
      </c>
      <c r="B137" t="s">
        <v>11</v>
      </c>
      <c r="C137" s="4">
        <v>33.799999999999997</v>
      </c>
      <c r="D137" t="s">
        <v>19</v>
      </c>
      <c r="E137" t="s">
        <v>17</v>
      </c>
      <c r="F137" s="4" t="s">
        <v>22</v>
      </c>
      <c r="G137" s="4" t="s">
        <v>15</v>
      </c>
      <c r="H137" s="4">
        <v>6</v>
      </c>
      <c r="I137" s="4">
        <v>3</v>
      </c>
      <c r="J137" s="1">
        <v>45374</v>
      </c>
      <c r="K137" s="2">
        <v>3.1033564814814816E-2</v>
      </c>
      <c r="M137" s="4" t="str">
        <f t="shared" si="6"/>
        <v>LOW</v>
      </c>
      <c r="N137" s="4" t="str" cm="1">
        <f t="array" ref="N137">_xlfn.IFS(C137&gt;35,"HIGH",C137&gt;25,"MIDDLE",TRUE,"LOW")</f>
        <v>MIDDLE</v>
      </c>
      <c r="O137" s="4" t="str">
        <f t="shared" si="7"/>
        <v>OTHERS</v>
      </c>
      <c r="P137" s="4" t="str">
        <f t="shared" si="8"/>
        <v>OTHERS</v>
      </c>
    </row>
    <row r="138" spans="1:16" x14ac:dyDescent="0.3">
      <c r="A138" s="4">
        <v>15</v>
      </c>
      <c r="B138" t="s">
        <v>11</v>
      </c>
      <c r="C138" s="4">
        <v>38.700000000000003</v>
      </c>
      <c r="D138" t="s">
        <v>12</v>
      </c>
      <c r="E138" t="s">
        <v>17</v>
      </c>
      <c r="F138" s="4" t="s">
        <v>22</v>
      </c>
      <c r="G138" s="4" t="s">
        <v>15</v>
      </c>
      <c r="H138" s="4">
        <v>6</v>
      </c>
      <c r="I138" s="4">
        <v>3</v>
      </c>
      <c r="J138" s="1">
        <v>45374</v>
      </c>
      <c r="K138" s="2">
        <v>3.2859953703703704E-2</v>
      </c>
      <c r="M138" s="4" t="str">
        <f t="shared" si="6"/>
        <v>HIGH</v>
      </c>
      <c r="N138" s="4" t="str" cm="1">
        <f t="array" ref="N138">_xlfn.IFS(C138&gt;35,"HIGH",C138&gt;25,"MIDDLE",TRUE,"LOW")</f>
        <v>HIGH</v>
      </c>
      <c r="O138" s="4" t="str">
        <f t="shared" si="7"/>
        <v>OTHERS</v>
      </c>
      <c r="P138" s="4" t="str">
        <f t="shared" si="8"/>
        <v>PREMINUM MORNING</v>
      </c>
    </row>
    <row r="139" spans="1:16" x14ac:dyDescent="0.3">
      <c r="A139" s="4">
        <v>15</v>
      </c>
      <c r="B139" t="s">
        <v>11</v>
      </c>
      <c r="C139" s="4">
        <v>33.799999999999997</v>
      </c>
      <c r="D139" t="s">
        <v>19</v>
      </c>
      <c r="E139" t="s">
        <v>17</v>
      </c>
      <c r="F139" s="4" t="s">
        <v>22</v>
      </c>
      <c r="G139" s="4" t="s">
        <v>15</v>
      </c>
      <c r="H139" s="4">
        <v>6</v>
      </c>
      <c r="I139" s="4">
        <v>3</v>
      </c>
      <c r="J139" s="1">
        <v>45374</v>
      </c>
      <c r="K139" s="2">
        <v>3.4418981481481481E-2</v>
      </c>
      <c r="M139" s="4" t="str">
        <f t="shared" si="6"/>
        <v>LOW</v>
      </c>
      <c r="N139" s="4" t="str" cm="1">
        <f t="array" ref="N139">_xlfn.IFS(C139&gt;35,"HIGH",C139&gt;25,"MIDDLE",TRUE,"LOW")</f>
        <v>MIDDLE</v>
      </c>
      <c r="O139" s="4" t="str">
        <f t="shared" si="7"/>
        <v>OTHERS</v>
      </c>
      <c r="P139" s="4" t="str">
        <f t="shared" si="8"/>
        <v>OTHERS</v>
      </c>
    </row>
    <row r="140" spans="1:16" x14ac:dyDescent="0.3">
      <c r="A140" s="4">
        <v>16</v>
      </c>
      <c r="B140" t="s">
        <v>11</v>
      </c>
      <c r="C140" s="4">
        <v>28.9</v>
      </c>
      <c r="D140" t="s">
        <v>24</v>
      </c>
      <c r="E140" t="s">
        <v>17</v>
      </c>
      <c r="F140" s="4" t="s">
        <v>22</v>
      </c>
      <c r="G140" s="4" t="s">
        <v>15</v>
      </c>
      <c r="H140" s="4">
        <v>6</v>
      </c>
      <c r="I140" s="4">
        <v>3</v>
      </c>
      <c r="J140" s="1">
        <v>45374</v>
      </c>
      <c r="K140" s="2">
        <v>6.7592592592592596E-4</v>
      </c>
      <c r="M140" s="4" t="str">
        <f t="shared" si="6"/>
        <v>LOW</v>
      </c>
      <c r="N140" s="4" t="str" cm="1">
        <f t="array" ref="N140">_xlfn.IFS(C140&gt;35,"HIGH",C140&gt;25,"MIDDLE",TRUE,"LOW")</f>
        <v>MIDDLE</v>
      </c>
      <c r="O140" s="4" t="str">
        <f t="shared" si="7"/>
        <v>OTHERS</v>
      </c>
      <c r="P140" s="4" t="str">
        <f t="shared" si="8"/>
        <v>OTHERS</v>
      </c>
    </row>
    <row r="141" spans="1:16" x14ac:dyDescent="0.3">
      <c r="A141" s="4">
        <v>18</v>
      </c>
      <c r="B141" t="s">
        <v>11</v>
      </c>
      <c r="C141" s="4">
        <v>38.700000000000003</v>
      </c>
      <c r="D141" t="s">
        <v>12</v>
      </c>
      <c r="E141" t="s">
        <v>20</v>
      </c>
      <c r="F141" s="4" t="s">
        <v>23</v>
      </c>
      <c r="G141" s="4" t="s">
        <v>15</v>
      </c>
      <c r="H141" s="4">
        <v>7</v>
      </c>
      <c r="I141" s="4">
        <v>3</v>
      </c>
      <c r="J141" s="1">
        <v>45375</v>
      </c>
      <c r="K141" s="2">
        <v>3.1347222222222221E-2</v>
      </c>
      <c r="M141" s="4" t="str">
        <f t="shared" si="6"/>
        <v>HIGH</v>
      </c>
      <c r="N141" s="4" t="str" cm="1">
        <f t="array" ref="N141">_xlfn.IFS(C141&gt;35,"HIGH",C141&gt;25,"MIDDLE",TRUE,"LOW")</f>
        <v>HIGH</v>
      </c>
      <c r="O141" s="4" t="str">
        <f t="shared" si="7"/>
        <v>OTHERS</v>
      </c>
      <c r="P141" s="4" t="str">
        <f t="shared" si="8"/>
        <v>PREMINUM MORNING</v>
      </c>
    </row>
    <row r="142" spans="1:16" x14ac:dyDescent="0.3">
      <c r="A142" s="4">
        <v>10</v>
      </c>
      <c r="B142" t="s">
        <v>11</v>
      </c>
      <c r="C142" s="4">
        <v>38.700000000000003</v>
      </c>
      <c r="D142" t="s">
        <v>12</v>
      </c>
      <c r="E142" t="s">
        <v>13</v>
      </c>
      <c r="F142" s="4" t="s">
        <v>25</v>
      </c>
      <c r="G142" s="4" t="s">
        <v>15</v>
      </c>
      <c r="H142" s="4">
        <v>1</v>
      </c>
      <c r="I142" s="4">
        <v>3</v>
      </c>
      <c r="J142" s="1">
        <v>45376</v>
      </c>
      <c r="K142" s="2">
        <v>2.2074074074074076E-2</v>
      </c>
      <c r="M142" s="4" t="str">
        <f t="shared" si="6"/>
        <v>HIGH</v>
      </c>
      <c r="N142" s="4" t="str" cm="1">
        <f t="array" ref="N142">_xlfn.IFS(C142&gt;35,"HIGH",C142&gt;25,"MIDDLE",TRUE,"LOW")</f>
        <v>HIGH</v>
      </c>
      <c r="O142" s="4" t="str">
        <f t="shared" si="7"/>
        <v>PREMINUM MORNING</v>
      </c>
      <c r="P142" s="4" t="str">
        <f t="shared" si="8"/>
        <v>PREMINUM MORNING</v>
      </c>
    </row>
    <row r="143" spans="1:16" x14ac:dyDescent="0.3">
      <c r="A143" s="4">
        <v>14</v>
      </c>
      <c r="B143" t="s">
        <v>11</v>
      </c>
      <c r="C143" s="4">
        <v>38.700000000000003</v>
      </c>
      <c r="D143" t="s">
        <v>12</v>
      </c>
      <c r="E143" t="s">
        <v>17</v>
      </c>
      <c r="F143" s="4" t="s">
        <v>25</v>
      </c>
      <c r="G143" s="4" t="s">
        <v>15</v>
      </c>
      <c r="H143" s="4">
        <v>1</v>
      </c>
      <c r="I143" s="4">
        <v>3</v>
      </c>
      <c r="J143" s="1">
        <v>45376</v>
      </c>
      <c r="K143" s="2">
        <v>1.8856481481481481E-2</v>
      </c>
      <c r="M143" s="4" t="str">
        <f t="shared" si="6"/>
        <v>HIGH</v>
      </c>
      <c r="N143" s="4" t="str" cm="1">
        <f t="array" ref="N143">_xlfn.IFS(C143&gt;35,"HIGH",C143&gt;25,"MIDDLE",TRUE,"LOW")</f>
        <v>HIGH</v>
      </c>
      <c r="O143" s="4" t="str">
        <f t="shared" si="7"/>
        <v>OTHERS</v>
      </c>
      <c r="P143" s="4" t="str">
        <f t="shared" si="8"/>
        <v>PREMINUM MORNING</v>
      </c>
    </row>
    <row r="144" spans="1:16" x14ac:dyDescent="0.3">
      <c r="A144" s="4">
        <v>14</v>
      </c>
      <c r="B144" t="s">
        <v>11</v>
      </c>
      <c r="C144" s="4">
        <v>38.700000000000003</v>
      </c>
      <c r="D144" t="s">
        <v>12</v>
      </c>
      <c r="E144" t="s">
        <v>17</v>
      </c>
      <c r="F144" s="4" t="s">
        <v>25</v>
      </c>
      <c r="G144" s="4" t="s">
        <v>15</v>
      </c>
      <c r="H144" s="4">
        <v>1</v>
      </c>
      <c r="I144" s="4">
        <v>3</v>
      </c>
      <c r="J144" s="1">
        <v>45376</v>
      </c>
      <c r="K144" s="2">
        <v>2.0431712962962964E-2</v>
      </c>
      <c r="M144" s="4" t="str">
        <f t="shared" si="6"/>
        <v>HIGH</v>
      </c>
      <c r="N144" s="4" t="str" cm="1">
        <f t="array" ref="N144">_xlfn.IFS(C144&gt;35,"HIGH",C144&gt;25,"MIDDLE",TRUE,"LOW")</f>
        <v>HIGH</v>
      </c>
      <c r="O144" s="4" t="str">
        <f t="shared" si="7"/>
        <v>OTHERS</v>
      </c>
      <c r="P144" s="4" t="str">
        <f t="shared" si="8"/>
        <v>PREMINUM MORNING</v>
      </c>
    </row>
    <row r="145" spans="1:16" x14ac:dyDescent="0.3">
      <c r="A145" s="4">
        <v>18</v>
      </c>
      <c r="B145" t="s">
        <v>11</v>
      </c>
      <c r="C145" s="4">
        <v>33.799999999999997</v>
      </c>
      <c r="D145" t="s">
        <v>19</v>
      </c>
      <c r="E145" t="s">
        <v>20</v>
      </c>
      <c r="F145" s="4" t="s">
        <v>25</v>
      </c>
      <c r="G145" s="4" t="s">
        <v>15</v>
      </c>
      <c r="H145" s="4">
        <v>1</v>
      </c>
      <c r="I145" s="4">
        <v>3</v>
      </c>
      <c r="J145" s="1">
        <v>45376</v>
      </c>
      <c r="K145" s="2">
        <v>2.6048611111111109E-2</v>
      </c>
      <c r="M145" s="4" t="str">
        <f t="shared" si="6"/>
        <v>LOW</v>
      </c>
      <c r="N145" s="4" t="str" cm="1">
        <f t="array" ref="N145">_xlfn.IFS(C145&gt;35,"HIGH",C145&gt;25,"MIDDLE",TRUE,"LOW")</f>
        <v>MIDDLE</v>
      </c>
      <c r="O145" s="4" t="str">
        <f t="shared" si="7"/>
        <v>OTHERS</v>
      </c>
      <c r="P145" s="4" t="str">
        <f t="shared" si="8"/>
        <v>OTHERS</v>
      </c>
    </row>
    <row r="146" spans="1:16" x14ac:dyDescent="0.3">
      <c r="A146" s="4">
        <v>19</v>
      </c>
      <c r="B146" t="s">
        <v>11</v>
      </c>
      <c r="C146" s="4">
        <v>38.700000000000003</v>
      </c>
      <c r="D146" t="s">
        <v>29</v>
      </c>
      <c r="E146" t="s">
        <v>20</v>
      </c>
      <c r="F146" s="4" t="s">
        <v>25</v>
      </c>
      <c r="G146" s="4" t="s">
        <v>15</v>
      </c>
      <c r="H146" s="4">
        <v>1</v>
      </c>
      <c r="I146" s="4">
        <v>3</v>
      </c>
      <c r="J146" s="1">
        <v>45376</v>
      </c>
      <c r="K146" s="2">
        <v>2.3894675925925927E-2</v>
      </c>
      <c r="M146" s="4" t="str">
        <f t="shared" si="6"/>
        <v>HIGH</v>
      </c>
      <c r="N146" s="4" t="str" cm="1">
        <f t="array" ref="N146">_xlfn.IFS(C146&gt;35,"HIGH",C146&gt;25,"MIDDLE",TRUE,"LOW")</f>
        <v>HIGH</v>
      </c>
      <c r="O146" s="4" t="str">
        <f t="shared" si="7"/>
        <v>OTHERS</v>
      </c>
      <c r="P146" s="4" t="str">
        <f t="shared" si="8"/>
        <v>PREMINUM MORNING</v>
      </c>
    </row>
    <row r="147" spans="1:16" x14ac:dyDescent="0.3">
      <c r="A147" s="4">
        <v>10</v>
      </c>
      <c r="B147" t="s">
        <v>11</v>
      </c>
      <c r="C147" s="4">
        <v>38.700000000000003</v>
      </c>
      <c r="D147" t="s">
        <v>21</v>
      </c>
      <c r="E147" t="s">
        <v>13</v>
      </c>
      <c r="F147" s="4" t="s">
        <v>27</v>
      </c>
      <c r="G147" s="4" t="s">
        <v>15</v>
      </c>
      <c r="H147" s="4">
        <v>2</v>
      </c>
      <c r="I147" s="4">
        <v>3</v>
      </c>
      <c r="J147" s="1">
        <v>45377</v>
      </c>
      <c r="K147" s="2">
        <v>2.4880787037037035E-2</v>
      </c>
      <c r="M147" s="4" t="str">
        <f t="shared" si="6"/>
        <v>HIGH</v>
      </c>
      <c r="N147" s="4" t="str" cm="1">
        <f t="array" ref="N147">_xlfn.IFS(C147&gt;35,"HIGH",C147&gt;25,"MIDDLE",TRUE,"LOW")</f>
        <v>HIGH</v>
      </c>
      <c r="O147" s="4" t="str">
        <f t="shared" si="7"/>
        <v>PREMINUM MORNING</v>
      </c>
      <c r="P147" s="4" t="str">
        <f t="shared" si="8"/>
        <v>PREMINUM MORNING</v>
      </c>
    </row>
    <row r="148" spans="1:16" x14ac:dyDescent="0.3">
      <c r="A148" s="4">
        <v>10</v>
      </c>
      <c r="B148" t="s">
        <v>11</v>
      </c>
      <c r="C148" s="4">
        <v>38.700000000000003</v>
      </c>
      <c r="D148" t="s">
        <v>12</v>
      </c>
      <c r="E148" t="s">
        <v>13</v>
      </c>
      <c r="F148" s="4" t="s">
        <v>27</v>
      </c>
      <c r="G148" s="4" t="s">
        <v>15</v>
      </c>
      <c r="H148" s="4">
        <v>2</v>
      </c>
      <c r="I148" s="4">
        <v>3</v>
      </c>
      <c r="J148" s="1">
        <v>45377</v>
      </c>
      <c r="K148" s="2">
        <v>2.541898148148148E-2</v>
      </c>
      <c r="M148" s="4" t="str">
        <f t="shared" si="6"/>
        <v>HIGH</v>
      </c>
      <c r="N148" s="4" t="str" cm="1">
        <f t="array" ref="N148">_xlfn.IFS(C148&gt;35,"HIGH",C148&gt;25,"MIDDLE",TRUE,"LOW")</f>
        <v>HIGH</v>
      </c>
      <c r="O148" s="4" t="str">
        <f t="shared" si="7"/>
        <v>PREMINUM MORNING</v>
      </c>
      <c r="P148" s="4" t="str">
        <f t="shared" si="8"/>
        <v>PREMINUM MORNING</v>
      </c>
    </row>
    <row r="149" spans="1:16" x14ac:dyDescent="0.3">
      <c r="A149" s="4">
        <v>10</v>
      </c>
      <c r="B149" t="s">
        <v>11</v>
      </c>
      <c r="C149" s="4">
        <v>38.700000000000003</v>
      </c>
      <c r="D149" t="s">
        <v>12</v>
      </c>
      <c r="E149" t="s">
        <v>13</v>
      </c>
      <c r="F149" s="4" t="s">
        <v>27</v>
      </c>
      <c r="G149" s="4" t="s">
        <v>15</v>
      </c>
      <c r="H149" s="4">
        <v>2</v>
      </c>
      <c r="I149" s="4">
        <v>3</v>
      </c>
      <c r="J149" s="1">
        <v>45377</v>
      </c>
      <c r="K149" s="2">
        <v>2.9516203703703701E-2</v>
      </c>
      <c r="M149" s="4" t="str">
        <f t="shared" si="6"/>
        <v>HIGH</v>
      </c>
      <c r="N149" s="4" t="str" cm="1">
        <f t="array" ref="N149">_xlfn.IFS(C149&gt;35,"HIGH",C149&gt;25,"MIDDLE",TRUE,"LOW")</f>
        <v>HIGH</v>
      </c>
      <c r="O149" s="4" t="str">
        <f t="shared" si="7"/>
        <v>PREMINUM MORNING</v>
      </c>
      <c r="P149" s="4" t="str">
        <f t="shared" si="8"/>
        <v>PREMINUM MORNING</v>
      </c>
    </row>
    <row r="150" spans="1:16" x14ac:dyDescent="0.3">
      <c r="A150" s="4">
        <v>11</v>
      </c>
      <c r="B150" t="s">
        <v>11</v>
      </c>
      <c r="C150" s="4">
        <v>28.9</v>
      </c>
      <c r="D150" t="s">
        <v>24</v>
      </c>
      <c r="E150" t="s">
        <v>13</v>
      </c>
      <c r="F150" s="4" t="s">
        <v>27</v>
      </c>
      <c r="G150" s="4" t="s">
        <v>15</v>
      </c>
      <c r="H150" s="4">
        <v>2</v>
      </c>
      <c r="I150" s="4">
        <v>3</v>
      </c>
      <c r="J150" s="1">
        <v>45377</v>
      </c>
      <c r="K150" s="2">
        <v>8.1863425925925923E-3</v>
      </c>
      <c r="M150" s="4" t="str">
        <f t="shared" si="6"/>
        <v>LOW</v>
      </c>
      <c r="N150" s="4" t="str" cm="1">
        <f t="array" ref="N150">_xlfn.IFS(C150&gt;35,"HIGH",C150&gt;25,"MIDDLE",TRUE,"LOW")</f>
        <v>MIDDLE</v>
      </c>
      <c r="O150" s="4" t="str">
        <f t="shared" si="7"/>
        <v>OTHERS</v>
      </c>
      <c r="P150" s="4" t="str">
        <f t="shared" si="8"/>
        <v>PREMINUM MORNING</v>
      </c>
    </row>
    <row r="151" spans="1:16" x14ac:dyDescent="0.3">
      <c r="A151" s="4">
        <v>13</v>
      </c>
      <c r="B151" t="s">
        <v>11</v>
      </c>
      <c r="C151" s="4">
        <v>28.9</v>
      </c>
      <c r="D151" t="s">
        <v>18</v>
      </c>
      <c r="E151" t="s">
        <v>17</v>
      </c>
      <c r="F151" s="4" t="s">
        <v>27</v>
      </c>
      <c r="G151" s="4" t="s">
        <v>15</v>
      </c>
      <c r="H151" s="4">
        <v>2</v>
      </c>
      <c r="I151" s="4">
        <v>3</v>
      </c>
      <c r="J151" s="1">
        <v>45377</v>
      </c>
      <c r="K151" s="2">
        <v>2.491666666666667E-2</v>
      </c>
      <c r="M151" s="4" t="str">
        <f t="shared" si="6"/>
        <v>LOW</v>
      </c>
      <c r="N151" s="4" t="str" cm="1">
        <f t="array" ref="N151">_xlfn.IFS(C151&gt;35,"HIGH",C151&gt;25,"MIDDLE",TRUE,"LOW")</f>
        <v>MIDDLE</v>
      </c>
      <c r="O151" s="4" t="str">
        <f t="shared" si="7"/>
        <v>OTHERS</v>
      </c>
      <c r="P151" s="4" t="str">
        <f t="shared" si="8"/>
        <v>OTHERS</v>
      </c>
    </row>
    <row r="152" spans="1:16" x14ac:dyDescent="0.3">
      <c r="A152" s="4">
        <v>13</v>
      </c>
      <c r="B152" t="s">
        <v>11</v>
      </c>
      <c r="C152" s="4">
        <v>28.9</v>
      </c>
      <c r="D152" t="s">
        <v>24</v>
      </c>
      <c r="E152" t="s">
        <v>17</v>
      </c>
      <c r="F152" s="4" t="s">
        <v>27</v>
      </c>
      <c r="G152" s="4" t="s">
        <v>15</v>
      </c>
      <c r="H152" s="4">
        <v>2</v>
      </c>
      <c r="I152" s="4">
        <v>3</v>
      </c>
      <c r="J152" s="1">
        <v>45377</v>
      </c>
      <c r="K152" s="2">
        <v>2.5574074074074072E-2</v>
      </c>
      <c r="M152" s="4" t="str">
        <f t="shared" si="6"/>
        <v>LOW</v>
      </c>
      <c r="N152" s="4" t="str" cm="1">
        <f t="array" ref="N152">_xlfn.IFS(C152&gt;35,"HIGH",C152&gt;25,"MIDDLE",TRUE,"LOW")</f>
        <v>MIDDLE</v>
      </c>
      <c r="O152" s="4" t="str">
        <f t="shared" si="7"/>
        <v>OTHERS</v>
      </c>
      <c r="P152" s="4" t="str">
        <f t="shared" si="8"/>
        <v>OTHERS</v>
      </c>
    </row>
    <row r="153" spans="1:16" x14ac:dyDescent="0.3">
      <c r="A153" s="4">
        <v>13</v>
      </c>
      <c r="B153" t="s">
        <v>11</v>
      </c>
      <c r="C153" s="4">
        <v>28.9</v>
      </c>
      <c r="D153" t="s">
        <v>24</v>
      </c>
      <c r="E153" t="s">
        <v>17</v>
      </c>
      <c r="F153" s="4" t="s">
        <v>27</v>
      </c>
      <c r="G153" s="4" t="s">
        <v>15</v>
      </c>
      <c r="H153" s="4">
        <v>2</v>
      </c>
      <c r="I153" s="4">
        <v>3</v>
      </c>
      <c r="J153" s="1">
        <v>45377</v>
      </c>
      <c r="K153" s="2">
        <v>2.6385416666666665E-2</v>
      </c>
      <c r="M153" s="4" t="str">
        <f t="shared" si="6"/>
        <v>LOW</v>
      </c>
      <c r="N153" s="4" t="str" cm="1">
        <f t="array" ref="N153">_xlfn.IFS(C153&gt;35,"HIGH",C153&gt;25,"MIDDLE",TRUE,"LOW")</f>
        <v>MIDDLE</v>
      </c>
      <c r="O153" s="4" t="str">
        <f t="shared" si="7"/>
        <v>OTHERS</v>
      </c>
      <c r="P153" s="4" t="str">
        <f t="shared" si="8"/>
        <v>OTHERS</v>
      </c>
    </row>
    <row r="154" spans="1:16" x14ac:dyDescent="0.3">
      <c r="A154" s="4">
        <v>13</v>
      </c>
      <c r="B154" t="s">
        <v>11</v>
      </c>
      <c r="C154" s="4">
        <v>28.9</v>
      </c>
      <c r="D154" t="s">
        <v>18</v>
      </c>
      <c r="E154" t="s">
        <v>17</v>
      </c>
      <c r="F154" s="4" t="s">
        <v>27</v>
      </c>
      <c r="G154" s="4" t="s">
        <v>15</v>
      </c>
      <c r="H154" s="4">
        <v>2</v>
      </c>
      <c r="I154" s="4">
        <v>3</v>
      </c>
      <c r="J154" s="1">
        <v>45377</v>
      </c>
      <c r="K154" s="2">
        <v>4.0204861111111108E-2</v>
      </c>
      <c r="M154" s="4" t="str">
        <f t="shared" si="6"/>
        <v>LOW</v>
      </c>
      <c r="N154" s="4" t="str" cm="1">
        <f t="array" ref="N154">_xlfn.IFS(C154&gt;35,"HIGH",C154&gt;25,"MIDDLE",TRUE,"LOW")</f>
        <v>MIDDLE</v>
      </c>
      <c r="O154" s="4" t="str">
        <f t="shared" si="7"/>
        <v>OTHERS</v>
      </c>
      <c r="P154" s="4" t="str">
        <f t="shared" si="8"/>
        <v>OTHERS</v>
      </c>
    </row>
    <row r="155" spans="1:16" x14ac:dyDescent="0.3">
      <c r="A155" s="4">
        <v>15</v>
      </c>
      <c r="B155" t="s">
        <v>11</v>
      </c>
      <c r="C155" s="4">
        <v>38.700000000000003</v>
      </c>
      <c r="D155" t="s">
        <v>12</v>
      </c>
      <c r="E155" t="s">
        <v>17</v>
      </c>
      <c r="F155" s="4" t="s">
        <v>27</v>
      </c>
      <c r="G155" s="4" t="s">
        <v>15</v>
      </c>
      <c r="H155" s="4">
        <v>2</v>
      </c>
      <c r="I155" s="4">
        <v>3</v>
      </c>
      <c r="J155" s="1">
        <v>45377</v>
      </c>
      <c r="K155" s="2">
        <v>3.3359953703703704E-2</v>
      </c>
      <c r="M155" s="4" t="str">
        <f t="shared" si="6"/>
        <v>HIGH</v>
      </c>
      <c r="N155" s="4" t="str" cm="1">
        <f t="array" ref="N155">_xlfn.IFS(C155&gt;35,"HIGH",C155&gt;25,"MIDDLE",TRUE,"LOW")</f>
        <v>HIGH</v>
      </c>
      <c r="O155" s="4" t="str">
        <f t="shared" si="7"/>
        <v>OTHERS</v>
      </c>
      <c r="P155" s="4" t="str">
        <f t="shared" si="8"/>
        <v>PREMINUM MORNING</v>
      </c>
    </row>
    <row r="156" spans="1:16" x14ac:dyDescent="0.3">
      <c r="A156" s="4">
        <v>18</v>
      </c>
      <c r="B156" t="s">
        <v>11</v>
      </c>
      <c r="C156" s="4">
        <v>38.700000000000003</v>
      </c>
      <c r="D156" t="s">
        <v>12</v>
      </c>
      <c r="E156" t="s">
        <v>20</v>
      </c>
      <c r="F156" s="4" t="s">
        <v>27</v>
      </c>
      <c r="G156" s="4" t="s">
        <v>15</v>
      </c>
      <c r="H156" s="4">
        <v>2</v>
      </c>
      <c r="I156" s="4">
        <v>3</v>
      </c>
      <c r="J156" s="1">
        <v>45377</v>
      </c>
      <c r="K156" s="2">
        <v>2.3363425925925926E-2</v>
      </c>
      <c r="M156" s="4" t="str">
        <f t="shared" si="6"/>
        <v>HIGH</v>
      </c>
      <c r="N156" s="4" t="str" cm="1">
        <f t="array" ref="N156">_xlfn.IFS(C156&gt;35,"HIGH",C156&gt;25,"MIDDLE",TRUE,"LOW")</f>
        <v>HIGH</v>
      </c>
      <c r="O156" s="4" t="str">
        <f t="shared" si="7"/>
        <v>OTHERS</v>
      </c>
      <c r="P156" s="4" t="str">
        <f t="shared" si="8"/>
        <v>PREMINUM MORNING</v>
      </c>
    </row>
    <row r="157" spans="1:16" x14ac:dyDescent="0.3">
      <c r="A157" s="4">
        <v>18</v>
      </c>
      <c r="B157" t="s">
        <v>11</v>
      </c>
      <c r="C157" s="4">
        <v>38.700000000000003</v>
      </c>
      <c r="D157" t="s">
        <v>16</v>
      </c>
      <c r="E157" t="s">
        <v>20</v>
      </c>
      <c r="F157" s="4" t="s">
        <v>27</v>
      </c>
      <c r="G157" s="4" t="s">
        <v>15</v>
      </c>
      <c r="H157" s="4">
        <v>2</v>
      </c>
      <c r="I157" s="4">
        <v>3</v>
      </c>
      <c r="J157" s="1">
        <v>45377</v>
      </c>
      <c r="K157" s="2">
        <v>2.4243055555555556E-2</v>
      </c>
      <c r="M157" s="4" t="str">
        <f t="shared" si="6"/>
        <v>HIGH</v>
      </c>
      <c r="N157" s="4" t="str" cm="1">
        <f t="array" ref="N157">_xlfn.IFS(C157&gt;35,"HIGH",C157&gt;25,"MIDDLE",TRUE,"LOW")</f>
        <v>HIGH</v>
      </c>
      <c r="O157" s="4" t="str">
        <f t="shared" si="7"/>
        <v>OTHERS</v>
      </c>
      <c r="P157" s="4" t="str">
        <f t="shared" si="8"/>
        <v>PREMINUM MORNING</v>
      </c>
    </row>
    <row r="158" spans="1:16" x14ac:dyDescent="0.3">
      <c r="A158" s="4">
        <v>11</v>
      </c>
      <c r="B158" t="s">
        <v>11</v>
      </c>
      <c r="C158" s="4">
        <v>28.9</v>
      </c>
      <c r="D158" t="s">
        <v>24</v>
      </c>
      <c r="E158" t="s">
        <v>13</v>
      </c>
      <c r="F158" s="4" t="s">
        <v>28</v>
      </c>
      <c r="G158" s="4" t="s">
        <v>15</v>
      </c>
      <c r="H158" s="4">
        <v>3</v>
      </c>
      <c r="I158" s="4">
        <v>3</v>
      </c>
      <c r="J158" s="1">
        <v>45378</v>
      </c>
      <c r="K158" s="2">
        <v>3.3703703703703704E-3</v>
      </c>
      <c r="M158" s="4" t="str">
        <f t="shared" si="6"/>
        <v>LOW</v>
      </c>
      <c r="N158" s="4" t="str" cm="1">
        <f t="array" ref="N158">_xlfn.IFS(C158&gt;35,"HIGH",C158&gt;25,"MIDDLE",TRUE,"LOW")</f>
        <v>MIDDLE</v>
      </c>
      <c r="O158" s="4" t="str">
        <f t="shared" si="7"/>
        <v>OTHERS</v>
      </c>
      <c r="P158" s="4" t="str">
        <f t="shared" si="8"/>
        <v>PREMINUM MORNING</v>
      </c>
    </row>
    <row r="159" spans="1:16" x14ac:dyDescent="0.3">
      <c r="A159" s="4">
        <v>11</v>
      </c>
      <c r="B159" t="s">
        <v>11</v>
      </c>
      <c r="C159" s="4">
        <v>33.799999999999997</v>
      </c>
      <c r="D159" t="s">
        <v>19</v>
      </c>
      <c r="E159" t="s">
        <v>13</v>
      </c>
      <c r="F159" s="4" t="s">
        <v>28</v>
      </c>
      <c r="G159" s="4" t="s">
        <v>15</v>
      </c>
      <c r="H159" s="4">
        <v>3</v>
      </c>
      <c r="I159" s="4">
        <v>3</v>
      </c>
      <c r="J159" s="1">
        <v>45378</v>
      </c>
      <c r="K159" s="2">
        <v>4.145833333333333E-3</v>
      </c>
      <c r="M159" s="4" t="str">
        <f t="shared" si="6"/>
        <v>LOW</v>
      </c>
      <c r="N159" s="4" t="str" cm="1">
        <f t="array" ref="N159">_xlfn.IFS(C159&gt;35,"HIGH",C159&gt;25,"MIDDLE",TRUE,"LOW")</f>
        <v>MIDDLE</v>
      </c>
      <c r="O159" s="4" t="str">
        <f t="shared" si="7"/>
        <v>OTHERS</v>
      </c>
      <c r="P159" s="4" t="str">
        <f t="shared" si="8"/>
        <v>PREMINUM MORNING</v>
      </c>
    </row>
    <row r="160" spans="1:16" x14ac:dyDescent="0.3">
      <c r="A160" s="4">
        <v>12</v>
      </c>
      <c r="B160" t="s">
        <v>11</v>
      </c>
      <c r="C160" s="4">
        <v>33.799999999999997</v>
      </c>
      <c r="D160" t="s">
        <v>19</v>
      </c>
      <c r="E160" t="s">
        <v>17</v>
      </c>
      <c r="F160" s="4" t="s">
        <v>28</v>
      </c>
      <c r="G160" s="4" t="s">
        <v>15</v>
      </c>
      <c r="H160" s="4">
        <v>3</v>
      </c>
      <c r="I160" s="4">
        <v>3</v>
      </c>
      <c r="J160" s="1">
        <v>45378</v>
      </c>
      <c r="K160" s="2">
        <v>3.9589120370370372E-2</v>
      </c>
      <c r="M160" s="4" t="str">
        <f t="shared" si="6"/>
        <v>LOW</v>
      </c>
      <c r="N160" s="4" t="str" cm="1">
        <f t="array" ref="N160">_xlfn.IFS(C160&gt;35,"HIGH",C160&gt;25,"MIDDLE",TRUE,"LOW")</f>
        <v>MIDDLE</v>
      </c>
      <c r="O160" s="4" t="str">
        <f t="shared" si="7"/>
        <v>OTHERS</v>
      </c>
      <c r="P160" s="4" t="str">
        <f t="shared" si="8"/>
        <v>OTHERS</v>
      </c>
    </row>
    <row r="161" spans="1:16" x14ac:dyDescent="0.3">
      <c r="A161" s="4">
        <v>13</v>
      </c>
      <c r="B161" t="s">
        <v>11</v>
      </c>
      <c r="C161" s="4">
        <v>38.700000000000003</v>
      </c>
      <c r="D161" t="s">
        <v>16</v>
      </c>
      <c r="E161" t="s">
        <v>17</v>
      </c>
      <c r="F161" s="4" t="s">
        <v>28</v>
      </c>
      <c r="G161" s="4" t="s">
        <v>15</v>
      </c>
      <c r="H161" s="4">
        <v>3</v>
      </c>
      <c r="I161" s="4">
        <v>3</v>
      </c>
      <c r="J161" s="1">
        <v>45378</v>
      </c>
      <c r="K161" s="2">
        <v>2.4537037037037038E-2</v>
      </c>
      <c r="M161" s="4" t="str">
        <f t="shared" si="6"/>
        <v>HIGH</v>
      </c>
      <c r="N161" s="4" t="str" cm="1">
        <f t="array" ref="N161">_xlfn.IFS(C161&gt;35,"HIGH",C161&gt;25,"MIDDLE",TRUE,"LOW")</f>
        <v>HIGH</v>
      </c>
      <c r="O161" s="4" t="str">
        <f t="shared" si="7"/>
        <v>OTHERS</v>
      </c>
      <c r="P161" s="4" t="str">
        <f t="shared" si="8"/>
        <v>PREMINUM MORNING</v>
      </c>
    </row>
    <row r="162" spans="1:16" x14ac:dyDescent="0.3">
      <c r="A162" s="4">
        <v>14</v>
      </c>
      <c r="B162" t="s">
        <v>11</v>
      </c>
      <c r="C162" s="4">
        <v>38.700000000000003</v>
      </c>
      <c r="D162" t="s">
        <v>29</v>
      </c>
      <c r="E162" t="s">
        <v>17</v>
      </c>
      <c r="F162" s="4" t="s">
        <v>28</v>
      </c>
      <c r="G162" s="4" t="s">
        <v>15</v>
      </c>
      <c r="H162" s="4">
        <v>3</v>
      </c>
      <c r="I162" s="4">
        <v>3</v>
      </c>
      <c r="J162" s="1">
        <v>45378</v>
      </c>
      <c r="K162" s="2">
        <v>1.5644675925925926E-2</v>
      </c>
      <c r="M162" s="4" t="str">
        <f t="shared" si="6"/>
        <v>HIGH</v>
      </c>
      <c r="N162" s="4" t="str" cm="1">
        <f t="array" ref="N162">_xlfn.IFS(C162&gt;35,"HIGH",C162&gt;25,"MIDDLE",TRUE,"LOW")</f>
        <v>HIGH</v>
      </c>
      <c r="O162" s="4" t="str">
        <f t="shared" si="7"/>
        <v>OTHERS</v>
      </c>
      <c r="P162" s="4" t="str">
        <f t="shared" si="8"/>
        <v>PREMINUM MORNING</v>
      </c>
    </row>
    <row r="163" spans="1:16" x14ac:dyDescent="0.3">
      <c r="A163" s="4">
        <v>14</v>
      </c>
      <c r="B163" t="s">
        <v>11</v>
      </c>
      <c r="C163" s="4">
        <v>28.9</v>
      </c>
      <c r="D163" t="s">
        <v>18</v>
      </c>
      <c r="E163" t="s">
        <v>17</v>
      </c>
      <c r="F163" s="4" t="s">
        <v>28</v>
      </c>
      <c r="G163" s="4" t="s">
        <v>15</v>
      </c>
      <c r="H163" s="4">
        <v>3</v>
      </c>
      <c r="I163" s="4">
        <v>3</v>
      </c>
      <c r="J163" s="1">
        <v>45378</v>
      </c>
      <c r="K163" s="2">
        <v>1.6381944444444446E-2</v>
      </c>
      <c r="M163" s="4" t="str">
        <f t="shared" si="6"/>
        <v>LOW</v>
      </c>
      <c r="N163" s="4" t="str" cm="1">
        <f t="array" ref="N163">_xlfn.IFS(C163&gt;35,"HIGH",C163&gt;25,"MIDDLE",TRUE,"LOW")</f>
        <v>MIDDLE</v>
      </c>
      <c r="O163" s="4" t="str">
        <f t="shared" si="7"/>
        <v>OTHERS</v>
      </c>
      <c r="P163" s="4" t="str">
        <f t="shared" si="8"/>
        <v>OTHERS</v>
      </c>
    </row>
    <row r="164" spans="1:16" x14ac:dyDescent="0.3">
      <c r="A164" s="4">
        <v>18</v>
      </c>
      <c r="B164" t="s">
        <v>11</v>
      </c>
      <c r="C164" s="4">
        <v>28.9</v>
      </c>
      <c r="D164" t="s">
        <v>24</v>
      </c>
      <c r="E164" t="s">
        <v>20</v>
      </c>
      <c r="F164" s="4" t="s">
        <v>28</v>
      </c>
      <c r="G164" s="4" t="s">
        <v>15</v>
      </c>
      <c r="H164" s="4">
        <v>3</v>
      </c>
      <c r="I164" s="4">
        <v>3</v>
      </c>
      <c r="J164" s="1">
        <v>45378</v>
      </c>
      <c r="K164" s="2">
        <v>2.0969907407407406E-2</v>
      </c>
      <c r="M164" s="4" t="str">
        <f t="shared" si="6"/>
        <v>LOW</v>
      </c>
      <c r="N164" s="4" t="str" cm="1">
        <f t="array" ref="N164">_xlfn.IFS(C164&gt;35,"HIGH",C164&gt;25,"MIDDLE",TRUE,"LOW")</f>
        <v>MIDDLE</v>
      </c>
      <c r="O164" s="4" t="str">
        <f t="shared" si="7"/>
        <v>OTHERS</v>
      </c>
      <c r="P164" s="4" t="str">
        <f t="shared" si="8"/>
        <v>OTHERS</v>
      </c>
    </row>
    <row r="165" spans="1:16" x14ac:dyDescent="0.3">
      <c r="A165" s="4">
        <v>14</v>
      </c>
      <c r="B165" t="s">
        <v>11</v>
      </c>
      <c r="C165" s="4">
        <v>28.9</v>
      </c>
      <c r="D165" t="s">
        <v>24</v>
      </c>
      <c r="E165" t="s">
        <v>17</v>
      </c>
      <c r="F165" s="4" t="s">
        <v>30</v>
      </c>
      <c r="G165" s="4" t="s">
        <v>15</v>
      </c>
      <c r="H165" s="4">
        <v>4</v>
      </c>
      <c r="I165" s="4">
        <v>3</v>
      </c>
      <c r="J165" s="1">
        <v>45379</v>
      </c>
      <c r="K165" s="2">
        <v>1.7211805555555553E-2</v>
      </c>
      <c r="M165" s="4" t="str">
        <f t="shared" si="6"/>
        <v>LOW</v>
      </c>
      <c r="N165" s="4" t="str" cm="1">
        <f t="array" ref="N165">_xlfn.IFS(C165&gt;35,"HIGH",C165&gt;25,"MIDDLE",TRUE,"LOW")</f>
        <v>MIDDLE</v>
      </c>
      <c r="O165" s="4" t="str">
        <f t="shared" si="7"/>
        <v>OTHERS</v>
      </c>
      <c r="P165" s="4" t="str">
        <f t="shared" si="8"/>
        <v>OTHERS</v>
      </c>
    </row>
    <row r="166" spans="1:16" x14ac:dyDescent="0.3">
      <c r="A166" s="4">
        <v>17</v>
      </c>
      <c r="B166" t="s">
        <v>11</v>
      </c>
      <c r="C166" s="4">
        <v>28.9</v>
      </c>
      <c r="D166" t="s">
        <v>24</v>
      </c>
      <c r="E166" t="s">
        <v>20</v>
      </c>
      <c r="F166" s="4" t="s">
        <v>30</v>
      </c>
      <c r="G166" s="4" t="s">
        <v>15</v>
      </c>
      <c r="H166" s="4">
        <v>4</v>
      </c>
      <c r="I166" s="4">
        <v>3</v>
      </c>
      <c r="J166" s="1">
        <v>45379</v>
      </c>
      <c r="K166" s="2">
        <v>1.7201388888888891E-2</v>
      </c>
      <c r="M166" s="4" t="str">
        <f t="shared" si="6"/>
        <v>LOW</v>
      </c>
      <c r="N166" s="4" t="str" cm="1">
        <f t="array" ref="N166">_xlfn.IFS(C166&gt;35,"HIGH",C166&gt;25,"MIDDLE",TRUE,"LOW")</f>
        <v>MIDDLE</v>
      </c>
      <c r="O166" s="4" t="str">
        <f t="shared" si="7"/>
        <v>OTHERS</v>
      </c>
      <c r="P166" s="4" t="str">
        <f t="shared" si="8"/>
        <v>OTHERS</v>
      </c>
    </row>
    <row r="167" spans="1:16" x14ac:dyDescent="0.3">
      <c r="A167" s="4">
        <v>17</v>
      </c>
      <c r="B167" t="s">
        <v>11</v>
      </c>
      <c r="C167" s="4">
        <v>28.9</v>
      </c>
      <c r="D167" t="s">
        <v>18</v>
      </c>
      <c r="E167" t="s">
        <v>20</v>
      </c>
      <c r="F167" s="4" t="s">
        <v>30</v>
      </c>
      <c r="G167" s="4" t="s">
        <v>15</v>
      </c>
      <c r="H167" s="4">
        <v>4</v>
      </c>
      <c r="I167" s="4">
        <v>3</v>
      </c>
      <c r="J167" s="1">
        <v>45379</v>
      </c>
      <c r="K167" s="2">
        <v>1.8811342592592591E-2</v>
      </c>
      <c r="M167" s="4" t="str">
        <f t="shared" si="6"/>
        <v>LOW</v>
      </c>
      <c r="N167" s="4" t="str" cm="1">
        <f t="array" ref="N167">_xlfn.IFS(C167&gt;35,"HIGH",C167&gt;25,"MIDDLE",TRUE,"LOW")</f>
        <v>MIDDLE</v>
      </c>
      <c r="O167" s="4" t="str">
        <f t="shared" si="7"/>
        <v>OTHERS</v>
      </c>
      <c r="P167" s="4" t="str">
        <f t="shared" si="8"/>
        <v>OTHERS</v>
      </c>
    </row>
    <row r="168" spans="1:16" x14ac:dyDescent="0.3">
      <c r="A168" s="4">
        <v>17</v>
      </c>
      <c r="B168" t="s">
        <v>11</v>
      </c>
      <c r="C168" s="4">
        <v>38.700000000000003</v>
      </c>
      <c r="D168" t="s">
        <v>12</v>
      </c>
      <c r="E168" t="s">
        <v>20</v>
      </c>
      <c r="F168" s="4" t="s">
        <v>30</v>
      </c>
      <c r="G168" s="4" t="s">
        <v>15</v>
      </c>
      <c r="H168" s="4">
        <v>4</v>
      </c>
      <c r="I168" s="4">
        <v>3</v>
      </c>
      <c r="J168" s="1">
        <v>45379</v>
      </c>
      <c r="K168" s="2">
        <v>2.2739583333333334E-2</v>
      </c>
      <c r="M168" s="4" t="str">
        <f t="shared" si="6"/>
        <v>HIGH</v>
      </c>
      <c r="N168" s="4" t="str" cm="1">
        <f t="array" ref="N168">_xlfn.IFS(C168&gt;35,"HIGH",C168&gt;25,"MIDDLE",TRUE,"LOW")</f>
        <v>HIGH</v>
      </c>
      <c r="O168" s="4" t="str">
        <f t="shared" si="7"/>
        <v>OTHERS</v>
      </c>
      <c r="P168" s="4" t="str">
        <f t="shared" si="8"/>
        <v>PREMINUM MORNING</v>
      </c>
    </row>
    <row r="169" spans="1:16" x14ac:dyDescent="0.3">
      <c r="A169" s="4">
        <v>10</v>
      </c>
      <c r="B169" t="s">
        <v>11</v>
      </c>
      <c r="C169" s="4">
        <v>38.700000000000003</v>
      </c>
      <c r="D169" t="s">
        <v>12</v>
      </c>
      <c r="E169" t="s">
        <v>13</v>
      </c>
      <c r="F169" s="4" t="s">
        <v>14</v>
      </c>
      <c r="G169" s="4" t="s">
        <v>15</v>
      </c>
      <c r="H169" s="4">
        <v>5</v>
      </c>
      <c r="I169" s="4">
        <v>3</v>
      </c>
      <c r="J169" s="1">
        <v>45380</v>
      </c>
      <c r="K169" s="2">
        <v>3.9114583333333335E-2</v>
      </c>
      <c r="M169" s="4" t="str">
        <f t="shared" si="6"/>
        <v>HIGH</v>
      </c>
      <c r="N169" s="4" t="str" cm="1">
        <f t="array" ref="N169">_xlfn.IFS(C169&gt;35,"HIGH",C169&gt;25,"MIDDLE",TRUE,"LOW")</f>
        <v>HIGH</v>
      </c>
      <c r="O169" s="4" t="str">
        <f t="shared" si="7"/>
        <v>PREMINUM MORNING</v>
      </c>
      <c r="P169" s="4" t="str">
        <f t="shared" si="8"/>
        <v>PREMINUM MORNING</v>
      </c>
    </row>
    <row r="170" spans="1:16" x14ac:dyDescent="0.3">
      <c r="A170" s="4">
        <v>12</v>
      </c>
      <c r="B170" t="s">
        <v>11</v>
      </c>
      <c r="C170" s="4">
        <v>38.700000000000003</v>
      </c>
      <c r="D170" t="s">
        <v>29</v>
      </c>
      <c r="E170" t="s">
        <v>17</v>
      </c>
      <c r="F170" s="4" t="s">
        <v>14</v>
      </c>
      <c r="G170" s="4" t="s">
        <v>15</v>
      </c>
      <c r="H170" s="4">
        <v>5</v>
      </c>
      <c r="I170" s="4">
        <v>3</v>
      </c>
      <c r="J170" s="1">
        <v>45380</v>
      </c>
      <c r="K170" s="2">
        <v>2.38125E-2</v>
      </c>
      <c r="M170" s="4" t="str">
        <f t="shared" si="6"/>
        <v>HIGH</v>
      </c>
      <c r="N170" s="4" t="str" cm="1">
        <f t="array" ref="N170">_xlfn.IFS(C170&gt;35,"HIGH",C170&gt;25,"MIDDLE",TRUE,"LOW")</f>
        <v>HIGH</v>
      </c>
      <c r="O170" s="4" t="str">
        <f t="shared" si="7"/>
        <v>OTHERS</v>
      </c>
      <c r="P170" s="4" t="str">
        <f t="shared" si="8"/>
        <v>PREMINUM MORNING</v>
      </c>
    </row>
    <row r="171" spans="1:16" x14ac:dyDescent="0.3">
      <c r="A171" s="4">
        <v>12</v>
      </c>
      <c r="B171" t="s">
        <v>11</v>
      </c>
      <c r="C171" s="4">
        <v>38.700000000000003</v>
      </c>
      <c r="D171" t="s">
        <v>29</v>
      </c>
      <c r="E171" t="s">
        <v>17</v>
      </c>
      <c r="F171" s="4" t="s">
        <v>14</v>
      </c>
      <c r="G171" s="4" t="s">
        <v>15</v>
      </c>
      <c r="H171" s="4">
        <v>5</v>
      </c>
      <c r="I171" s="4">
        <v>3</v>
      </c>
      <c r="J171" s="1">
        <v>45380</v>
      </c>
      <c r="K171" s="2">
        <v>2.8843749999999998E-2</v>
      </c>
      <c r="M171" s="4" t="str">
        <f t="shared" si="6"/>
        <v>HIGH</v>
      </c>
      <c r="N171" s="4" t="str" cm="1">
        <f t="array" ref="N171">_xlfn.IFS(C171&gt;35,"HIGH",C171&gt;25,"MIDDLE",TRUE,"LOW")</f>
        <v>HIGH</v>
      </c>
      <c r="O171" s="4" t="str">
        <f t="shared" si="7"/>
        <v>OTHERS</v>
      </c>
      <c r="P171" s="4" t="str">
        <f t="shared" si="8"/>
        <v>PREMINUM MORNING</v>
      </c>
    </row>
    <row r="172" spans="1:16" x14ac:dyDescent="0.3">
      <c r="A172" s="4">
        <v>11</v>
      </c>
      <c r="B172" t="s">
        <v>11</v>
      </c>
      <c r="C172" s="4">
        <v>38.700000000000003</v>
      </c>
      <c r="D172" t="s">
        <v>12</v>
      </c>
      <c r="E172" t="s">
        <v>13</v>
      </c>
      <c r="F172" s="4" t="s">
        <v>22</v>
      </c>
      <c r="G172" s="4" t="s">
        <v>15</v>
      </c>
      <c r="H172" s="4">
        <v>6</v>
      </c>
      <c r="I172" s="4">
        <v>3</v>
      </c>
      <c r="J172" s="1">
        <v>45381</v>
      </c>
      <c r="K172" s="2">
        <v>4.12025462962963E-2</v>
      </c>
      <c r="M172" s="4" t="str">
        <f t="shared" si="6"/>
        <v>HIGH</v>
      </c>
      <c r="N172" s="4" t="str" cm="1">
        <f t="array" ref="N172">_xlfn.IFS(C172&gt;35,"HIGH",C172&gt;25,"MIDDLE",TRUE,"LOW")</f>
        <v>HIGH</v>
      </c>
      <c r="O172" s="4" t="str">
        <f t="shared" si="7"/>
        <v>PREMINUM MORNING</v>
      </c>
      <c r="P172" s="4" t="str">
        <f t="shared" si="8"/>
        <v>PREMINUM MORNING</v>
      </c>
    </row>
    <row r="173" spans="1:16" x14ac:dyDescent="0.3">
      <c r="A173" s="4">
        <v>16</v>
      </c>
      <c r="B173" t="s">
        <v>11</v>
      </c>
      <c r="C173" s="4">
        <v>38.700000000000003</v>
      </c>
      <c r="D173" t="s">
        <v>12</v>
      </c>
      <c r="E173" t="s">
        <v>17</v>
      </c>
      <c r="F173" s="4" t="s">
        <v>22</v>
      </c>
      <c r="G173" s="4" t="s">
        <v>15</v>
      </c>
      <c r="H173" s="4">
        <v>6</v>
      </c>
      <c r="I173" s="4">
        <v>3</v>
      </c>
      <c r="J173" s="1">
        <v>45381</v>
      </c>
      <c r="K173" s="2">
        <v>8.7013888888888887E-3</v>
      </c>
      <c r="M173" s="4" t="str">
        <f t="shared" si="6"/>
        <v>HIGH</v>
      </c>
      <c r="N173" s="4" t="str" cm="1">
        <f t="array" ref="N173">_xlfn.IFS(C173&gt;35,"HIGH",C173&gt;25,"MIDDLE",TRUE,"LOW")</f>
        <v>HIGH</v>
      </c>
      <c r="O173" s="4" t="str">
        <f t="shared" si="7"/>
        <v>OTHERS</v>
      </c>
      <c r="P173" s="4" t="str">
        <f t="shared" si="8"/>
        <v>PREMINUM MORNING</v>
      </c>
    </row>
    <row r="174" spans="1:16" x14ac:dyDescent="0.3">
      <c r="A174" s="4">
        <v>16</v>
      </c>
      <c r="B174" t="s">
        <v>11</v>
      </c>
      <c r="C174" s="4">
        <v>38.700000000000003</v>
      </c>
      <c r="D174" t="s">
        <v>12</v>
      </c>
      <c r="E174" t="s">
        <v>17</v>
      </c>
      <c r="F174" s="4" t="s">
        <v>22</v>
      </c>
      <c r="G174" s="4" t="s">
        <v>15</v>
      </c>
      <c r="H174" s="4">
        <v>6</v>
      </c>
      <c r="I174" s="4">
        <v>3</v>
      </c>
      <c r="J174" s="1">
        <v>45381</v>
      </c>
      <c r="K174" s="2">
        <v>2.5468749999999998E-2</v>
      </c>
      <c r="M174" s="4" t="str">
        <f t="shared" si="6"/>
        <v>HIGH</v>
      </c>
      <c r="N174" s="4" t="str" cm="1">
        <f t="array" ref="N174">_xlfn.IFS(C174&gt;35,"HIGH",C174&gt;25,"MIDDLE",TRUE,"LOW")</f>
        <v>HIGH</v>
      </c>
      <c r="O174" s="4" t="str">
        <f t="shared" si="7"/>
        <v>OTHERS</v>
      </c>
      <c r="P174" s="4" t="str">
        <f t="shared" si="8"/>
        <v>PREMINUM MORNING</v>
      </c>
    </row>
    <row r="175" spans="1:16" x14ac:dyDescent="0.3">
      <c r="A175" s="4">
        <v>16</v>
      </c>
      <c r="B175" t="s">
        <v>11</v>
      </c>
      <c r="C175" s="4">
        <v>33.799999999999997</v>
      </c>
      <c r="D175" t="s">
        <v>19</v>
      </c>
      <c r="E175" t="s">
        <v>17</v>
      </c>
      <c r="F175" s="4" t="s">
        <v>22</v>
      </c>
      <c r="G175" s="4" t="s">
        <v>15</v>
      </c>
      <c r="H175" s="4">
        <v>6</v>
      </c>
      <c r="I175" s="4">
        <v>3</v>
      </c>
      <c r="J175" s="1">
        <v>45381</v>
      </c>
      <c r="K175" s="2">
        <v>2.6361111111111109E-2</v>
      </c>
      <c r="M175" s="4" t="str">
        <f t="shared" si="6"/>
        <v>LOW</v>
      </c>
      <c r="N175" s="4" t="str" cm="1">
        <f t="array" ref="N175">_xlfn.IFS(C175&gt;35,"HIGH",C175&gt;25,"MIDDLE",TRUE,"LOW")</f>
        <v>MIDDLE</v>
      </c>
      <c r="O175" s="4" t="str">
        <f t="shared" si="7"/>
        <v>OTHERS</v>
      </c>
      <c r="P175" s="4" t="str">
        <f t="shared" si="8"/>
        <v>OTHERS</v>
      </c>
    </row>
    <row r="176" spans="1:16" x14ac:dyDescent="0.3">
      <c r="A176" s="4">
        <v>10</v>
      </c>
      <c r="B176" t="s">
        <v>11</v>
      </c>
      <c r="C176" s="4">
        <v>38.700000000000003</v>
      </c>
      <c r="D176" t="s">
        <v>29</v>
      </c>
      <c r="E176" t="s">
        <v>13</v>
      </c>
      <c r="F176" s="4" t="s">
        <v>23</v>
      </c>
      <c r="G176" s="4" t="s">
        <v>15</v>
      </c>
      <c r="H176" s="4">
        <v>7</v>
      </c>
      <c r="I176" s="4">
        <v>3</v>
      </c>
      <c r="J176" s="1">
        <v>45382</v>
      </c>
      <c r="K176" s="2">
        <v>2.7829861111111111E-2</v>
      </c>
      <c r="M176" s="4" t="str">
        <f t="shared" si="6"/>
        <v>HIGH</v>
      </c>
      <c r="N176" s="4" t="str" cm="1">
        <f t="array" ref="N176">_xlfn.IFS(C176&gt;35,"HIGH",C176&gt;25,"MIDDLE",TRUE,"LOW")</f>
        <v>HIGH</v>
      </c>
      <c r="O176" s="4" t="str">
        <f t="shared" si="7"/>
        <v>PREMINUM MORNING</v>
      </c>
      <c r="P176" s="4" t="str">
        <f t="shared" si="8"/>
        <v>PREMINUM MORNING</v>
      </c>
    </row>
    <row r="177" spans="1:16" x14ac:dyDescent="0.3">
      <c r="A177" s="4">
        <v>10</v>
      </c>
      <c r="B177" t="s">
        <v>11</v>
      </c>
      <c r="C177" s="4">
        <v>28.9</v>
      </c>
      <c r="D177" t="s">
        <v>18</v>
      </c>
      <c r="E177" t="s">
        <v>13</v>
      </c>
      <c r="F177" s="4" t="s">
        <v>25</v>
      </c>
      <c r="G177" s="4" t="s">
        <v>31</v>
      </c>
      <c r="H177" s="4">
        <v>1</v>
      </c>
      <c r="I177" s="4">
        <v>4</v>
      </c>
      <c r="J177" s="1">
        <v>45383</v>
      </c>
      <c r="K177" s="2">
        <v>1.9995370370370368E-2</v>
      </c>
      <c r="M177" s="4" t="str">
        <f t="shared" si="6"/>
        <v>LOW</v>
      </c>
      <c r="N177" s="4" t="str" cm="1">
        <f t="array" ref="N177">_xlfn.IFS(C177&gt;35,"HIGH",C177&gt;25,"MIDDLE",TRUE,"LOW")</f>
        <v>MIDDLE</v>
      </c>
      <c r="O177" s="4" t="str">
        <f t="shared" si="7"/>
        <v>OTHERS</v>
      </c>
      <c r="P177" s="4" t="str">
        <f t="shared" si="8"/>
        <v>PREMINUM MORNING</v>
      </c>
    </row>
    <row r="178" spans="1:16" x14ac:dyDescent="0.3">
      <c r="A178" s="4">
        <v>10</v>
      </c>
      <c r="B178" t="s">
        <v>11</v>
      </c>
      <c r="C178" s="4">
        <v>33.799999999999997</v>
      </c>
      <c r="D178" t="s">
        <v>19</v>
      </c>
      <c r="E178" t="s">
        <v>13</v>
      </c>
      <c r="F178" s="4" t="s">
        <v>25</v>
      </c>
      <c r="G178" s="4" t="s">
        <v>31</v>
      </c>
      <c r="H178" s="4">
        <v>1</v>
      </c>
      <c r="I178" s="4">
        <v>4</v>
      </c>
      <c r="J178" s="1">
        <v>45383</v>
      </c>
      <c r="K178" s="2">
        <v>2.0628472222222222E-2</v>
      </c>
      <c r="M178" s="4" t="str">
        <f t="shared" si="6"/>
        <v>LOW</v>
      </c>
      <c r="N178" s="4" t="str" cm="1">
        <f t="array" ref="N178">_xlfn.IFS(C178&gt;35,"HIGH",C178&gt;25,"MIDDLE",TRUE,"LOW")</f>
        <v>MIDDLE</v>
      </c>
      <c r="O178" s="4" t="str">
        <f t="shared" si="7"/>
        <v>OTHERS</v>
      </c>
      <c r="P178" s="4" t="str">
        <f t="shared" si="8"/>
        <v>PREMINUM MORNING</v>
      </c>
    </row>
    <row r="179" spans="1:16" x14ac:dyDescent="0.3">
      <c r="A179" s="4">
        <v>10</v>
      </c>
      <c r="B179" t="s">
        <v>11</v>
      </c>
      <c r="C179" s="4">
        <v>33.799999999999997</v>
      </c>
      <c r="D179" t="s">
        <v>19</v>
      </c>
      <c r="E179" t="s">
        <v>13</v>
      </c>
      <c r="F179" s="4" t="s">
        <v>25</v>
      </c>
      <c r="G179" s="4" t="s">
        <v>31</v>
      </c>
      <c r="H179" s="4">
        <v>1</v>
      </c>
      <c r="I179" s="4">
        <v>4</v>
      </c>
      <c r="J179" s="1">
        <v>45383</v>
      </c>
      <c r="K179" s="2">
        <v>2.1339120370370369E-2</v>
      </c>
      <c r="M179" s="4" t="str">
        <f t="shared" si="6"/>
        <v>LOW</v>
      </c>
      <c r="N179" s="4" t="str" cm="1">
        <f t="array" ref="N179">_xlfn.IFS(C179&gt;35,"HIGH",C179&gt;25,"MIDDLE",TRUE,"LOW")</f>
        <v>MIDDLE</v>
      </c>
      <c r="O179" s="4" t="str">
        <f t="shared" si="7"/>
        <v>OTHERS</v>
      </c>
      <c r="P179" s="4" t="str">
        <f t="shared" si="8"/>
        <v>PREMINUM MORNING</v>
      </c>
    </row>
    <row r="180" spans="1:16" x14ac:dyDescent="0.3">
      <c r="A180" s="4">
        <v>11</v>
      </c>
      <c r="B180" t="s">
        <v>11</v>
      </c>
      <c r="C180" s="4">
        <v>33.799999999999997</v>
      </c>
      <c r="D180" t="s">
        <v>19</v>
      </c>
      <c r="E180" t="s">
        <v>13</v>
      </c>
      <c r="F180" s="4" t="s">
        <v>25</v>
      </c>
      <c r="G180" s="4" t="s">
        <v>31</v>
      </c>
      <c r="H180" s="4">
        <v>1</v>
      </c>
      <c r="I180" s="4">
        <v>4</v>
      </c>
      <c r="J180" s="1">
        <v>45383</v>
      </c>
      <c r="K180" s="2">
        <v>1.0923611111111111E-2</v>
      </c>
      <c r="M180" s="4" t="str">
        <f t="shared" si="6"/>
        <v>LOW</v>
      </c>
      <c r="N180" s="4" t="str" cm="1">
        <f t="array" ref="N180">_xlfn.IFS(C180&gt;35,"HIGH",C180&gt;25,"MIDDLE",TRUE,"LOW")</f>
        <v>MIDDLE</v>
      </c>
      <c r="O180" s="4" t="str">
        <f t="shared" si="7"/>
        <v>OTHERS</v>
      </c>
      <c r="P180" s="4" t="str">
        <f t="shared" si="8"/>
        <v>PREMINUM MORNING</v>
      </c>
    </row>
    <row r="181" spans="1:16" x14ac:dyDescent="0.3">
      <c r="A181" s="4">
        <v>18</v>
      </c>
      <c r="B181" t="s">
        <v>11</v>
      </c>
      <c r="C181" s="4">
        <v>33.799999999999997</v>
      </c>
      <c r="D181" t="s">
        <v>19</v>
      </c>
      <c r="E181" t="s">
        <v>20</v>
      </c>
      <c r="F181" s="4" t="s">
        <v>25</v>
      </c>
      <c r="G181" s="4" t="s">
        <v>31</v>
      </c>
      <c r="H181" s="4">
        <v>1</v>
      </c>
      <c r="I181" s="4">
        <v>4</v>
      </c>
      <c r="J181" s="1">
        <v>45383</v>
      </c>
      <c r="K181" s="2">
        <v>1.2990740740740742E-2</v>
      </c>
      <c r="M181" s="4" t="str">
        <f t="shared" si="6"/>
        <v>LOW</v>
      </c>
      <c r="N181" s="4" t="str" cm="1">
        <f t="array" ref="N181">_xlfn.IFS(C181&gt;35,"HIGH",C181&gt;25,"MIDDLE",TRUE,"LOW")</f>
        <v>MIDDLE</v>
      </c>
      <c r="O181" s="4" t="str">
        <f t="shared" si="7"/>
        <v>OTHERS</v>
      </c>
      <c r="P181" s="4" t="str">
        <f t="shared" si="8"/>
        <v>OTHERS</v>
      </c>
    </row>
    <row r="182" spans="1:16" x14ac:dyDescent="0.3">
      <c r="A182" s="4">
        <v>18</v>
      </c>
      <c r="B182" t="s">
        <v>11</v>
      </c>
      <c r="C182" s="4">
        <v>38.700000000000003</v>
      </c>
      <c r="D182" t="s">
        <v>16</v>
      </c>
      <c r="E182" t="s">
        <v>20</v>
      </c>
      <c r="F182" s="4" t="s">
        <v>25</v>
      </c>
      <c r="G182" s="4" t="s">
        <v>31</v>
      </c>
      <c r="H182" s="4">
        <v>1</v>
      </c>
      <c r="I182" s="4">
        <v>4</v>
      </c>
      <c r="J182" s="1">
        <v>45383</v>
      </c>
      <c r="K182" s="2">
        <v>3.1567129629629632E-2</v>
      </c>
      <c r="M182" s="4" t="str">
        <f t="shared" si="6"/>
        <v>HIGH</v>
      </c>
      <c r="N182" s="4" t="str" cm="1">
        <f t="array" ref="N182">_xlfn.IFS(C182&gt;35,"HIGH",C182&gt;25,"MIDDLE",TRUE,"LOW")</f>
        <v>HIGH</v>
      </c>
      <c r="O182" s="4" t="str">
        <f t="shared" si="7"/>
        <v>OTHERS</v>
      </c>
      <c r="P182" s="4" t="str">
        <f t="shared" si="8"/>
        <v>PREMINUM MORNING</v>
      </c>
    </row>
    <row r="183" spans="1:16" x14ac:dyDescent="0.3">
      <c r="A183" s="4">
        <v>10</v>
      </c>
      <c r="B183" t="s">
        <v>11</v>
      </c>
      <c r="C183" s="4">
        <v>38.700000000000003</v>
      </c>
      <c r="D183" t="s">
        <v>12</v>
      </c>
      <c r="E183" t="s">
        <v>13</v>
      </c>
      <c r="F183" s="4" t="s">
        <v>27</v>
      </c>
      <c r="G183" s="4" t="s">
        <v>31</v>
      </c>
      <c r="H183" s="4">
        <v>2</v>
      </c>
      <c r="I183" s="4">
        <v>4</v>
      </c>
      <c r="J183" s="1">
        <v>45384</v>
      </c>
      <c r="K183" s="2">
        <v>8.564814814814815E-4</v>
      </c>
      <c r="M183" s="4" t="str">
        <f t="shared" si="6"/>
        <v>HIGH</v>
      </c>
      <c r="N183" s="4" t="str" cm="1">
        <f t="array" ref="N183">_xlfn.IFS(C183&gt;35,"HIGH",C183&gt;25,"MIDDLE",TRUE,"LOW")</f>
        <v>HIGH</v>
      </c>
      <c r="O183" s="4" t="str">
        <f t="shared" si="7"/>
        <v>PREMINUM MORNING</v>
      </c>
      <c r="P183" s="4" t="str">
        <f t="shared" si="8"/>
        <v>PREMINUM MORNING</v>
      </c>
    </row>
    <row r="184" spans="1:16" x14ac:dyDescent="0.3">
      <c r="A184" s="4">
        <v>16</v>
      </c>
      <c r="B184" t="s">
        <v>11</v>
      </c>
      <c r="C184" s="4">
        <v>28.9</v>
      </c>
      <c r="D184" t="s">
        <v>18</v>
      </c>
      <c r="E184" t="s">
        <v>17</v>
      </c>
      <c r="F184" s="4" t="s">
        <v>27</v>
      </c>
      <c r="G184" s="4" t="s">
        <v>31</v>
      </c>
      <c r="H184" s="4">
        <v>2</v>
      </c>
      <c r="I184" s="4">
        <v>4</v>
      </c>
      <c r="J184" s="1">
        <v>45384</v>
      </c>
      <c r="K184" s="2">
        <v>1.2895833333333334E-2</v>
      </c>
      <c r="M184" s="4" t="str">
        <f t="shared" si="6"/>
        <v>LOW</v>
      </c>
      <c r="N184" s="4" t="str" cm="1">
        <f t="array" ref="N184">_xlfn.IFS(C184&gt;35,"HIGH",C184&gt;25,"MIDDLE",TRUE,"LOW")</f>
        <v>MIDDLE</v>
      </c>
      <c r="O184" s="4" t="str">
        <f t="shared" si="7"/>
        <v>OTHERS</v>
      </c>
      <c r="P184" s="4" t="str">
        <f t="shared" si="8"/>
        <v>OTHERS</v>
      </c>
    </row>
    <row r="185" spans="1:16" x14ac:dyDescent="0.3">
      <c r="A185" s="4">
        <v>16</v>
      </c>
      <c r="B185" t="s">
        <v>11</v>
      </c>
      <c r="C185" s="4">
        <v>28.9</v>
      </c>
      <c r="D185" t="s">
        <v>24</v>
      </c>
      <c r="E185" t="s">
        <v>17</v>
      </c>
      <c r="F185" s="4" t="s">
        <v>27</v>
      </c>
      <c r="G185" s="4" t="s">
        <v>31</v>
      </c>
      <c r="H185" s="4">
        <v>2</v>
      </c>
      <c r="I185" s="4">
        <v>4</v>
      </c>
      <c r="J185" s="1">
        <v>45384</v>
      </c>
      <c r="K185" s="2">
        <v>1.3524305555555555E-2</v>
      </c>
      <c r="M185" s="4" t="str">
        <f t="shared" si="6"/>
        <v>LOW</v>
      </c>
      <c r="N185" s="4" t="str" cm="1">
        <f t="array" ref="N185">_xlfn.IFS(C185&gt;35,"HIGH",C185&gt;25,"MIDDLE",TRUE,"LOW")</f>
        <v>MIDDLE</v>
      </c>
      <c r="O185" s="4" t="str">
        <f t="shared" si="7"/>
        <v>OTHERS</v>
      </c>
      <c r="P185" s="4" t="str">
        <f t="shared" si="8"/>
        <v>OTHERS</v>
      </c>
    </row>
    <row r="186" spans="1:16" x14ac:dyDescent="0.3">
      <c r="A186" s="4">
        <v>10</v>
      </c>
      <c r="B186" t="s">
        <v>11</v>
      </c>
      <c r="C186" s="4">
        <v>28.9</v>
      </c>
      <c r="D186" t="s">
        <v>24</v>
      </c>
      <c r="E186" t="s">
        <v>13</v>
      </c>
      <c r="F186" s="4" t="s">
        <v>28</v>
      </c>
      <c r="G186" s="4" t="s">
        <v>31</v>
      </c>
      <c r="H186" s="4">
        <v>3</v>
      </c>
      <c r="I186" s="4">
        <v>4</v>
      </c>
      <c r="J186" s="1">
        <v>45385</v>
      </c>
      <c r="K186" s="2">
        <v>1.3351851851851851E-2</v>
      </c>
      <c r="M186" s="4" t="str">
        <f t="shared" si="6"/>
        <v>LOW</v>
      </c>
      <c r="N186" s="4" t="str" cm="1">
        <f t="array" ref="N186">_xlfn.IFS(C186&gt;35,"HIGH",C186&gt;25,"MIDDLE",TRUE,"LOW")</f>
        <v>MIDDLE</v>
      </c>
      <c r="O186" s="4" t="str">
        <f t="shared" si="7"/>
        <v>OTHERS</v>
      </c>
      <c r="P186" s="4" t="str">
        <f t="shared" si="8"/>
        <v>PREMINUM MORNING</v>
      </c>
    </row>
    <row r="187" spans="1:16" x14ac:dyDescent="0.3">
      <c r="A187" s="4">
        <v>10</v>
      </c>
      <c r="B187" t="s">
        <v>11</v>
      </c>
      <c r="C187" s="4">
        <v>28.9</v>
      </c>
      <c r="D187" t="s">
        <v>18</v>
      </c>
      <c r="E187" t="s">
        <v>13</v>
      </c>
      <c r="F187" s="4" t="s">
        <v>28</v>
      </c>
      <c r="G187" s="4" t="s">
        <v>31</v>
      </c>
      <c r="H187" s="4">
        <v>3</v>
      </c>
      <c r="I187" s="4">
        <v>4</v>
      </c>
      <c r="J187" s="1">
        <v>45385</v>
      </c>
      <c r="K187" s="2">
        <v>1.3978009259259259E-2</v>
      </c>
      <c r="M187" s="4" t="str">
        <f t="shared" si="6"/>
        <v>LOW</v>
      </c>
      <c r="N187" s="4" t="str" cm="1">
        <f t="array" ref="N187">_xlfn.IFS(C187&gt;35,"HIGH",C187&gt;25,"MIDDLE",TRUE,"LOW")</f>
        <v>MIDDLE</v>
      </c>
      <c r="O187" s="4" t="str">
        <f t="shared" si="7"/>
        <v>OTHERS</v>
      </c>
      <c r="P187" s="4" t="str">
        <f t="shared" si="8"/>
        <v>PREMINUM MORNING</v>
      </c>
    </row>
    <row r="188" spans="1:16" x14ac:dyDescent="0.3">
      <c r="A188" s="4">
        <v>13</v>
      </c>
      <c r="B188" t="s">
        <v>11</v>
      </c>
      <c r="C188" s="4">
        <v>38.700000000000003</v>
      </c>
      <c r="D188" t="s">
        <v>29</v>
      </c>
      <c r="E188" t="s">
        <v>17</v>
      </c>
      <c r="F188" s="4" t="s">
        <v>28</v>
      </c>
      <c r="G188" s="4" t="s">
        <v>31</v>
      </c>
      <c r="H188" s="4">
        <v>3</v>
      </c>
      <c r="I188" s="4">
        <v>4</v>
      </c>
      <c r="J188" s="1">
        <v>45385</v>
      </c>
      <c r="K188" s="2">
        <v>8.3958333333333333E-3</v>
      </c>
      <c r="M188" s="4" t="str">
        <f t="shared" si="6"/>
        <v>HIGH</v>
      </c>
      <c r="N188" s="4" t="str" cm="1">
        <f t="array" ref="N188">_xlfn.IFS(C188&gt;35,"HIGH",C188&gt;25,"MIDDLE",TRUE,"LOW")</f>
        <v>HIGH</v>
      </c>
      <c r="O188" s="4" t="str">
        <f t="shared" si="7"/>
        <v>OTHERS</v>
      </c>
      <c r="P188" s="4" t="str">
        <f t="shared" si="8"/>
        <v>PREMINUM MORNING</v>
      </c>
    </row>
    <row r="189" spans="1:16" x14ac:dyDescent="0.3">
      <c r="A189" s="4">
        <v>10</v>
      </c>
      <c r="B189" t="s">
        <v>11</v>
      </c>
      <c r="C189" s="4">
        <v>38.700000000000003</v>
      </c>
      <c r="D189" t="s">
        <v>12</v>
      </c>
      <c r="E189" t="s">
        <v>13</v>
      </c>
      <c r="F189" s="4" t="s">
        <v>30</v>
      </c>
      <c r="G189" s="4" t="s">
        <v>31</v>
      </c>
      <c r="H189" s="4">
        <v>4</v>
      </c>
      <c r="I189" s="4">
        <v>4</v>
      </c>
      <c r="J189" s="1">
        <v>45386</v>
      </c>
      <c r="K189" s="2">
        <v>3.1203703703703702E-2</v>
      </c>
      <c r="M189" s="4" t="str">
        <f t="shared" si="6"/>
        <v>HIGH</v>
      </c>
      <c r="N189" s="4" t="str" cm="1">
        <f t="array" ref="N189">_xlfn.IFS(C189&gt;35,"HIGH",C189&gt;25,"MIDDLE",TRUE,"LOW")</f>
        <v>HIGH</v>
      </c>
      <c r="O189" s="4" t="str">
        <f t="shared" si="7"/>
        <v>PREMINUM MORNING</v>
      </c>
      <c r="P189" s="4" t="str">
        <f t="shared" si="8"/>
        <v>PREMINUM MORNING</v>
      </c>
    </row>
    <row r="190" spans="1:16" x14ac:dyDescent="0.3">
      <c r="A190" s="4">
        <v>11</v>
      </c>
      <c r="B190" t="s">
        <v>11</v>
      </c>
      <c r="C190" s="4">
        <v>38.700000000000003</v>
      </c>
      <c r="D190" t="s">
        <v>12</v>
      </c>
      <c r="E190" t="s">
        <v>13</v>
      </c>
      <c r="F190" s="4" t="s">
        <v>30</v>
      </c>
      <c r="G190" s="4" t="s">
        <v>31</v>
      </c>
      <c r="H190" s="4">
        <v>4</v>
      </c>
      <c r="I190" s="4">
        <v>4</v>
      </c>
      <c r="J190" s="1">
        <v>45386</v>
      </c>
      <c r="K190" s="2">
        <v>1.8496527777777778E-2</v>
      </c>
      <c r="M190" s="4" t="str">
        <f t="shared" si="6"/>
        <v>HIGH</v>
      </c>
      <c r="N190" s="4" t="str" cm="1">
        <f t="array" ref="N190">_xlfn.IFS(C190&gt;35,"HIGH",C190&gt;25,"MIDDLE",TRUE,"LOW")</f>
        <v>HIGH</v>
      </c>
      <c r="O190" s="4" t="str">
        <f t="shared" si="7"/>
        <v>PREMINUM MORNING</v>
      </c>
      <c r="P190" s="4" t="str">
        <f t="shared" si="8"/>
        <v>PREMINUM MORNING</v>
      </c>
    </row>
    <row r="191" spans="1:16" x14ac:dyDescent="0.3">
      <c r="A191" s="4">
        <v>11</v>
      </c>
      <c r="B191" t="s">
        <v>11</v>
      </c>
      <c r="C191" s="4">
        <v>38.700000000000003</v>
      </c>
      <c r="D191" t="s">
        <v>29</v>
      </c>
      <c r="E191" t="s">
        <v>13</v>
      </c>
      <c r="F191" s="4" t="s">
        <v>30</v>
      </c>
      <c r="G191" s="4" t="s">
        <v>31</v>
      </c>
      <c r="H191" s="4">
        <v>4</v>
      </c>
      <c r="I191" s="4">
        <v>4</v>
      </c>
      <c r="J191" s="1">
        <v>45386</v>
      </c>
      <c r="K191" s="2">
        <v>1.9310185185185187E-2</v>
      </c>
      <c r="M191" s="4" t="str">
        <f t="shared" si="6"/>
        <v>HIGH</v>
      </c>
      <c r="N191" s="4" t="str" cm="1">
        <f t="array" ref="N191">_xlfn.IFS(C191&gt;35,"HIGH",C191&gt;25,"MIDDLE",TRUE,"LOW")</f>
        <v>HIGH</v>
      </c>
      <c r="O191" s="4" t="str">
        <f t="shared" si="7"/>
        <v>PREMINUM MORNING</v>
      </c>
      <c r="P191" s="4" t="str">
        <f t="shared" si="8"/>
        <v>PREMINUM MORNING</v>
      </c>
    </row>
    <row r="192" spans="1:16" x14ac:dyDescent="0.3">
      <c r="A192" s="4">
        <v>12</v>
      </c>
      <c r="B192" t="s">
        <v>11</v>
      </c>
      <c r="C192" s="4">
        <v>28.9</v>
      </c>
      <c r="D192" t="s">
        <v>24</v>
      </c>
      <c r="E192" t="s">
        <v>17</v>
      </c>
      <c r="F192" s="4" t="s">
        <v>30</v>
      </c>
      <c r="G192" s="4" t="s">
        <v>31</v>
      </c>
      <c r="H192" s="4">
        <v>4</v>
      </c>
      <c r="I192" s="4">
        <v>4</v>
      </c>
      <c r="J192" s="1">
        <v>45386</v>
      </c>
      <c r="K192" s="2">
        <v>1.5997685185185184E-2</v>
      </c>
      <c r="M192" s="4" t="str">
        <f t="shared" si="6"/>
        <v>LOW</v>
      </c>
      <c r="N192" s="4" t="str" cm="1">
        <f t="array" ref="N192">_xlfn.IFS(C192&gt;35,"HIGH",C192&gt;25,"MIDDLE",TRUE,"LOW")</f>
        <v>MIDDLE</v>
      </c>
      <c r="O192" s="4" t="str">
        <f t="shared" si="7"/>
        <v>OTHERS</v>
      </c>
      <c r="P192" s="4" t="str">
        <f t="shared" si="8"/>
        <v>OTHERS</v>
      </c>
    </row>
    <row r="193" spans="1:16" x14ac:dyDescent="0.3">
      <c r="A193" s="4">
        <v>10</v>
      </c>
      <c r="B193" t="s">
        <v>11</v>
      </c>
      <c r="C193" s="4">
        <v>28.9</v>
      </c>
      <c r="D193" t="s">
        <v>18</v>
      </c>
      <c r="E193" t="s">
        <v>13</v>
      </c>
      <c r="F193" s="4" t="s">
        <v>14</v>
      </c>
      <c r="G193" s="4" t="s">
        <v>31</v>
      </c>
      <c r="H193" s="4">
        <v>5</v>
      </c>
      <c r="I193" s="4">
        <v>4</v>
      </c>
      <c r="J193" s="1">
        <v>45387</v>
      </c>
      <c r="K193" s="2">
        <v>2.827199074074074E-2</v>
      </c>
      <c r="M193" s="4" t="str">
        <f t="shared" si="6"/>
        <v>LOW</v>
      </c>
      <c r="N193" s="4" t="str" cm="1">
        <f t="array" ref="N193">_xlfn.IFS(C193&gt;35,"HIGH",C193&gt;25,"MIDDLE",TRUE,"LOW")</f>
        <v>MIDDLE</v>
      </c>
      <c r="O193" s="4" t="str">
        <f t="shared" si="7"/>
        <v>OTHERS</v>
      </c>
      <c r="P193" s="4" t="str">
        <f t="shared" si="8"/>
        <v>PREMINUM MORNING</v>
      </c>
    </row>
    <row r="194" spans="1:16" x14ac:dyDescent="0.3">
      <c r="A194" s="4">
        <v>10</v>
      </c>
      <c r="B194" t="s">
        <v>11</v>
      </c>
      <c r="C194" s="4">
        <v>28.9</v>
      </c>
      <c r="D194" t="s">
        <v>18</v>
      </c>
      <c r="E194" t="s">
        <v>13</v>
      </c>
      <c r="F194" s="4" t="s">
        <v>14</v>
      </c>
      <c r="G194" s="4" t="s">
        <v>31</v>
      </c>
      <c r="H194" s="4">
        <v>5</v>
      </c>
      <c r="I194" s="4">
        <v>4</v>
      </c>
      <c r="J194" s="1">
        <v>45387</v>
      </c>
      <c r="K194" s="2">
        <v>2.9238425925925925E-2</v>
      </c>
      <c r="M194" s="4" t="str">
        <f t="shared" si="6"/>
        <v>LOW</v>
      </c>
      <c r="N194" s="4" t="str" cm="1">
        <f t="array" ref="N194">_xlfn.IFS(C194&gt;35,"HIGH",C194&gt;25,"MIDDLE",TRUE,"LOW")</f>
        <v>MIDDLE</v>
      </c>
      <c r="O194" s="4" t="str">
        <f t="shared" si="7"/>
        <v>OTHERS</v>
      </c>
      <c r="P194" s="4" t="str">
        <f t="shared" si="8"/>
        <v>PREMINUM MORNING</v>
      </c>
    </row>
    <row r="195" spans="1:16" x14ac:dyDescent="0.3">
      <c r="A195" s="4">
        <v>11</v>
      </c>
      <c r="B195" t="s">
        <v>11</v>
      </c>
      <c r="C195" s="4">
        <v>28.9</v>
      </c>
      <c r="D195" t="s">
        <v>24</v>
      </c>
      <c r="E195" t="s">
        <v>13</v>
      </c>
      <c r="F195" s="4" t="s">
        <v>14</v>
      </c>
      <c r="G195" s="4" t="s">
        <v>31</v>
      </c>
      <c r="H195" s="4">
        <v>5</v>
      </c>
      <c r="I195" s="4">
        <v>4</v>
      </c>
      <c r="J195" s="1">
        <v>45387</v>
      </c>
      <c r="K195" s="2">
        <v>4.3356481481481484E-3</v>
      </c>
      <c r="M195" s="4" t="str">
        <f t="shared" ref="M195:M258" si="9">IF(C195&gt;35,"HIGH","LOW")</f>
        <v>LOW</v>
      </c>
      <c r="N195" s="4" t="str" cm="1">
        <f t="array" ref="N195">_xlfn.IFS(C195&gt;35,"HIGH",C195&gt;25,"MIDDLE",TRUE,"LOW")</f>
        <v>MIDDLE</v>
      </c>
      <c r="O195" s="4" t="str">
        <f t="shared" ref="O195:O258" si="10">IF(AND(C195&gt;35,E195="MORNING"),"PREMINUM MORNING","OTHERS")</f>
        <v>OTHERS</v>
      </c>
      <c r="P195" s="4" t="str">
        <f t="shared" ref="P195:P258" si="11">IF(OR(C195&gt;35,E195="MORNING"),"PREMINUM MORNING","OTHERS")</f>
        <v>PREMINUM MORNING</v>
      </c>
    </row>
    <row r="196" spans="1:16" x14ac:dyDescent="0.3">
      <c r="A196" s="4">
        <v>12</v>
      </c>
      <c r="B196" t="s">
        <v>11</v>
      </c>
      <c r="C196" s="4">
        <v>33.799999999999997</v>
      </c>
      <c r="D196" t="s">
        <v>19</v>
      </c>
      <c r="E196" t="s">
        <v>17</v>
      </c>
      <c r="F196" s="4" t="s">
        <v>14</v>
      </c>
      <c r="G196" s="4" t="s">
        <v>31</v>
      </c>
      <c r="H196" s="4">
        <v>5</v>
      </c>
      <c r="I196" s="4">
        <v>4</v>
      </c>
      <c r="J196" s="1">
        <v>45387</v>
      </c>
      <c r="K196" s="2">
        <v>1.0046296296296296E-2</v>
      </c>
      <c r="M196" s="4" t="str">
        <f t="shared" si="9"/>
        <v>LOW</v>
      </c>
      <c r="N196" s="4" t="str" cm="1">
        <f t="array" ref="N196">_xlfn.IFS(C196&gt;35,"HIGH",C196&gt;25,"MIDDLE",TRUE,"LOW")</f>
        <v>MIDDLE</v>
      </c>
      <c r="O196" s="4" t="str">
        <f t="shared" si="10"/>
        <v>OTHERS</v>
      </c>
      <c r="P196" s="4" t="str">
        <f t="shared" si="11"/>
        <v>OTHERS</v>
      </c>
    </row>
    <row r="197" spans="1:16" x14ac:dyDescent="0.3">
      <c r="A197" s="4">
        <v>14</v>
      </c>
      <c r="B197" t="s">
        <v>11</v>
      </c>
      <c r="C197" s="4">
        <v>38.700000000000003</v>
      </c>
      <c r="D197" t="s">
        <v>12</v>
      </c>
      <c r="E197" t="s">
        <v>17</v>
      </c>
      <c r="F197" s="4" t="s">
        <v>14</v>
      </c>
      <c r="G197" s="4" t="s">
        <v>31</v>
      </c>
      <c r="H197" s="4">
        <v>5</v>
      </c>
      <c r="I197" s="4">
        <v>4</v>
      </c>
      <c r="J197" s="1">
        <v>45387</v>
      </c>
      <c r="K197" s="2">
        <v>1.6439814814814817E-2</v>
      </c>
      <c r="M197" s="4" t="str">
        <f t="shared" si="9"/>
        <v>HIGH</v>
      </c>
      <c r="N197" s="4" t="str" cm="1">
        <f t="array" ref="N197">_xlfn.IFS(C197&gt;35,"HIGH",C197&gt;25,"MIDDLE",TRUE,"LOW")</f>
        <v>HIGH</v>
      </c>
      <c r="O197" s="4" t="str">
        <f t="shared" si="10"/>
        <v>OTHERS</v>
      </c>
      <c r="P197" s="4" t="str">
        <f t="shared" si="11"/>
        <v>PREMINUM MORNING</v>
      </c>
    </row>
    <row r="198" spans="1:16" x14ac:dyDescent="0.3">
      <c r="A198" s="4">
        <v>14</v>
      </c>
      <c r="B198" t="s">
        <v>11</v>
      </c>
      <c r="C198" s="4">
        <v>28.9</v>
      </c>
      <c r="D198" t="s">
        <v>24</v>
      </c>
      <c r="E198" t="s">
        <v>17</v>
      </c>
      <c r="F198" s="4" t="s">
        <v>14</v>
      </c>
      <c r="G198" s="4" t="s">
        <v>31</v>
      </c>
      <c r="H198" s="4">
        <v>5</v>
      </c>
      <c r="I198" s="4">
        <v>4</v>
      </c>
      <c r="J198" s="1">
        <v>45387</v>
      </c>
      <c r="K198" s="2">
        <v>1.7250000000000001E-2</v>
      </c>
      <c r="M198" s="4" t="str">
        <f t="shared" si="9"/>
        <v>LOW</v>
      </c>
      <c r="N198" s="4" t="str" cm="1">
        <f t="array" ref="N198">_xlfn.IFS(C198&gt;35,"HIGH",C198&gt;25,"MIDDLE",TRUE,"LOW")</f>
        <v>MIDDLE</v>
      </c>
      <c r="O198" s="4" t="str">
        <f t="shared" si="10"/>
        <v>OTHERS</v>
      </c>
      <c r="P198" s="4" t="str">
        <f t="shared" si="11"/>
        <v>OTHERS</v>
      </c>
    </row>
    <row r="199" spans="1:16" x14ac:dyDescent="0.3">
      <c r="A199" s="4">
        <v>16</v>
      </c>
      <c r="B199" t="s">
        <v>11</v>
      </c>
      <c r="C199" s="4">
        <v>24</v>
      </c>
      <c r="D199" t="s">
        <v>26</v>
      </c>
      <c r="E199" t="s">
        <v>17</v>
      </c>
      <c r="F199" s="4" t="s">
        <v>14</v>
      </c>
      <c r="G199" s="4" t="s">
        <v>31</v>
      </c>
      <c r="H199" s="4">
        <v>5</v>
      </c>
      <c r="I199" s="4">
        <v>4</v>
      </c>
      <c r="J199" s="1">
        <v>45387</v>
      </c>
      <c r="K199" s="2">
        <v>1.2773148148148146E-2</v>
      </c>
      <c r="M199" s="4" t="str">
        <f t="shared" si="9"/>
        <v>LOW</v>
      </c>
      <c r="N199" s="4" t="str" cm="1">
        <f t="array" ref="N199">_xlfn.IFS(C199&gt;35,"HIGH",C199&gt;25,"MIDDLE",TRUE,"LOW")</f>
        <v>LOW</v>
      </c>
      <c r="O199" s="4" t="str">
        <f t="shared" si="10"/>
        <v>OTHERS</v>
      </c>
      <c r="P199" s="4" t="str">
        <f t="shared" si="11"/>
        <v>OTHERS</v>
      </c>
    </row>
    <row r="200" spans="1:16" x14ac:dyDescent="0.3">
      <c r="A200" s="4">
        <v>12</v>
      </c>
      <c r="B200" t="s">
        <v>11</v>
      </c>
      <c r="C200" s="4">
        <v>33.799999999999997</v>
      </c>
      <c r="D200" t="s">
        <v>19</v>
      </c>
      <c r="E200" t="s">
        <v>17</v>
      </c>
      <c r="F200" s="4" t="s">
        <v>22</v>
      </c>
      <c r="G200" s="4" t="s">
        <v>31</v>
      </c>
      <c r="H200" s="4">
        <v>6</v>
      </c>
      <c r="I200" s="4">
        <v>4</v>
      </c>
      <c r="J200" s="1">
        <v>45388</v>
      </c>
      <c r="K200" s="2">
        <v>2.258564814814815E-2</v>
      </c>
      <c r="M200" s="4" t="str">
        <f t="shared" si="9"/>
        <v>LOW</v>
      </c>
      <c r="N200" s="4" t="str" cm="1">
        <f t="array" ref="N200">_xlfn.IFS(C200&gt;35,"HIGH",C200&gt;25,"MIDDLE",TRUE,"LOW")</f>
        <v>MIDDLE</v>
      </c>
      <c r="O200" s="4" t="str">
        <f t="shared" si="10"/>
        <v>OTHERS</v>
      </c>
      <c r="P200" s="4" t="str">
        <f t="shared" si="11"/>
        <v>OTHERS</v>
      </c>
    </row>
    <row r="201" spans="1:16" x14ac:dyDescent="0.3">
      <c r="A201" s="4">
        <v>14</v>
      </c>
      <c r="B201" t="s">
        <v>11</v>
      </c>
      <c r="C201" s="4">
        <v>38.700000000000003</v>
      </c>
      <c r="D201" t="s">
        <v>29</v>
      </c>
      <c r="E201" t="s">
        <v>17</v>
      </c>
      <c r="F201" s="4" t="s">
        <v>22</v>
      </c>
      <c r="G201" s="4" t="s">
        <v>31</v>
      </c>
      <c r="H201" s="4">
        <v>6</v>
      </c>
      <c r="I201" s="4">
        <v>4</v>
      </c>
      <c r="J201" s="1">
        <v>45388</v>
      </c>
      <c r="K201" s="2">
        <v>9.2442129629629628E-3</v>
      </c>
      <c r="M201" s="4" t="str">
        <f t="shared" si="9"/>
        <v>HIGH</v>
      </c>
      <c r="N201" s="4" t="str" cm="1">
        <f t="array" ref="N201">_xlfn.IFS(C201&gt;35,"HIGH",C201&gt;25,"MIDDLE",TRUE,"LOW")</f>
        <v>HIGH</v>
      </c>
      <c r="O201" s="4" t="str">
        <f t="shared" si="10"/>
        <v>OTHERS</v>
      </c>
      <c r="P201" s="4" t="str">
        <f t="shared" si="11"/>
        <v>PREMINUM MORNING</v>
      </c>
    </row>
    <row r="202" spans="1:16" x14ac:dyDescent="0.3">
      <c r="A202" s="4">
        <v>14</v>
      </c>
      <c r="B202" t="s">
        <v>11</v>
      </c>
      <c r="C202" s="4">
        <v>28.9</v>
      </c>
      <c r="D202" t="s">
        <v>18</v>
      </c>
      <c r="E202" t="s">
        <v>17</v>
      </c>
      <c r="F202" s="4" t="s">
        <v>22</v>
      </c>
      <c r="G202" s="4" t="s">
        <v>31</v>
      </c>
      <c r="H202" s="4">
        <v>6</v>
      </c>
      <c r="I202" s="4">
        <v>4</v>
      </c>
      <c r="J202" s="1">
        <v>45388</v>
      </c>
      <c r="K202" s="2">
        <v>1.0034722222222223E-2</v>
      </c>
      <c r="M202" s="4" t="str">
        <f t="shared" si="9"/>
        <v>LOW</v>
      </c>
      <c r="N202" s="4" t="str" cm="1">
        <f t="array" ref="N202">_xlfn.IFS(C202&gt;35,"HIGH",C202&gt;25,"MIDDLE",TRUE,"LOW")</f>
        <v>MIDDLE</v>
      </c>
      <c r="O202" s="4" t="str">
        <f t="shared" si="10"/>
        <v>OTHERS</v>
      </c>
      <c r="P202" s="4" t="str">
        <f t="shared" si="11"/>
        <v>OTHERS</v>
      </c>
    </row>
    <row r="203" spans="1:16" x14ac:dyDescent="0.3">
      <c r="A203" s="4">
        <v>14</v>
      </c>
      <c r="B203" t="s">
        <v>11</v>
      </c>
      <c r="C203" s="4">
        <v>38.700000000000003</v>
      </c>
      <c r="D203" t="s">
        <v>12</v>
      </c>
      <c r="E203" t="s">
        <v>17</v>
      </c>
      <c r="F203" s="4" t="s">
        <v>22</v>
      </c>
      <c r="G203" s="4" t="s">
        <v>31</v>
      </c>
      <c r="H203" s="4">
        <v>6</v>
      </c>
      <c r="I203" s="4">
        <v>4</v>
      </c>
      <c r="J203" s="1">
        <v>45388</v>
      </c>
      <c r="K203" s="2">
        <v>3.4608796296296297E-2</v>
      </c>
      <c r="M203" s="4" t="str">
        <f t="shared" si="9"/>
        <v>HIGH</v>
      </c>
      <c r="N203" s="4" t="str" cm="1">
        <f t="array" ref="N203">_xlfn.IFS(C203&gt;35,"HIGH",C203&gt;25,"MIDDLE",TRUE,"LOW")</f>
        <v>HIGH</v>
      </c>
      <c r="O203" s="4" t="str">
        <f t="shared" si="10"/>
        <v>OTHERS</v>
      </c>
      <c r="P203" s="4" t="str">
        <f t="shared" si="11"/>
        <v>PREMINUM MORNING</v>
      </c>
    </row>
    <row r="204" spans="1:16" x14ac:dyDescent="0.3">
      <c r="A204" s="4">
        <v>10</v>
      </c>
      <c r="B204" t="s">
        <v>11</v>
      </c>
      <c r="C204" s="4">
        <v>38.700000000000003</v>
      </c>
      <c r="D204" t="s">
        <v>12</v>
      </c>
      <c r="E204" t="s">
        <v>13</v>
      </c>
      <c r="F204" s="4" t="s">
        <v>23</v>
      </c>
      <c r="G204" s="4" t="s">
        <v>31</v>
      </c>
      <c r="H204" s="4">
        <v>7</v>
      </c>
      <c r="I204" s="4">
        <v>4</v>
      </c>
      <c r="J204" s="1">
        <v>45389</v>
      </c>
      <c r="K204" s="2">
        <v>8.9490740740740746E-3</v>
      </c>
      <c r="M204" s="4" t="str">
        <f t="shared" si="9"/>
        <v>HIGH</v>
      </c>
      <c r="N204" s="4" t="str" cm="1">
        <f t="array" ref="N204">_xlfn.IFS(C204&gt;35,"HIGH",C204&gt;25,"MIDDLE",TRUE,"LOW")</f>
        <v>HIGH</v>
      </c>
      <c r="O204" s="4" t="str">
        <f t="shared" si="10"/>
        <v>PREMINUM MORNING</v>
      </c>
      <c r="P204" s="4" t="str">
        <f t="shared" si="11"/>
        <v>PREMINUM MORNING</v>
      </c>
    </row>
    <row r="205" spans="1:16" x14ac:dyDescent="0.3">
      <c r="A205" s="4">
        <v>12</v>
      </c>
      <c r="B205" t="s">
        <v>11</v>
      </c>
      <c r="C205" s="4">
        <v>38.700000000000003</v>
      </c>
      <c r="D205" t="s">
        <v>29</v>
      </c>
      <c r="E205" t="s">
        <v>17</v>
      </c>
      <c r="F205" s="4" t="s">
        <v>23</v>
      </c>
      <c r="G205" s="4" t="s">
        <v>31</v>
      </c>
      <c r="H205" s="4">
        <v>7</v>
      </c>
      <c r="I205" s="4">
        <v>4</v>
      </c>
      <c r="J205" s="1">
        <v>45389</v>
      </c>
      <c r="K205" s="2">
        <v>3.0924768518518518E-2</v>
      </c>
      <c r="M205" s="4" t="str">
        <f t="shared" si="9"/>
        <v>HIGH</v>
      </c>
      <c r="N205" s="4" t="str" cm="1">
        <f t="array" ref="N205">_xlfn.IFS(C205&gt;35,"HIGH",C205&gt;25,"MIDDLE",TRUE,"LOW")</f>
        <v>HIGH</v>
      </c>
      <c r="O205" s="4" t="str">
        <f t="shared" si="10"/>
        <v>OTHERS</v>
      </c>
      <c r="P205" s="4" t="str">
        <f t="shared" si="11"/>
        <v>PREMINUM MORNING</v>
      </c>
    </row>
    <row r="206" spans="1:16" x14ac:dyDescent="0.3">
      <c r="A206" s="4">
        <v>12</v>
      </c>
      <c r="B206" t="s">
        <v>11</v>
      </c>
      <c r="C206" s="4">
        <v>38.700000000000003</v>
      </c>
      <c r="D206" t="s">
        <v>29</v>
      </c>
      <c r="E206" t="s">
        <v>17</v>
      </c>
      <c r="F206" s="4" t="s">
        <v>23</v>
      </c>
      <c r="G206" s="4" t="s">
        <v>31</v>
      </c>
      <c r="H206" s="4">
        <v>7</v>
      </c>
      <c r="I206" s="4">
        <v>4</v>
      </c>
      <c r="J206" s="1">
        <v>45389</v>
      </c>
      <c r="K206" s="2">
        <v>3.2003472222222218E-2</v>
      </c>
      <c r="M206" s="4" t="str">
        <f t="shared" si="9"/>
        <v>HIGH</v>
      </c>
      <c r="N206" s="4" t="str" cm="1">
        <f t="array" ref="N206">_xlfn.IFS(C206&gt;35,"HIGH",C206&gt;25,"MIDDLE",TRUE,"LOW")</f>
        <v>HIGH</v>
      </c>
      <c r="O206" s="4" t="str">
        <f t="shared" si="10"/>
        <v>OTHERS</v>
      </c>
      <c r="P206" s="4" t="str">
        <f t="shared" si="11"/>
        <v>PREMINUM MORNING</v>
      </c>
    </row>
    <row r="207" spans="1:16" x14ac:dyDescent="0.3">
      <c r="A207" s="4">
        <v>14</v>
      </c>
      <c r="B207" t="s">
        <v>11</v>
      </c>
      <c r="C207" s="4">
        <v>28.9</v>
      </c>
      <c r="D207" t="s">
        <v>24</v>
      </c>
      <c r="E207" t="s">
        <v>17</v>
      </c>
      <c r="F207" s="4" t="s">
        <v>23</v>
      </c>
      <c r="G207" s="4" t="s">
        <v>31</v>
      </c>
      <c r="H207" s="4">
        <v>7</v>
      </c>
      <c r="I207" s="4">
        <v>4</v>
      </c>
      <c r="J207" s="1">
        <v>45389</v>
      </c>
      <c r="K207" s="2">
        <v>1.1399305555555555E-2</v>
      </c>
      <c r="M207" s="4" t="str">
        <f t="shared" si="9"/>
        <v>LOW</v>
      </c>
      <c r="N207" s="4" t="str" cm="1">
        <f t="array" ref="N207">_xlfn.IFS(C207&gt;35,"HIGH",C207&gt;25,"MIDDLE",TRUE,"LOW")</f>
        <v>MIDDLE</v>
      </c>
      <c r="O207" s="4" t="str">
        <f t="shared" si="10"/>
        <v>OTHERS</v>
      </c>
      <c r="P207" s="4" t="str">
        <f t="shared" si="11"/>
        <v>OTHERS</v>
      </c>
    </row>
    <row r="208" spans="1:16" x14ac:dyDescent="0.3">
      <c r="A208" s="4">
        <v>14</v>
      </c>
      <c r="B208" t="s">
        <v>11</v>
      </c>
      <c r="C208" s="4">
        <v>24</v>
      </c>
      <c r="D208" t="s">
        <v>26</v>
      </c>
      <c r="E208" t="s">
        <v>17</v>
      </c>
      <c r="F208" s="4" t="s">
        <v>23</v>
      </c>
      <c r="G208" s="4" t="s">
        <v>31</v>
      </c>
      <c r="H208" s="4">
        <v>7</v>
      </c>
      <c r="I208" s="4">
        <v>4</v>
      </c>
      <c r="J208" s="1">
        <v>45389</v>
      </c>
      <c r="K208" s="2">
        <v>1.2159722222222221E-2</v>
      </c>
      <c r="M208" s="4" t="str">
        <f t="shared" si="9"/>
        <v>LOW</v>
      </c>
      <c r="N208" s="4" t="str" cm="1">
        <f t="array" ref="N208">_xlfn.IFS(C208&gt;35,"HIGH",C208&gt;25,"MIDDLE",TRUE,"LOW")</f>
        <v>LOW</v>
      </c>
      <c r="O208" s="4" t="str">
        <f t="shared" si="10"/>
        <v>OTHERS</v>
      </c>
      <c r="P208" s="4" t="str">
        <f t="shared" si="11"/>
        <v>OTHERS</v>
      </c>
    </row>
    <row r="209" spans="1:16" x14ac:dyDescent="0.3">
      <c r="A209" s="4">
        <v>18</v>
      </c>
      <c r="B209" t="s">
        <v>11</v>
      </c>
      <c r="C209" s="4">
        <v>38.700000000000003</v>
      </c>
      <c r="D209" t="s">
        <v>16</v>
      </c>
      <c r="E209" t="s">
        <v>20</v>
      </c>
      <c r="F209" s="4" t="s">
        <v>23</v>
      </c>
      <c r="G209" s="4" t="s">
        <v>31</v>
      </c>
      <c r="H209" s="4">
        <v>7</v>
      </c>
      <c r="I209" s="4">
        <v>4</v>
      </c>
      <c r="J209" s="1">
        <v>45389</v>
      </c>
      <c r="K209" s="2">
        <v>8.8657407407407402E-4</v>
      </c>
      <c r="M209" s="4" t="str">
        <f t="shared" si="9"/>
        <v>HIGH</v>
      </c>
      <c r="N209" s="4" t="str" cm="1">
        <f t="array" ref="N209">_xlfn.IFS(C209&gt;35,"HIGH",C209&gt;25,"MIDDLE",TRUE,"LOW")</f>
        <v>HIGH</v>
      </c>
      <c r="O209" s="4" t="str">
        <f t="shared" si="10"/>
        <v>OTHERS</v>
      </c>
      <c r="P209" s="4" t="str">
        <f t="shared" si="11"/>
        <v>PREMINUM MORNING</v>
      </c>
    </row>
    <row r="210" spans="1:16" x14ac:dyDescent="0.3">
      <c r="A210" s="4">
        <v>18</v>
      </c>
      <c r="B210" t="s">
        <v>11</v>
      </c>
      <c r="C210" s="4">
        <v>33.799999999999997</v>
      </c>
      <c r="D210" t="s">
        <v>19</v>
      </c>
      <c r="E210" t="s">
        <v>20</v>
      </c>
      <c r="F210" s="4" t="s">
        <v>23</v>
      </c>
      <c r="G210" s="4" t="s">
        <v>31</v>
      </c>
      <c r="H210" s="4">
        <v>7</v>
      </c>
      <c r="I210" s="4">
        <v>4</v>
      </c>
      <c r="J210" s="1">
        <v>45389</v>
      </c>
      <c r="K210" s="2">
        <v>1.4340277777777778E-3</v>
      </c>
      <c r="M210" s="4" t="str">
        <f t="shared" si="9"/>
        <v>LOW</v>
      </c>
      <c r="N210" s="4" t="str" cm="1">
        <f t="array" ref="N210">_xlfn.IFS(C210&gt;35,"HIGH",C210&gt;25,"MIDDLE",TRUE,"LOW")</f>
        <v>MIDDLE</v>
      </c>
      <c r="O210" s="4" t="str">
        <f t="shared" si="10"/>
        <v>OTHERS</v>
      </c>
      <c r="P210" s="4" t="str">
        <f t="shared" si="11"/>
        <v>OTHERS</v>
      </c>
    </row>
    <row r="211" spans="1:16" x14ac:dyDescent="0.3">
      <c r="A211" s="4">
        <v>10</v>
      </c>
      <c r="B211" t="s">
        <v>11</v>
      </c>
      <c r="C211" s="4">
        <v>33.799999999999997</v>
      </c>
      <c r="D211" t="s">
        <v>19</v>
      </c>
      <c r="E211" t="s">
        <v>13</v>
      </c>
      <c r="F211" s="4" t="s">
        <v>25</v>
      </c>
      <c r="G211" s="4" t="s">
        <v>31</v>
      </c>
      <c r="H211" s="4">
        <v>1</v>
      </c>
      <c r="I211" s="4">
        <v>4</v>
      </c>
      <c r="J211" s="1">
        <v>45390</v>
      </c>
      <c r="K211" s="2">
        <v>4.052199074074074E-2</v>
      </c>
      <c r="M211" s="4" t="str">
        <f t="shared" si="9"/>
        <v>LOW</v>
      </c>
      <c r="N211" s="4" t="str" cm="1">
        <f t="array" ref="N211">_xlfn.IFS(C211&gt;35,"HIGH",C211&gt;25,"MIDDLE",TRUE,"LOW")</f>
        <v>MIDDLE</v>
      </c>
      <c r="O211" s="4" t="str">
        <f t="shared" si="10"/>
        <v>OTHERS</v>
      </c>
      <c r="P211" s="4" t="str">
        <f t="shared" si="11"/>
        <v>PREMINUM MORNING</v>
      </c>
    </row>
    <row r="212" spans="1:16" x14ac:dyDescent="0.3">
      <c r="A212" s="4">
        <v>10</v>
      </c>
      <c r="B212" t="s">
        <v>11</v>
      </c>
      <c r="C212" s="4">
        <v>38.700000000000003</v>
      </c>
      <c r="D212" t="s">
        <v>29</v>
      </c>
      <c r="E212" t="s">
        <v>13</v>
      </c>
      <c r="F212" s="4" t="s">
        <v>25</v>
      </c>
      <c r="G212" s="4" t="s">
        <v>31</v>
      </c>
      <c r="H212" s="4">
        <v>1</v>
      </c>
      <c r="I212" s="4">
        <v>4</v>
      </c>
      <c r="J212" s="1">
        <v>45390</v>
      </c>
      <c r="K212" s="2">
        <v>4.1291666666666664E-2</v>
      </c>
      <c r="M212" s="4" t="str">
        <f t="shared" si="9"/>
        <v>HIGH</v>
      </c>
      <c r="N212" s="4" t="str" cm="1">
        <f t="array" ref="N212">_xlfn.IFS(C212&gt;35,"HIGH",C212&gt;25,"MIDDLE",TRUE,"LOW")</f>
        <v>HIGH</v>
      </c>
      <c r="O212" s="4" t="str">
        <f t="shared" si="10"/>
        <v>PREMINUM MORNING</v>
      </c>
      <c r="P212" s="4" t="str">
        <f t="shared" si="11"/>
        <v>PREMINUM MORNING</v>
      </c>
    </row>
    <row r="213" spans="1:16" x14ac:dyDescent="0.3">
      <c r="A213" s="4">
        <v>11</v>
      </c>
      <c r="B213" t="s">
        <v>11</v>
      </c>
      <c r="C213" s="4">
        <v>28.9</v>
      </c>
      <c r="D213" t="s">
        <v>18</v>
      </c>
      <c r="E213" t="s">
        <v>13</v>
      </c>
      <c r="F213" s="4" t="s">
        <v>25</v>
      </c>
      <c r="G213" s="4" t="s">
        <v>31</v>
      </c>
      <c r="H213" s="4">
        <v>1</v>
      </c>
      <c r="I213" s="4">
        <v>4</v>
      </c>
      <c r="J213" s="1">
        <v>45390</v>
      </c>
      <c r="K213" s="2">
        <v>9.3171296296296296E-4</v>
      </c>
      <c r="M213" s="4" t="str">
        <f t="shared" si="9"/>
        <v>LOW</v>
      </c>
      <c r="N213" s="4" t="str" cm="1">
        <f t="array" ref="N213">_xlfn.IFS(C213&gt;35,"HIGH",C213&gt;25,"MIDDLE",TRUE,"LOW")</f>
        <v>MIDDLE</v>
      </c>
      <c r="O213" s="4" t="str">
        <f t="shared" si="10"/>
        <v>OTHERS</v>
      </c>
      <c r="P213" s="4" t="str">
        <f t="shared" si="11"/>
        <v>PREMINUM MORNING</v>
      </c>
    </row>
    <row r="214" spans="1:16" x14ac:dyDescent="0.3">
      <c r="A214" s="4">
        <v>11</v>
      </c>
      <c r="B214" t="s">
        <v>11</v>
      </c>
      <c r="C214" s="4">
        <v>38.700000000000003</v>
      </c>
      <c r="D214" t="s">
        <v>29</v>
      </c>
      <c r="E214" t="s">
        <v>13</v>
      </c>
      <c r="F214" s="4" t="s">
        <v>25</v>
      </c>
      <c r="G214" s="4" t="s">
        <v>31</v>
      </c>
      <c r="H214" s="4">
        <v>1</v>
      </c>
      <c r="I214" s="4">
        <v>4</v>
      </c>
      <c r="J214" s="1">
        <v>45390</v>
      </c>
      <c r="K214" s="2">
        <v>3.3217592592592591E-3</v>
      </c>
      <c r="M214" s="4" t="str">
        <f t="shared" si="9"/>
        <v>HIGH</v>
      </c>
      <c r="N214" s="4" t="str" cm="1">
        <f t="array" ref="N214">_xlfn.IFS(C214&gt;35,"HIGH",C214&gt;25,"MIDDLE",TRUE,"LOW")</f>
        <v>HIGH</v>
      </c>
      <c r="O214" s="4" t="str">
        <f t="shared" si="10"/>
        <v>PREMINUM MORNING</v>
      </c>
      <c r="P214" s="4" t="str">
        <f t="shared" si="11"/>
        <v>PREMINUM MORNING</v>
      </c>
    </row>
    <row r="215" spans="1:16" x14ac:dyDescent="0.3">
      <c r="A215" s="4">
        <v>16</v>
      </c>
      <c r="B215" t="s">
        <v>11</v>
      </c>
      <c r="C215" s="4">
        <v>38.700000000000003</v>
      </c>
      <c r="D215" t="s">
        <v>12</v>
      </c>
      <c r="E215" t="s">
        <v>17</v>
      </c>
      <c r="F215" s="4" t="s">
        <v>25</v>
      </c>
      <c r="G215" s="4" t="s">
        <v>31</v>
      </c>
      <c r="H215" s="4">
        <v>1</v>
      </c>
      <c r="I215" s="4">
        <v>4</v>
      </c>
      <c r="J215" s="1">
        <v>45390</v>
      </c>
      <c r="K215" s="2">
        <v>2.8909722222222226E-2</v>
      </c>
      <c r="M215" s="4" t="str">
        <f t="shared" si="9"/>
        <v>HIGH</v>
      </c>
      <c r="N215" s="4" t="str" cm="1">
        <f t="array" ref="N215">_xlfn.IFS(C215&gt;35,"HIGH",C215&gt;25,"MIDDLE",TRUE,"LOW")</f>
        <v>HIGH</v>
      </c>
      <c r="O215" s="4" t="str">
        <f t="shared" si="10"/>
        <v>OTHERS</v>
      </c>
      <c r="P215" s="4" t="str">
        <f t="shared" si="11"/>
        <v>PREMINUM MORNING</v>
      </c>
    </row>
    <row r="216" spans="1:16" x14ac:dyDescent="0.3">
      <c r="A216" s="4">
        <v>18</v>
      </c>
      <c r="B216" t="s">
        <v>11</v>
      </c>
      <c r="C216" s="4">
        <v>28.9</v>
      </c>
      <c r="D216" t="s">
        <v>18</v>
      </c>
      <c r="E216" t="s">
        <v>20</v>
      </c>
      <c r="F216" s="4" t="s">
        <v>25</v>
      </c>
      <c r="G216" s="4" t="s">
        <v>31</v>
      </c>
      <c r="H216" s="4">
        <v>1</v>
      </c>
      <c r="I216" s="4">
        <v>4</v>
      </c>
      <c r="J216" s="1">
        <v>45390</v>
      </c>
      <c r="K216" s="2">
        <v>1.2612268518518519E-2</v>
      </c>
      <c r="M216" s="4" t="str">
        <f t="shared" si="9"/>
        <v>LOW</v>
      </c>
      <c r="N216" s="4" t="str" cm="1">
        <f t="array" ref="N216">_xlfn.IFS(C216&gt;35,"HIGH",C216&gt;25,"MIDDLE",TRUE,"LOW")</f>
        <v>MIDDLE</v>
      </c>
      <c r="O216" s="4" t="str">
        <f t="shared" si="10"/>
        <v>OTHERS</v>
      </c>
      <c r="P216" s="4" t="str">
        <f t="shared" si="11"/>
        <v>OTHERS</v>
      </c>
    </row>
    <row r="217" spans="1:16" x14ac:dyDescent="0.3">
      <c r="A217" s="4">
        <v>19</v>
      </c>
      <c r="B217" t="s">
        <v>11</v>
      </c>
      <c r="C217" s="4">
        <v>33.799999999999997</v>
      </c>
      <c r="D217" t="s">
        <v>19</v>
      </c>
      <c r="E217" t="s">
        <v>20</v>
      </c>
      <c r="F217" s="4" t="s">
        <v>25</v>
      </c>
      <c r="G217" s="4" t="s">
        <v>31</v>
      </c>
      <c r="H217" s="4">
        <v>1</v>
      </c>
      <c r="I217" s="4">
        <v>4</v>
      </c>
      <c r="J217" s="1">
        <v>45390</v>
      </c>
      <c r="K217" s="2">
        <v>1.5596064814814814E-2</v>
      </c>
      <c r="M217" s="4" t="str">
        <f t="shared" si="9"/>
        <v>LOW</v>
      </c>
      <c r="N217" s="4" t="str" cm="1">
        <f t="array" ref="N217">_xlfn.IFS(C217&gt;35,"HIGH",C217&gt;25,"MIDDLE",TRUE,"LOW")</f>
        <v>MIDDLE</v>
      </c>
      <c r="O217" s="4" t="str">
        <f t="shared" si="10"/>
        <v>OTHERS</v>
      </c>
      <c r="P217" s="4" t="str">
        <f t="shared" si="11"/>
        <v>OTHERS</v>
      </c>
    </row>
    <row r="218" spans="1:16" x14ac:dyDescent="0.3">
      <c r="A218" s="4">
        <v>19</v>
      </c>
      <c r="B218" t="s">
        <v>11</v>
      </c>
      <c r="C218" s="4">
        <v>38.700000000000003</v>
      </c>
      <c r="D218" t="s">
        <v>29</v>
      </c>
      <c r="E218" t="s">
        <v>20</v>
      </c>
      <c r="F218" s="4" t="s">
        <v>25</v>
      </c>
      <c r="G218" s="4" t="s">
        <v>31</v>
      </c>
      <c r="H218" s="4">
        <v>1</v>
      </c>
      <c r="I218" s="4">
        <v>4</v>
      </c>
      <c r="J218" s="1">
        <v>45390</v>
      </c>
      <c r="K218" s="2">
        <v>1.6658564814814814E-2</v>
      </c>
      <c r="M218" s="4" t="str">
        <f t="shared" si="9"/>
        <v>HIGH</v>
      </c>
      <c r="N218" s="4" t="str" cm="1">
        <f t="array" ref="N218">_xlfn.IFS(C218&gt;35,"HIGH",C218&gt;25,"MIDDLE",TRUE,"LOW")</f>
        <v>HIGH</v>
      </c>
      <c r="O218" s="4" t="str">
        <f t="shared" si="10"/>
        <v>OTHERS</v>
      </c>
      <c r="P218" s="4" t="str">
        <f t="shared" si="11"/>
        <v>PREMINUM MORNING</v>
      </c>
    </row>
    <row r="219" spans="1:16" x14ac:dyDescent="0.3">
      <c r="A219" s="4">
        <v>11</v>
      </c>
      <c r="B219" t="s">
        <v>11</v>
      </c>
      <c r="C219" s="4">
        <v>38.700000000000003</v>
      </c>
      <c r="D219" t="s">
        <v>12</v>
      </c>
      <c r="E219" t="s">
        <v>13</v>
      </c>
      <c r="F219" s="4" t="s">
        <v>27</v>
      </c>
      <c r="G219" s="4" t="s">
        <v>31</v>
      </c>
      <c r="H219" s="4">
        <v>2</v>
      </c>
      <c r="I219" s="4">
        <v>4</v>
      </c>
      <c r="J219" s="1">
        <v>45391</v>
      </c>
      <c r="K219" s="2">
        <v>2.9496527777777778E-2</v>
      </c>
      <c r="M219" s="4" t="str">
        <f t="shared" si="9"/>
        <v>HIGH</v>
      </c>
      <c r="N219" s="4" t="str" cm="1">
        <f t="array" ref="N219">_xlfn.IFS(C219&gt;35,"HIGH",C219&gt;25,"MIDDLE",TRUE,"LOW")</f>
        <v>HIGH</v>
      </c>
      <c r="O219" s="4" t="str">
        <f t="shared" si="10"/>
        <v>PREMINUM MORNING</v>
      </c>
      <c r="P219" s="4" t="str">
        <f t="shared" si="11"/>
        <v>PREMINUM MORNING</v>
      </c>
    </row>
    <row r="220" spans="1:16" x14ac:dyDescent="0.3">
      <c r="A220" s="4">
        <v>15</v>
      </c>
      <c r="B220" t="s">
        <v>11</v>
      </c>
      <c r="C220" s="4">
        <v>38.700000000000003</v>
      </c>
      <c r="D220" t="s">
        <v>16</v>
      </c>
      <c r="E220" t="s">
        <v>17</v>
      </c>
      <c r="F220" s="4" t="s">
        <v>27</v>
      </c>
      <c r="G220" s="4" t="s">
        <v>31</v>
      </c>
      <c r="H220" s="4">
        <v>2</v>
      </c>
      <c r="I220" s="4">
        <v>4</v>
      </c>
      <c r="J220" s="1">
        <v>45391</v>
      </c>
      <c r="K220" s="2">
        <v>8.2025462962962963E-3</v>
      </c>
      <c r="M220" s="4" t="str">
        <f t="shared" si="9"/>
        <v>HIGH</v>
      </c>
      <c r="N220" s="4" t="str" cm="1">
        <f t="array" ref="N220">_xlfn.IFS(C220&gt;35,"HIGH",C220&gt;25,"MIDDLE",TRUE,"LOW")</f>
        <v>HIGH</v>
      </c>
      <c r="O220" s="4" t="str">
        <f t="shared" si="10"/>
        <v>OTHERS</v>
      </c>
      <c r="P220" s="4" t="str">
        <f t="shared" si="11"/>
        <v>PREMINUM MORNING</v>
      </c>
    </row>
    <row r="221" spans="1:16" x14ac:dyDescent="0.3">
      <c r="A221" s="4">
        <v>17</v>
      </c>
      <c r="B221" t="s">
        <v>11</v>
      </c>
      <c r="C221" s="4">
        <v>38.700000000000003</v>
      </c>
      <c r="D221" t="s">
        <v>16</v>
      </c>
      <c r="E221" t="s">
        <v>20</v>
      </c>
      <c r="F221" s="4" t="s">
        <v>27</v>
      </c>
      <c r="G221" s="4" t="s">
        <v>31</v>
      </c>
      <c r="H221" s="4">
        <v>2</v>
      </c>
      <c r="I221" s="4">
        <v>4</v>
      </c>
      <c r="J221" s="1">
        <v>45391</v>
      </c>
      <c r="K221" s="2">
        <v>1.7637731481481483E-2</v>
      </c>
      <c r="M221" s="4" t="str">
        <f t="shared" si="9"/>
        <v>HIGH</v>
      </c>
      <c r="N221" s="4" t="str" cm="1">
        <f t="array" ref="N221">_xlfn.IFS(C221&gt;35,"HIGH",C221&gt;25,"MIDDLE",TRUE,"LOW")</f>
        <v>HIGH</v>
      </c>
      <c r="O221" s="4" t="str">
        <f t="shared" si="10"/>
        <v>OTHERS</v>
      </c>
      <c r="P221" s="4" t="str">
        <f t="shared" si="11"/>
        <v>PREMINUM MORNING</v>
      </c>
    </row>
    <row r="222" spans="1:16" x14ac:dyDescent="0.3">
      <c r="A222" s="4">
        <v>17</v>
      </c>
      <c r="B222" t="s">
        <v>11</v>
      </c>
      <c r="C222" s="4">
        <v>24</v>
      </c>
      <c r="D222" t="s">
        <v>26</v>
      </c>
      <c r="E222" t="s">
        <v>20</v>
      </c>
      <c r="F222" s="4" t="s">
        <v>28</v>
      </c>
      <c r="G222" s="4" t="s">
        <v>31</v>
      </c>
      <c r="H222" s="4">
        <v>3</v>
      </c>
      <c r="I222" s="4">
        <v>4</v>
      </c>
      <c r="J222" s="1">
        <v>45392</v>
      </c>
      <c r="K222" s="2">
        <v>3.8555555555555551E-2</v>
      </c>
      <c r="M222" s="4" t="str">
        <f t="shared" si="9"/>
        <v>LOW</v>
      </c>
      <c r="N222" s="4" t="str" cm="1">
        <f t="array" ref="N222">_xlfn.IFS(C222&gt;35,"HIGH",C222&gt;25,"MIDDLE",TRUE,"LOW")</f>
        <v>LOW</v>
      </c>
      <c r="O222" s="4" t="str">
        <f t="shared" si="10"/>
        <v>OTHERS</v>
      </c>
      <c r="P222" s="4" t="str">
        <f t="shared" si="11"/>
        <v>OTHERS</v>
      </c>
    </row>
    <row r="223" spans="1:16" x14ac:dyDescent="0.3">
      <c r="A223" s="4">
        <v>18</v>
      </c>
      <c r="B223" t="s">
        <v>11</v>
      </c>
      <c r="C223" s="4">
        <v>38.700000000000003</v>
      </c>
      <c r="D223" t="s">
        <v>29</v>
      </c>
      <c r="E223" t="s">
        <v>20</v>
      </c>
      <c r="F223" s="4" t="s">
        <v>28</v>
      </c>
      <c r="G223" s="4" t="s">
        <v>31</v>
      </c>
      <c r="H223" s="4">
        <v>3</v>
      </c>
      <c r="I223" s="4">
        <v>4</v>
      </c>
      <c r="J223" s="1">
        <v>45392</v>
      </c>
      <c r="K223" s="2">
        <v>1.7353009259259259E-2</v>
      </c>
      <c r="M223" s="4" t="str">
        <f t="shared" si="9"/>
        <v>HIGH</v>
      </c>
      <c r="N223" s="4" t="str" cm="1">
        <f t="array" ref="N223">_xlfn.IFS(C223&gt;35,"HIGH",C223&gt;25,"MIDDLE",TRUE,"LOW")</f>
        <v>HIGH</v>
      </c>
      <c r="O223" s="4" t="str">
        <f t="shared" si="10"/>
        <v>OTHERS</v>
      </c>
      <c r="P223" s="4" t="str">
        <f t="shared" si="11"/>
        <v>PREMINUM MORNING</v>
      </c>
    </row>
    <row r="224" spans="1:16" x14ac:dyDescent="0.3">
      <c r="A224" s="4">
        <v>20</v>
      </c>
      <c r="B224" t="s">
        <v>11</v>
      </c>
      <c r="C224" s="4">
        <v>38.700000000000003</v>
      </c>
      <c r="D224" t="s">
        <v>12</v>
      </c>
      <c r="E224" t="s">
        <v>20</v>
      </c>
      <c r="F224" s="4" t="s">
        <v>28</v>
      </c>
      <c r="G224" s="4" t="s">
        <v>31</v>
      </c>
      <c r="H224" s="4">
        <v>3</v>
      </c>
      <c r="I224" s="4">
        <v>4</v>
      </c>
      <c r="J224" s="1">
        <v>45392</v>
      </c>
      <c r="K224" s="2">
        <v>2.8402777777777779E-3</v>
      </c>
      <c r="M224" s="4" t="str">
        <f t="shared" si="9"/>
        <v>HIGH</v>
      </c>
      <c r="N224" s="4" t="str" cm="1">
        <f t="array" ref="N224">_xlfn.IFS(C224&gt;35,"HIGH",C224&gt;25,"MIDDLE",TRUE,"LOW")</f>
        <v>HIGH</v>
      </c>
      <c r="O224" s="4" t="str">
        <f t="shared" si="10"/>
        <v>OTHERS</v>
      </c>
      <c r="P224" s="4" t="str">
        <f t="shared" si="11"/>
        <v>PREMINUM MORNING</v>
      </c>
    </row>
    <row r="225" spans="1:16" x14ac:dyDescent="0.3">
      <c r="A225" s="4">
        <v>10</v>
      </c>
      <c r="B225" t="s">
        <v>11</v>
      </c>
      <c r="C225" s="4">
        <v>28.9</v>
      </c>
      <c r="D225" t="s">
        <v>18</v>
      </c>
      <c r="E225" t="s">
        <v>13</v>
      </c>
      <c r="F225" s="4" t="s">
        <v>30</v>
      </c>
      <c r="G225" s="4" t="s">
        <v>31</v>
      </c>
      <c r="H225" s="4">
        <v>4</v>
      </c>
      <c r="I225" s="4">
        <v>4</v>
      </c>
      <c r="J225" s="1">
        <v>45393</v>
      </c>
      <c r="K225" s="2">
        <v>2.874074074074074E-2</v>
      </c>
      <c r="M225" s="4" t="str">
        <f t="shared" si="9"/>
        <v>LOW</v>
      </c>
      <c r="N225" s="4" t="str" cm="1">
        <f t="array" ref="N225">_xlfn.IFS(C225&gt;35,"HIGH",C225&gt;25,"MIDDLE",TRUE,"LOW")</f>
        <v>MIDDLE</v>
      </c>
      <c r="O225" s="4" t="str">
        <f t="shared" si="10"/>
        <v>OTHERS</v>
      </c>
      <c r="P225" s="4" t="str">
        <f t="shared" si="11"/>
        <v>PREMINUM MORNING</v>
      </c>
    </row>
    <row r="226" spans="1:16" x14ac:dyDescent="0.3">
      <c r="A226" s="4">
        <v>10</v>
      </c>
      <c r="B226" t="s">
        <v>11</v>
      </c>
      <c r="C226" s="4">
        <v>28.9</v>
      </c>
      <c r="D226" t="s">
        <v>18</v>
      </c>
      <c r="E226" t="s">
        <v>13</v>
      </c>
      <c r="F226" s="4" t="s">
        <v>30</v>
      </c>
      <c r="G226" s="4" t="s">
        <v>31</v>
      </c>
      <c r="H226" s="4">
        <v>4</v>
      </c>
      <c r="I226" s="4">
        <v>4</v>
      </c>
      <c r="J226" s="1">
        <v>45393</v>
      </c>
      <c r="K226" s="2">
        <v>2.9854166666666668E-2</v>
      </c>
      <c r="M226" s="4" t="str">
        <f t="shared" si="9"/>
        <v>LOW</v>
      </c>
      <c r="N226" s="4" t="str" cm="1">
        <f t="array" ref="N226">_xlfn.IFS(C226&gt;35,"HIGH",C226&gt;25,"MIDDLE",TRUE,"LOW")</f>
        <v>MIDDLE</v>
      </c>
      <c r="O226" s="4" t="str">
        <f t="shared" si="10"/>
        <v>OTHERS</v>
      </c>
      <c r="P226" s="4" t="str">
        <f t="shared" si="11"/>
        <v>PREMINUM MORNING</v>
      </c>
    </row>
    <row r="227" spans="1:16" x14ac:dyDescent="0.3">
      <c r="A227" s="4">
        <v>16</v>
      </c>
      <c r="B227" t="s">
        <v>11</v>
      </c>
      <c r="C227" s="4">
        <v>38.700000000000003</v>
      </c>
      <c r="D227" t="s">
        <v>12</v>
      </c>
      <c r="E227" t="s">
        <v>17</v>
      </c>
      <c r="F227" s="4" t="s">
        <v>30</v>
      </c>
      <c r="G227" s="4" t="s">
        <v>31</v>
      </c>
      <c r="H227" s="4">
        <v>4</v>
      </c>
      <c r="I227" s="4">
        <v>4</v>
      </c>
      <c r="J227" s="1">
        <v>45393</v>
      </c>
      <c r="K227" s="2">
        <v>2.4572916666666667E-2</v>
      </c>
      <c r="M227" s="4" t="str">
        <f t="shared" si="9"/>
        <v>HIGH</v>
      </c>
      <c r="N227" s="4" t="str" cm="1">
        <f t="array" ref="N227">_xlfn.IFS(C227&gt;35,"HIGH",C227&gt;25,"MIDDLE",TRUE,"LOW")</f>
        <v>HIGH</v>
      </c>
      <c r="O227" s="4" t="str">
        <f t="shared" si="10"/>
        <v>OTHERS</v>
      </c>
      <c r="P227" s="4" t="str">
        <f t="shared" si="11"/>
        <v>PREMINUM MORNING</v>
      </c>
    </row>
    <row r="228" spans="1:16" x14ac:dyDescent="0.3">
      <c r="A228" s="4">
        <v>19</v>
      </c>
      <c r="B228" t="s">
        <v>11</v>
      </c>
      <c r="C228" s="4">
        <v>38.700000000000003</v>
      </c>
      <c r="D228" t="s">
        <v>29</v>
      </c>
      <c r="E228" t="s">
        <v>20</v>
      </c>
      <c r="F228" s="4" t="s">
        <v>30</v>
      </c>
      <c r="G228" s="4" t="s">
        <v>31</v>
      </c>
      <c r="H228" s="4">
        <v>4</v>
      </c>
      <c r="I228" s="4">
        <v>4</v>
      </c>
      <c r="J228" s="1">
        <v>45393</v>
      </c>
      <c r="K228" s="2">
        <v>1.1766203703703704E-2</v>
      </c>
      <c r="M228" s="4" t="str">
        <f t="shared" si="9"/>
        <v>HIGH</v>
      </c>
      <c r="N228" s="4" t="str" cm="1">
        <f t="array" ref="N228">_xlfn.IFS(C228&gt;35,"HIGH",C228&gt;25,"MIDDLE",TRUE,"LOW")</f>
        <v>HIGH</v>
      </c>
      <c r="O228" s="4" t="str">
        <f t="shared" si="10"/>
        <v>OTHERS</v>
      </c>
      <c r="P228" s="4" t="str">
        <f t="shared" si="11"/>
        <v>PREMINUM MORNING</v>
      </c>
    </row>
    <row r="229" spans="1:16" x14ac:dyDescent="0.3">
      <c r="A229" s="4">
        <v>19</v>
      </c>
      <c r="B229" t="s">
        <v>11</v>
      </c>
      <c r="C229" s="4">
        <v>33.799999999999997</v>
      </c>
      <c r="D229" t="s">
        <v>19</v>
      </c>
      <c r="E229" t="s">
        <v>20</v>
      </c>
      <c r="F229" s="4" t="s">
        <v>30</v>
      </c>
      <c r="G229" s="4" t="s">
        <v>31</v>
      </c>
      <c r="H229" s="4">
        <v>4</v>
      </c>
      <c r="I229" s="4">
        <v>4</v>
      </c>
      <c r="J229" s="1">
        <v>45393</v>
      </c>
      <c r="K229" s="2">
        <v>1.292361111111111E-2</v>
      </c>
      <c r="M229" s="4" t="str">
        <f t="shared" si="9"/>
        <v>LOW</v>
      </c>
      <c r="N229" s="4" t="str" cm="1">
        <f t="array" ref="N229">_xlfn.IFS(C229&gt;35,"HIGH",C229&gt;25,"MIDDLE",TRUE,"LOW")</f>
        <v>MIDDLE</v>
      </c>
      <c r="O229" s="4" t="str">
        <f t="shared" si="10"/>
        <v>OTHERS</v>
      </c>
      <c r="P229" s="4" t="str">
        <f t="shared" si="11"/>
        <v>OTHERS</v>
      </c>
    </row>
    <row r="230" spans="1:16" x14ac:dyDescent="0.3">
      <c r="A230" s="4">
        <v>19</v>
      </c>
      <c r="B230" t="s">
        <v>11</v>
      </c>
      <c r="C230" s="4">
        <v>38.700000000000003</v>
      </c>
      <c r="D230" t="s">
        <v>16</v>
      </c>
      <c r="E230" t="s">
        <v>20</v>
      </c>
      <c r="F230" s="4" t="s">
        <v>14</v>
      </c>
      <c r="G230" s="4" t="s">
        <v>31</v>
      </c>
      <c r="H230" s="4">
        <v>5</v>
      </c>
      <c r="I230" s="4">
        <v>4</v>
      </c>
      <c r="J230" s="1">
        <v>45394</v>
      </c>
      <c r="K230" s="2">
        <v>2.5856481481481481E-3</v>
      </c>
      <c r="M230" s="4" t="str">
        <f t="shared" si="9"/>
        <v>HIGH</v>
      </c>
      <c r="N230" s="4" t="str" cm="1">
        <f t="array" ref="N230">_xlfn.IFS(C230&gt;35,"HIGH",C230&gt;25,"MIDDLE",TRUE,"LOW")</f>
        <v>HIGH</v>
      </c>
      <c r="O230" s="4" t="str">
        <f t="shared" si="10"/>
        <v>OTHERS</v>
      </c>
      <c r="P230" s="4" t="str">
        <f t="shared" si="11"/>
        <v>PREMINUM MORNING</v>
      </c>
    </row>
    <row r="231" spans="1:16" x14ac:dyDescent="0.3">
      <c r="A231" s="4">
        <v>19</v>
      </c>
      <c r="B231" t="s">
        <v>11</v>
      </c>
      <c r="C231" s="4">
        <v>28.9</v>
      </c>
      <c r="D231" t="s">
        <v>24</v>
      </c>
      <c r="E231" t="s">
        <v>20</v>
      </c>
      <c r="F231" s="4" t="s">
        <v>14</v>
      </c>
      <c r="G231" s="4" t="s">
        <v>31</v>
      </c>
      <c r="H231" s="4">
        <v>5</v>
      </c>
      <c r="I231" s="4">
        <v>4</v>
      </c>
      <c r="J231" s="1">
        <v>45394</v>
      </c>
      <c r="K231" s="2">
        <v>2.6657407407407404E-2</v>
      </c>
      <c r="M231" s="4" t="str">
        <f t="shared" si="9"/>
        <v>LOW</v>
      </c>
      <c r="N231" s="4" t="str" cm="1">
        <f t="array" ref="N231">_xlfn.IFS(C231&gt;35,"HIGH",C231&gt;25,"MIDDLE",TRUE,"LOW")</f>
        <v>MIDDLE</v>
      </c>
      <c r="O231" s="4" t="str">
        <f t="shared" si="10"/>
        <v>OTHERS</v>
      </c>
      <c r="P231" s="4" t="str">
        <f t="shared" si="11"/>
        <v>OTHERS</v>
      </c>
    </row>
    <row r="232" spans="1:16" x14ac:dyDescent="0.3">
      <c r="A232" s="4">
        <v>12</v>
      </c>
      <c r="B232" t="s">
        <v>11</v>
      </c>
      <c r="C232" s="4">
        <v>38.700000000000003</v>
      </c>
      <c r="D232" t="s">
        <v>12</v>
      </c>
      <c r="E232" t="s">
        <v>17</v>
      </c>
      <c r="F232" s="4" t="s">
        <v>22</v>
      </c>
      <c r="G232" s="4" t="s">
        <v>31</v>
      </c>
      <c r="H232" s="4">
        <v>6</v>
      </c>
      <c r="I232" s="4">
        <v>4</v>
      </c>
      <c r="J232" s="1">
        <v>45395</v>
      </c>
      <c r="K232" s="2">
        <v>2.0368055555555556E-2</v>
      </c>
      <c r="M232" s="4" t="str">
        <f t="shared" si="9"/>
        <v>HIGH</v>
      </c>
      <c r="N232" s="4" t="str" cm="1">
        <f t="array" ref="N232">_xlfn.IFS(C232&gt;35,"HIGH",C232&gt;25,"MIDDLE",TRUE,"LOW")</f>
        <v>HIGH</v>
      </c>
      <c r="O232" s="4" t="str">
        <f t="shared" si="10"/>
        <v>OTHERS</v>
      </c>
      <c r="P232" s="4" t="str">
        <f t="shared" si="11"/>
        <v>PREMINUM MORNING</v>
      </c>
    </row>
    <row r="233" spans="1:16" x14ac:dyDescent="0.3">
      <c r="A233" s="4">
        <v>12</v>
      </c>
      <c r="B233" t="s">
        <v>11</v>
      </c>
      <c r="C233" s="4">
        <v>28.9</v>
      </c>
      <c r="D233" t="s">
        <v>18</v>
      </c>
      <c r="E233" t="s">
        <v>17</v>
      </c>
      <c r="F233" s="4" t="s">
        <v>22</v>
      </c>
      <c r="G233" s="4" t="s">
        <v>31</v>
      </c>
      <c r="H233" s="4">
        <v>6</v>
      </c>
      <c r="I233" s="4">
        <v>4</v>
      </c>
      <c r="J233" s="1">
        <v>45395</v>
      </c>
      <c r="K233" s="2">
        <v>2.9888888888888888E-2</v>
      </c>
      <c r="M233" s="4" t="str">
        <f t="shared" si="9"/>
        <v>LOW</v>
      </c>
      <c r="N233" s="4" t="str" cm="1">
        <f t="array" ref="N233">_xlfn.IFS(C233&gt;35,"HIGH",C233&gt;25,"MIDDLE",TRUE,"LOW")</f>
        <v>MIDDLE</v>
      </c>
      <c r="O233" s="4" t="str">
        <f t="shared" si="10"/>
        <v>OTHERS</v>
      </c>
      <c r="P233" s="4" t="str">
        <f t="shared" si="11"/>
        <v>OTHERS</v>
      </c>
    </row>
    <row r="234" spans="1:16" x14ac:dyDescent="0.3">
      <c r="A234" s="4">
        <v>16</v>
      </c>
      <c r="B234" t="s">
        <v>11</v>
      </c>
      <c r="C234" s="4">
        <v>38.700000000000003</v>
      </c>
      <c r="D234" t="s">
        <v>29</v>
      </c>
      <c r="E234" t="s">
        <v>17</v>
      </c>
      <c r="F234" s="4" t="s">
        <v>22</v>
      </c>
      <c r="G234" s="4" t="s">
        <v>31</v>
      </c>
      <c r="H234" s="4">
        <v>6</v>
      </c>
      <c r="I234" s="4">
        <v>4</v>
      </c>
      <c r="J234" s="1">
        <v>45395</v>
      </c>
      <c r="K234" s="2">
        <v>1.254513888888889E-2</v>
      </c>
      <c r="M234" s="4" t="str">
        <f t="shared" si="9"/>
        <v>HIGH</v>
      </c>
      <c r="N234" s="4" t="str" cm="1">
        <f t="array" ref="N234">_xlfn.IFS(C234&gt;35,"HIGH",C234&gt;25,"MIDDLE",TRUE,"LOW")</f>
        <v>HIGH</v>
      </c>
      <c r="O234" s="4" t="str">
        <f t="shared" si="10"/>
        <v>OTHERS</v>
      </c>
      <c r="P234" s="4" t="str">
        <f t="shared" si="11"/>
        <v>PREMINUM MORNING</v>
      </c>
    </row>
    <row r="235" spans="1:16" x14ac:dyDescent="0.3">
      <c r="A235" s="4">
        <v>16</v>
      </c>
      <c r="B235" t="s">
        <v>11</v>
      </c>
      <c r="C235" s="4">
        <v>38.700000000000003</v>
      </c>
      <c r="D235" t="s">
        <v>12</v>
      </c>
      <c r="E235" t="s">
        <v>17</v>
      </c>
      <c r="F235" s="4" t="s">
        <v>22</v>
      </c>
      <c r="G235" s="4" t="s">
        <v>31</v>
      </c>
      <c r="H235" s="4">
        <v>6</v>
      </c>
      <c r="I235" s="4">
        <v>4</v>
      </c>
      <c r="J235" s="1">
        <v>45395</v>
      </c>
      <c r="K235" s="2">
        <v>1.3655092592592592E-2</v>
      </c>
      <c r="M235" s="4" t="str">
        <f t="shared" si="9"/>
        <v>HIGH</v>
      </c>
      <c r="N235" s="4" t="str" cm="1">
        <f t="array" ref="N235">_xlfn.IFS(C235&gt;35,"HIGH",C235&gt;25,"MIDDLE",TRUE,"LOW")</f>
        <v>HIGH</v>
      </c>
      <c r="O235" s="4" t="str">
        <f t="shared" si="10"/>
        <v>OTHERS</v>
      </c>
      <c r="P235" s="4" t="str">
        <f t="shared" si="11"/>
        <v>PREMINUM MORNING</v>
      </c>
    </row>
    <row r="236" spans="1:16" x14ac:dyDescent="0.3">
      <c r="A236" s="4">
        <v>17</v>
      </c>
      <c r="B236" t="s">
        <v>11</v>
      </c>
      <c r="C236" s="4">
        <v>38.700000000000003</v>
      </c>
      <c r="D236" t="s">
        <v>29</v>
      </c>
      <c r="E236" t="s">
        <v>20</v>
      </c>
      <c r="F236" s="4" t="s">
        <v>22</v>
      </c>
      <c r="G236" s="4" t="s">
        <v>31</v>
      </c>
      <c r="H236" s="4">
        <v>6</v>
      </c>
      <c r="I236" s="4">
        <v>4</v>
      </c>
      <c r="J236" s="1">
        <v>45395</v>
      </c>
      <c r="K236" s="2">
        <v>3.5717592592592592E-2</v>
      </c>
      <c r="M236" s="4" t="str">
        <f t="shared" si="9"/>
        <v>HIGH</v>
      </c>
      <c r="N236" s="4" t="str" cm="1">
        <f t="array" ref="N236">_xlfn.IFS(C236&gt;35,"HIGH",C236&gt;25,"MIDDLE",TRUE,"LOW")</f>
        <v>HIGH</v>
      </c>
      <c r="O236" s="4" t="str">
        <f t="shared" si="10"/>
        <v>OTHERS</v>
      </c>
      <c r="P236" s="4" t="str">
        <f t="shared" si="11"/>
        <v>PREMINUM MORNING</v>
      </c>
    </row>
    <row r="237" spans="1:16" x14ac:dyDescent="0.3">
      <c r="A237" s="4">
        <v>17</v>
      </c>
      <c r="B237" t="s">
        <v>11</v>
      </c>
      <c r="C237" s="4">
        <v>38.700000000000003</v>
      </c>
      <c r="D237" t="s">
        <v>29</v>
      </c>
      <c r="E237" t="s">
        <v>20</v>
      </c>
      <c r="F237" s="4" t="s">
        <v>22</v>
      </c>
      <c r="G237" s="4" t="s">
        <v>31</v>
      </c>
      <c r="H237" s="4">
        <v>6</v>
      </c>
      <c r="I237" s="4">
        <v>4</v>
      </c>
      <c r="J237" s="1">
        <v>45395</v>
      </c>
      <c r="K237" s="2">
        <v>3.7027777777777778E-2</v>
      </c>
      <c r="M237" s="4" t="str">
        <f t="shared" si="9"/>
        <v>HIGH</v>
      </c>
      <c r="N237" s="4" t="str" cm="1">
        <f t="array" ref="N237">_xlfn.IFS(C237&gt;35,"HIGH",C237&gt;25,"MIDDLE",TRUE,"LOW")</f>
        <v>HIGH</v>
      </c>
      <c r="O237" s="4" t="str">
        <f t="shared" si="10"/>
        <v>OTHERS</v>
      </c>
      <c r="P237" s="4" t="str">
        <f t="shared" si="11"/>
        <v>PREMINUM MORNING</v>
      </c>
    </row>
    <row r="238" spans="1:16" x14ac:dyDescent="0.3">
      <c r="A238" s="4">
        <v>12</v>
      </c>
      <c r="B238" t="s">
        <v>11</v>
      </c>
      <c r="C238" s="4">
        <v>38.700000000000003</v>
      </c>
      <c r="D238" t="s">
        <v>29</v>
      </c>
      <c r="E238" t="s">
        <v>17</v>
      </c>
      <c r="F238" s="4" t="s">
        <v>23</v>
      </c>
      <c r="G238" s="4" t="s">
        <v>31</v>
      </c>
      <c r="H238" s="4">
        <v>7</v>
      </c>
      <c r="I238" s="4">
        <v>4</v>
      </c>
      <c r="J238" s="1">
        <v>45396</v>
      </c>
      <c r="K238" s="2">
        <v>1.7118055555555556E-2</v>
      </c>
      <c r="M238" s="4" t="str">
        <f t="shared" si="9"/>
        <v>HIGH</v>
      </c>
      <c r="N238" s="4" t="str" cm="1">
        <f t="array" ref="N238">_xlfn.IFS(C238&gt;35,"HIGH",C238&gt;25,"MIDDLE",TRUE,"LOW")</f>
        <v>HIGH</v>
      </c>
      <c r="O238" s="4" t="str">
        <f t="shared" si="10"/>
        <v>OTHERS</v>
      </c>
      <c r="P238" s="4" t="str">
        <f t="shared" si="11"/>
        <v>PREMINUM MORNING</v>
      </c>
    </row>
    <row r="239" spans="1:16" x14ac:dyDescent="0.3">
      <c r="A239" s="4">
        <v>13</v>
      </c>
      <c r="B239" t="s">
        <v>11</v>
      </c>
      <c r="C239" s="4">
        <v>28.9</v>
      </c>
      <c r="D239" t="s">
        <v>24</v>
      </c>
      <c r="E239" t="s">
        <v>17</v>
      </c>
      <c r="F239" s="4" t="s">
        <v>23</v>
      </c>
      <c r="G239" s="4" t="s">
        <v>31</v>
      </c>
      <c r="H239" s="4">
        <v>7</v>
      </c>
      <c r="I239" s="4">
        <v>4</v>
      </c>
      <c r="J239" s="1">
        <v>45396</v>
      </c>
      <c r="K239" s="2">
        <v>1.5159722222222222E-2</v>
      </c>
      <c r="M239" s="4" t="str">
        <f t="shared" si="9"/>
        <v>LOW</v>
      </c>
      <c r="N239" s="4" t="str" cm="1">
        <f t="array" ref="N239">_xlfn.IFS(C239&gt;35,"HIGH",C239&gt;25,"MIDDLE",TRUE,"LOW")</f>
        <v>MIDDLE</v>
      </c>
      <c r="O239" s="4" t="str">
        <f t="shared" si="10"/>
        <v>OTHERS</v>
      </c>
      <c r="P239" s="4" t="str">
        <f t="shared" si="11"/>
        <v>OTHERS</v>
      </c>
    </row>
    <row r="240" spans="1:16" x14ac:dyDescent="0.3">
      <c r="A240" s="4">
        <v>14</v>
      </c>
      <c r="B240" t="s">
        <v>11</v>
      </c>
      <c r="C240" s="4">
        <v>28.9</v>
      </c>
      <c r="D240" t="s">
        <v>18</v>
      </c>
      <c r="E240" t="s">
        <v>17</v>
      </c>
      <c r="F240" s="4" t="s">
        <v>23</v>
      </c>
      <c r="G240" s="4" t="s">
        <v>31</v>
      </c>
      <c r="H240" s="4">
        <v>7</v>
      </c>
      <c r="I240" s="4">
        <v>4</v>
      </c>
      <c r="J240" s="1">
        <v>45396</v>
      </c>
      <c r="K240" s="2">
        <v>1.633796296296296E-2</v>
      </c>
      <c r="M240" s="4" t="str">
        <f t="shared" si="9"/>
        <v>LOW</v>
      </c>
      <c r="N240" s="4" t="str" cm="1">
        <f t="array" ref="N240">_xlfn.IFS(C240&gt;35,"HIGH",C240&gt;25,"MIDDLE",TRUE,"LOW")</f>
        <v>MIDDLE</v>
      </c>
      <c r="O240" s="4" t="str">
        <f t="shared" si="10"/>
        <v>OTHERS</v>
      </c>
      <c r="P240" s="4" t="str">
        <f t="shared" si="11"/>
        <v>OTHERS</v>
      </c>
    </row>
    <row r="241" spans="1:16" x14ac:dyDescent="0.3">
      <c r="A241" s="4">
        <v>14</v>
      </c>
      <c r="B241" t="s">
        <v>11</v>
      </c>
      <c r="C241" s="4">
        <v>28.9</v>
      </c>
      <c r="D241" t="s">
        <v>18</v>
      </c>
      <c r="E241" t="s">
        <v>17</v>
      </c>
      <c r="F241" s="4" t="s">
        <v>23</v>
      </c>
      <c r="G241" s="4" t="s">
        <v>31</v>
      </c>
      <c r="H241" s="4">
        <v>7</v>
      </c>
      <c r="I241" s="4">
        <v>4</v>
      </c>
      <c r="J241" s="1">
        <v>45396</v>
      </c>
      <c r="K241" s="2">
        <v>1.6978009259259259E-2</v>
      </c>
      <c r="M241" s="4" t="str">
        <f t="shared" si="9"/>
        <v>LOW</v>
      </c>
      <c r="N241" s="4" t="str" cm="1">
        <f t="array" ref="N241">_xlfn.IFS(C241&gt;35,"HIGH",C241&gt;25,"MIDDLE",TRUE,"LOW")</f>
        <v>MIDDLE</v>
      </c>
      <c r="O241" s="4" t="str">
        <f t="shared" si="10"/>
        <v>OTHERS</v>
      </c>
      <c r="P241" s="4" t="str">
        <f t="shared" si="11"/>
        <v>OTHERS</v>
      </c>
    </row>
    <row r="242" spans="1:16" x14ac:dyDescent="0.3">
      <c r="A242" s="4">
        <v>14</v>
      </c>
      <c r="B242" t="s">
        <v>11</v>
      </c>
      <c r="C242" s="4">
        <v>28.9</v>
      </c>
      <c r="D242" t="s">
        <v>18</v>
      </c>
      <c r="E242" t="s">
        <v>17</v>
      </c>
      <c r="F242" s="4" t="s">
        <v>23</v>
      </c>
      <c r="G242" s="4" t="s">
        <v>31</v>
      </c>
      <c r="H242" s="4">
        <v>7</v>
      </c>
      <c r="I242" s="4">
        <v>4</v>
      </c>
      <c r="J242" s="1">
        <v>45396</v>
      </c>
      <c r="K242" s="2">
        <v>1.7570601851851851E-2</v>
      </c>
      <c r="M242" s="4" t="str">
        <f t="shared" si="9"/>
        <v>LOW</v>
      </c>
      <c r="N242" s="4" t="str" cm="1">
        <f t="array" ref="N242">_xlfn.IFS(C242&gt;35,"HIGH",C242&gt;25,"MIDDLE",TRUE,"LOW")</f>
        <v>MIDDLE</v>
      </c>
      <c r="O242" s="4" t="str">
        <f t="shared" si="10"/>
        <v>OTHERS</v>
      </c>
      <c r="P242" s="4" t="str">
        <f t="shared" si="11"/>
        <v>OTHERS</v>
      </c>
    </row>
    <row r="243" spans="1:16" x14ac:dyDescent="0.3">
      <c r="A243" s="4">
        <v>15</v>
      </c>
      <c r="B243" t="s">
        <v>11</v>
      </c>
      <c r="C243" s="4">
        <v>38.700000000000003</v>
      </c>
      <c r="D243" t="s">
        <v>29</v>
      </c>
      <c r="E243" t="s">
        <v>17</v>
      </c>
      <c r="F243" s="4" t="s">
        <v>23</v>
      </c>
      <c r="G243" s="4" t="s">
        <v>31</v>
      </c>
      <c r="H243" s="4">
        <v>7</v>
      </c>
      <c r="I243" s="4">
        <v>4</v>
      </c>
      <c r="J243" s="1">
        <v>45396</v>
      </c>
      <c r="K243" s="2">
        <v>3.2265046296296292E-2</v>
      </c>
      <c r="M243" s="4" t="str">
        <f t="shared" si="9"/>
        <v>HIGH</v>
      </c>
      <c r="N243" s="4" t="str" cm="1">
        <f t="array" ref="N243">_xlfn.IFS(C243&gt;35,"HIGH",C243&gt;25,"MIDDLE",TRUE,"LOW")</f>
        <v>HIGH</v>
      </c>
      <c r="O243" s="4" t="str">
        <f t="shared" si="10"/>
        <v>OTHERS</v>
      </c>
      <c r="P243" s="4" t="str">
        <f t="shared" si="11"/>
        <v>PREMINUM MORNING</v>
      </c>
    </row>
    <row r="244" spans="1:16" x14ac:dyDescent="0.3">
      <c r="A244" s="4">
        <v>16</v>
      </c>
      <c r="B244" t="s">
        <v>11</v>
      </c>
      <c r="C244" s="4">
        <v>28.9</v>
      </c>
      <c r="D244" t="s">
        <v>24</v>
      </c>
      <c r="E244" t="s">
        <v>17</v>
      </c>
      <c r="F244" s="4" t="s">
        <v>23</v>
      </c>
      <c r="G244" s="4" t="s">
        <v>31</v>
      </c>
      <c r="H244" s="4">
        <v>7</v>
      </c>
      <c r="I244" s="4">
        <v>4</v>
      </c>
      <c r="J244" s="1">
        <v>45396</v>
      </c>
      <c r="K244" s="2">
        <v>4.160648148148148E-2</v>
      </c>
      <c r="M244" s="4" t="str">
        <f t="shared" si="9"/>
        <v>LOW</v>
      </c>
      <c r="N244" s="4" t="str" cm="1">
        <f t="array" ref="N244">_xlfn.IFS(C244&gt;35,"HIGH",C244&gt;25,"MIDDLE",TRUE,"LOW")</f>
        <v>MIDDLE</v>
      </c>
      <c r="O244" s="4" t="str">
        <f t="shared" si="10"/>
        <v>OTHERS</v>
      </c>
      <c r="P244" s="4" t="str">
        <f t="shared" si="11"/>
        <v>OTHERS</v>
      </c>
    </row>
    <row r="245" spans="1:16" x14ac:dyDescent="0.3">
      <c r="A245" s="4">
        <v>17</v>
      </c>
      <c r="B245" t="s">
        <v>11</v>
      </c>
      <c r="C245" s="4">
        <v>38.700000000000003</v>
      </c>
      <c r="D245" t="s">
        <v>12</v>
      </c>
      <c r="E245" t="s">
        <v>20</v>
      </c>
      <c r="F245" s="4" t="s">
        <v>23</v>
      </c>
      <c r="G245" s="4" t="s">
        <v>31</v>
      </c>
      <c r="H245" s="4">
        <v>7</v>
      </c>
      <c r="I245" s="4">
        <v>4</v>
      </c>
      <c r="J245" s="1">
        <v>45396</v>
      </c>
      <c r="K245" s="2">
        <v>5.2546296296296293E-4</v>
      </c>
      <c r="M245" s="4" t="str">
        <f t="shared" si="9"/>
        <v>HIGH</v>
      </c>
      <c r="N245" s="4" t="str" cm="1">
        <f t="array" ref="N245">_xlfn.IFS(C245&gt;35,"HIGH",C245&gt;25,"MIDDLE",TRUE,"LOW")</f>
        <v>HIGH</v>
      </c>
      <c r="O245" s="4" t="str">
        <f t="shared" si="10"/>
        <v>OTHERS</v>
      </c>
      <c r="P245" s="4" t="str">
        <f t="shared" si="11"/>
        <v>PREMINUM MORNING</v>
      </c>
    </row>
    <row r="246" spans="1:16" x14ac:dyDescent="0.3">
      <c r="A246" s="4">
        <v>18</v>
      </c>
      <c r="B246" t="s">
        <v>11</v>
      </c>
      <c r="C246" s="4">
        <v>38.700000000000003</v>
      </c>
      <c r="D246" t="s">
        <v>29</v>
      </c>
      <c r="E246" t="s">
        <v>20</v>
      </c>
      <c r="F246" s="4" t="s">
        <v>23</v>
      </c>
      <c r="G246" s="4" t="s">
        <v>31</v>
      </c>
      <c r="H246" s="4">
        <v>7</v>
      </c>
      <c r="I246" s="4">
        <v>4</v>
      </c>
      <c r="J246" s="1">
        <v>45396</v>
      </c>
      <c r="K246" s="2">
        <v>2.6615740740740738E-2</v>
      </c>
      <c r="M246" s="4" t="str">
        <f t="shared" si="9"/>
        <v>HIGH</v>
      </c>
      <c r="N246" s="4" t="str" cm="1">
        <f t="array" ref="N246">_xlfn.IFS(C246&gt;35,"HIGH",C246&gt;25,"MIDDLE",TRUE,"LOW")</f>
        <v>HIGH</v>
      </c>
      <c r="O246" s="4" t="str">
        <f t="shared" si="10"/>
        <v>OTHERS</v>
      </c>
      <c r="P246" s="4" t="str">
        <f t="shared" si="11"/>
        <v>PREMINUM MORNING</v>
      </c>
    </row>
    <row r="247" spans="1:16" x14ac:dyDescent="0.3">
      <c r="A247" s="4">
        <v>11</v>
      </c>
      <c r="B247" t="s">
        <v>11</v>
      </c>
      <c r="C247" s="4">
        <v>28.9</v>
      </c>
      <c r="D247" t="s">
        <v>18</v>
      </c>
      <c r="E247" t="s">
        <v>13</v>
      </c>
      <c r="F247" s="4" t="s">
        <v>25</v>
      </c>
      <c r="G247" s="4" t="s">
        <v>31</v>
      </c>
      <c r="H247" s="4">
        <v>1</v>
      </c>
      <c r="I247" s="4">
        <v>4</v>
      </c>
      <c r="J247" s="1">
        <v>45397</v>
      </c>
      <c r="K247" s="2">
        <v>3.1534722222222221E-2</v>
      </c>
      <c r="M247" s="4" t="str">
        <f t="shared" si="9"/>
        <v>LOW</v>
      </c>
      <c r="N247" s="4" t="str" cm="1">
        <f t="array" ref="N247">_xlfn.IFS(C247&gt;35,"HIGH",C247&gt;25,"MIDDLE",TRUE,"LOW")</f>
        <v>MIDDLE</v>
      </c>
      <c r="O247" s="4" t="str">
        <f t="shared" si="10"/>
        <v>OTHERS</v>
      </c>
      <c r="P247" s="4" t="str">
        <f t="shared" si="11"/>
        <v>PREMINUM MORNING</v>
      </c>
    </row>
    <row r="248" spans="1:16" x14ac:dyDescent="0.3">
      <c r="A248" s="4">
        <v>17</v>
      </c>
      <c r="B248" t="s">
        <v>11</v>
      </c>
      <c r="C248" s="4">
        <v>28.9</v>
      </c>
      <c r="D248" t="s">
        <v>18</v>
      </c>
      <c r="E248" t="s">
        <v>20</v>
      </c>
      <c r="F248" s="4" t="s">
        <v>25</v>
      </c>
      <c r="G248" s="4" t="s">
        <v>31</v>
      </c>
      <c r="H248" s="4">
        <v>1</v>
      </c>
      <c r="I248" s="4">
        <v>4</v>
      </c>
      <c r="J248" s="1">
        <v>45397</v>
      </c>
      <c r="K248" s="2">
        <v>1.2314814814814816E-3</v>
      </c>
      <c r="M248" s="4" t="str">
        <f t="shared" si="9"/>
        <v>LOW</v>
      </c>
      <c r="N248" s="4" t="str" cm="1">
        <f t="array" ref="N248">_xlfn.IFS(C248&gt;35,"HIGH",C248&gt;25,"MIDDLE",TRUE,"LOW")</f>
        <v>MIDDLE</v>
      </c>
      <c r="O248" s="4" t="str">
        <f t="shared" si="10"/>
        <v>OTHERS</v>
      </c>
      <c r="P248" s="4" t="str">
        <f t="shared" si="11"/>
        <v>OTHERS</v>
      </c>
    </row>
    <row r="249" spans="1:16" x14ac:dyDescent="0.3">
      <c r="A249" s="4">
        <v>17</v>
      </c>
      <c r="B249" t="s">
        <v>11</v>
      </c>
      <c r="C249" s="4">
        <v>33.799999999999997</v>
      </c>
      <c r="D249" t="s">
        <v>19</v>
      </c>
      <c r="E249" t="s">
        <v>20</v>
      </c>
      <c r="F249" s="4" t="s">
        <v>25</v>
      </c>
      <c r="G249" s="4" t="s">
        <v>31</v>
      </c>
      <c r="H249" s="4">
        <v>1</v>
      </c>
      <c r="I249" s="4">
        <v>4</v>
      </c>
      <c r="J249" s="1">
        <v>45397</v>
      </c>
      <c r="K249" s="2">
        <v>1.9641203703703704E-3</v>
      </c>
      <c r="M249" s="4" t="str">
        <f t="shared" si="9"/>
        <v>LOW</v>
      </c>
      <c r="N249" s="4" t="str" cm="1">
        <f t="array" ref="N249">_xlfn.IFS(C249&gt;35,"HIGH",C249&gt;25,"MIDDLE",TRUE,"LOW")</f>
        <v>MIDDLE</v>
      </c>
      <c r="O249" s="4" t="str">
        <f t="shared" si="10"/>
        <v>OTHERS</v>
      </c>
      <c r="P249" s="4" t="str">
        <f t="shared" si="11"/>
        <v>OTHERS</v>
      </c>
    </row>
    <row r="250" spans="1:16" x14ac:dyDescent="0.3">
      <c r="A250" s="4">
        <v>19</v>
      </c>
      <c r="B250" t="s">
        <v>11</v>
      </c>
      <c r="C250" s="4">
        <v>33.799999999999997</v>
      </c>
      <c r="D250" t="s">
        <v>19</v>
      </c>
      <c r="E250" t="s">
        <v>20</v>
      </c>
      <c r="F250" s="4" t="s">
        <v>25</v>
      </c>
      <c r="G250" s="4" t="s">
        <v>31</v>
      </c>
      <c r="H250" s="4">
        <v>1</v>
      </c>
      <c r="I250" s="4">
        <v>4</v>
      </c>
      <c r="J250" s="1">
        <v>45397</v>
      </c>
      <c r="K250" s="2">
        <v>2.2951388888888889E-2</v>
      </c>
      <c r="M250" s="4" t="str">
        <f t="shared" si="9"/>
        <v>LOW</v>
      </c>
      <c r="N250" s="4" t="str" cm="1">
        <f t="array" ref="N250">_xlfn.IFS(C250&gt;35,"HIGH",C250&gt;25,"MIDDLE",TRUE,"LOW")</f>
        <v>MIDDLE</v>
      </c>
      <c r="O250" s="4" t="str">
        <f t="shared" si="10"/>
        <v>OTHERS</v>
      </c>
      <c r="P250" s="4" t="str">
        <f t="shared" si="11"/>
        <v>OTHERS</v>
      </c>
    </row>
    <row r="251" spans="1:16" x14ac:dyDescent="0.3">
      <c r="A251" s="4">
        <v>10</v>
      </c>
      <c r="B251" t="s">
        <v>11</v>
      </c>
      <c r="C251" s="4">
        <v>33.799999999999997</v>
      </c>
      <c r="D251" t="s">
        <v>19</v>
      </c>
      <c r="E251" t="s">
        <v>13</v>
      </c>
      <c r="F251" s="4" t="s">
        <v>27</v>
      </c>
      <c r="G251" s="4" t="s">
        <v>31</v>
      </c>
      <c r="H251" s="4">
        <v>2</v>
      </c>
      <c r="I251" s="4">
        <v>4</v>
      </c>
      <c r="J251" s="1">
        <v>45398</v>
      </c>
      <c r="K251" s="2">
        <v>3.2241898148148145E-2</v>
      </c>
      <c r="M251" s="4" t="str">
        <f t="shared" si="9"/>
        <v>LOW</v>
      </c>
      <c r="N251" s="4" t="str" cm="1">
        <f t="array" ref="N251">_xlfn.IFS(C251&gt;35,"HIGH",C251&gt;25,"MIDDLE",TRUE,"LOW")</f>
        <v>MIDDLE</v>
      </c>
      <c r="O251" s="4" t="str">
        <f t="shared" si="10"/>
        <v>OTHERS</v>
      </c>
      <c r="P251" s="4" t="str">
        <f t="shared" si="11"/>
        <v>PREMINUM MORNING</v>
      </c>
    </row>
    <row r="252" spans="1:16" x14ac:dyDescent="0.3">
      <c r="A252" s="4">
        <v>12</v>
      </c>
      <c r="B252" t="s">
        <v>11</v>
      </c>
      <c r="C252" s="4">
        <v>38.700000000000003</v>
      </c>
      <c r="D252" t="s">
        <v>21</v>
      </c>
      <c r="E252" t="s">
        <v>17</v>
      </c>
      <c r="F252" s="4" t="s">
        <v>27</v>
      </c>
      <c r="G252" s="4" t="s">
        <v>31</v>
      </c>
      <c r="H252" s="4">
        <v>2</v>
      </c>
      <c r="I252" s="4">
        <v>4</v>
      </c>
      <c r="J252" s="1">
        <v>45398</v>
      </c>
      <c r="K252" s="2">
        <v>2.8329861111111108E-2</v>
      </c>
      <c r="M252" s="4" t="str">
        <f t="shared" si="9"/>
        <v>HIGH</v>
      </c>
      <c r="N252" s="4" t="str" cm="1">
        <f t="array" ref="N252">_xlfn.IFS(C252&gt;35,"HIGH",C252&gt;25,"MIDDLE",TRUE,"LOW")</f>
        <v>HIGH</v>
      </c>
      <c r="O252" s="4" t="str">
        <f t="shared" si="10"/>
        <v>OTHERS</v>
      </c>
      <c r="P252" s="4" t="str">
        <f t="shared" si="11"/>
        <v>PREMINUM MORNING</v>
      </c>
    </row>
    <row r="253" spans="1:16" x14ac:dyDescent="0.3">
      <c r="A253" s="4">
        <v>12</v>
      </c>
      <c r="B253" t="s">
        <v>11</v>
      </c>
      <c r="C253" s="4">
        <v>28.9</v>
      </c>
      <c r="D253" t="s">
        <v>24</v>
      </c>
      <c r="E253" t="s">
        <v>17</v>
      </c>
      <c r="F253" s="4" t="s">
        <v>27</v>
      </c>
      <c r="G253" s="4" t="s">
        <v>31</v>
      </c>
      <c r="H253" s="4">
        <v>2</v>
      </c>
      <c r="I253" s="4">
        <v>4</v>
      </c>
      <c r="J253" s="1">
        <v>45398</v>
      </c>
      <c r="K253" s="2">
        <v>3.6201388888888894E-2</v>
      </c>
      <c r="M253" s="4" t="str">
        <f t="shared" si="9"/>
        <v>LOW</v>
      </c>
      <c r="N253" s="4" t="str" cm="1">
        <f t="array" ref="N253">_xlfn.IFS(C253&gt;35,"HIGH",C253&gt;25,"MIDDLE",TRUE,"LOW")</f>
        <v>MIDDLE</v>
      </c>
      <c r="O253" s="4" t="str">
        <f t="shared" si="10"/>
        <v>OTHERS</v>
      </c>
      <c r="P253" s="4" t="str">
        <f t="shared" si="11"/>
        <v>OTHERS</v>
      </c>
    </row>
    <row r="254" spans="1:16" x14ac:dyDescent="0.3">
      <c r="A254" s="4">
        <v>15</v>
      </c>
      <c r="B254" t="s">
        <v>11</v>
      </c>
      <c r="C254" s="4">
        <v>28.9</v>
      </c>
      <c r="D254" t="s">
        <v>18</v>
      </c>
      <c r="E254" t="s">
        <v>17</v>
      </c>
      <c r="F254" s="4" t="s">
        <v>27</v>
      </c>
      <c r="G254" s="4" t="s">
        <v>31</v>
      </c>
      <c r="H254" s="4">
        <v>2</v>
      </c>
      <c r="I254" s="4">
        <v>4</v>
      </c>
      <c r="J254" s="1">
        <v>45398</v>
      </c>
      <c r="K254" s="2">
        <v>2.2789351851851851E-3</v>
      </c>
      <c r="M254" s="4" t="str">
        <f t="shared" si="9"/>
        <v>LOW</v>
      </c>
      <c r="N254" s="4" t="str" cm="1">
        <f t="array" ref="N254">_xlfn.IFS(C254&gt;35,"HIGH",C254&gt;25,"MIDDLE",TRUE,"LOW")</f>
        <v>MIDDLE</v>
      </c>
      <c r="O254" s="4" t="str">
        <f t="shared" si="10"/>
        <v>OTHERS</v>
      </c>
      <c r="P254" s="4" t="str">
        <f t="shared" si="11"/>
        <v>OTHERS</v>
      </c>
    </row>
    <row r="255" spans="1:16" x14ac:dyDescent="0.3">
      <c r="A255" s="4">
        <v>17</v>
      </c>
      <c r="B255" t="s">
        <v>11</v>
      </c>
      <c r="C255" s="4">
        <v>33.799999999999997</v>
      </c>
      <c r="D255" t="s">
        <v>19</v>
      </c>
      <c r="E255" t="s">
        <v>20</v>
      </c>
      <c r="F255" s="4" t="s">
        <v>27</v>
      </c>
      <c r="G255" s="4" t="s">
        <v>31</v>
      </c>
      <c r="H255" s="4">
        <v>2</v>
      </c>
      <c r="I255" s="4">
        <v>4</v>
      </c>
      <c r="J255" s="1">
        <v>45398</v>
      </c>
      <c r="K255" s="2">
        <v>2.9215277777777774E-2</v>
      </c>
      <c r="M255" s="4" t="str">
        <f t="shared" si="9"/>
        <v>LOW</v>
      </c>
      <c r="N255" s="4" t="str" cm="1">
        <f t="array" ref="N255">_xlfn.IFS(C255&gt;35,"HIGH",C255&gt;25,"MIDDLE",TRUE,"LOW")</f>
        <v>MIDDLE</v>
      </c>
      <c r="O255" s="4" t="str">
        <f t="shared" si="10"/>
        <v>OTHERS</v>
      </c>
      <c r="P255" s="4" t="str">
        <f t="shared" si="11"/>
        <v>OTHERS</v>
      </c>
    </row>
    <row r="256" spans="1:16" x14ac:dyDescent="0.3">
      <c r="A256" s="4">
        <v>17</v>
      </c>
      <c r="B256" t="s">
        <v>11</v>
      </c>
      <c r="C256" s="4">
        <v>38.700000000000003</v>
      </c>
      <c r="D256" t="s">
        <v>29</v>
      </c>
      <c r="E256" t="s">
        <v>20</v>
      </c>
      <c r="F256" s="4" t="s">
        <v>27</v>
      </c>
      <c r="G256" s="4" t="s">
        <v>31</v>
      </c>
      <c r="H256" s="4">
        <v>2</v>
      </c>
      <c r="I256" s="4">
        <v>4</v>
      </c>
      <c r="J256" s="1">
        <v>45398</v>
      </c>
      <c r="K256" s="2">
        <v>3.0127314814814815E-2</v>
      </c>
      <c r="M256" s="4" t="str">
        <f t="shared" si="9"/>
        <v>HIGH</v>
      </c>
      <c r="N256" s="4" t="str" cm="1">
        <f t="array" ref="N256">_xlfn.IFS(C256&gt;35,"HIGH",C256&gt;25,"MIDDLE",TRUE,"LOW")</f>
        <v>HIGH</v>
      </c>
      <c r="O256" s="4" t="str">
        <f t="shared" si="10"/>
        <v>OTHERS</v>
      </c>
      <c r="P256" s="4" t="str">
        <f t="shared" si="11"/>
        <v>PREMINUM MORNING</v>
      </c>
    </row>
    <row r="257" spans="1:16" x14ac:dyDescent="0.3">
      <c r="A257" s="4">
        <v>18</v>
      </c>
      <c r="B257" t="s">
        <v>11</v>
      </c>
      <c r="C257" s="4">
        <v>38.700000000000003</v>
      </c>
      <c r="D257" t="s">
        <v>21</v>
      </c>
      <c r="E257" t="s">
        <v>20</v>
      </c>
      <c r="F257" s="4" t="s">
        <v>27</v>
      </c>
      <c r="G257" s="4" t="s">
        <v>31</v>
      </c>
      <c r="H257" s="4">
        <v>2</v>
      </c>
      <c r="I257" s="4">
        <v>4</v>
      </c>
      <c r="J257" s="1">
        <v>45398</v>
      </c>
      <c r="K257" s="2">
        <v>6.3113425925925924E-3</v>
      </c>
      <c r="M257" s="4" t="str">
        <f t="shared" si="9"/>
        <v>HIGH</v>
      </c>
      <c r="N257" s="4" t="str" cm="1">
        <f t="array" ref="N257">_xlfn.IFS(C257&gt;35,"HIGH",C257&gt;25,"MIDDLE",TRUE,"LOW")</f>
        <v>HIGH</v>
      </c>
      <c r="O257" s="4" t="str">
        <f t="shared" si="10"/>
        <v>OTHERS</v>
      </c>
      <c r="P257" s="4" t="str">
        <f t="shared" si="11"/>
        <v>PREMINUM MORNING</v>
      </c>
    </row>
    <row r="258" spans="1:16" x14ac:dyDescent="0.3">
      <c r="A258" s="4">
        <v>13</v>
      </c>
      <c r="B258" t="s">
        <v>11</v>
      </c>
      <c r="C258" s="4">
        <v>28.9</v>
      </c>
      <c r="D258" t="s">
        <v>18</v>
      </c>
      <c r="E258" t="s">
        <v>17</v>
      </c>
      <c r="F258" s="4" t="s">
        <v>28</v>
      </c>
      <c r="G258" s="4" t="s">
        <v>31</v>
      </c>
      <c r="H258" s="4">
        <v>3</v>
      </c>
      <c r="I258" s="4">
        <v>4</v>
      </c>
      <c r="J258" s="1">
        <v>45399</v>
      </c>
      <c r="K258" s="2">
        <v>2.2914351851851852E-2</v>
      </c>
      <c r="M258" s="4" t="str">
        <f t="shared" si="9"/>
        <v>LOW</v>
      </c>
      <c r="N258" s="4" t="str" cm="1">
        <f t="array" ref="N258">_xlfn.IFS(C258&gt;35,"HIGH",C258&gt;25,"MIDDLE",TRUE,"LOW")</f>
        <v>MIDDLE</v>
      </c>
      <c r="O258" s="4" t="str">
        <f t="shared" si="10"/>
        <v>OTHERS</v>
      </c>
      <c r="P258" s="4" t="str">
        <f t="shared" si="11"/>
        <v>OTHERS</v>
      </c>
    </row>
    <row r="259" spans="1:16" x14ac:dyDescent="0.3">
      <c r="A259" s="4">
        <v>13</v>
      </c>
      <c r="B259" t="s">
        <v>11</v>
      </c>
      <c r="C259" s="4">
        <v>24</v>
      </c>
      <c r="D259" t="s">
        <v>26</v>
      </c>
      <c r="E259" t="s">
        <v>17</v>
      </c>
      <c r="F259" s="4" t="s">
        <v>28</v>
      </c>
      <c r="G259" s="4" t="s">
        <v>31</v>
      </c>
      <c r="H259" s="4">
        <v>3</v>
      </c>
      <c r="I259" s="4">
        <v>4</v>
      </c>
      <c r="J259" s="1">
        <v>45399</v>
      </c>
      <c r="K259" s="2">
        <v>3.0557870370370367E-2</v>
      </c>
      <c r="M259" s="4" t="str">
        <f t="shared" ref="M259:M322" si="12">IF(C259&gt;35,"HIGH","LOW")</f>
        <v>LOW</v>
      </c>
      <c r="N259" s="4" t="str" cm="1">
        <f t="array" ref="N259">_xlfn.IFS(C259&gt;35,"HIGH",C259&gt;25,"MIDDLE",TRUE,"LOW")</f>
        <v>LOW</v>
      </c>
      <c r="O259" s="4" t="str">
        <f t="shared" ref="O259:O322" si="13">IF(AND(C259&gt;35,E259="MORNING"),"PREMINUM MORNING","OTHERS")</f>
        <v>OTHERS</v>
      </c>
      <c r="P259" s="4" t="str">
        <f t="shared" ref="P259:P322" si="14">IF(OR(C259&gt;35,E259="MORNING"),"PREMINUM MORNING","OTHERS")</f>
        <v>OTHERS</v>
      </c>
    </row>
    <row r="260" spans="1:16" x14ac:dyDescent="0.3">
      <c r="A260" s="4">
        <v>17</v>
      </c>
      <c r="B260" t="s">
        <v>11</v>
      </c>
      <c r="C260" s="4">
        <v>38.700000000000003</v>
      </c>
      <c r="D260" t="s">
        <v>29</v>
      </c>
      <c r="E260" t="s">
        <v>20</v>
      </c>
      <c r="F260" s="4" t="s">
        <v>28</v>
      </c>
      <c r="G260" s="4" t="s">
        <v>31</v>
      </c>
      <c r="H260" s="4">
        <v>3</v>
      </c>
      <c r="I260" s="4">
        <v>4</v>
      </c>
      <c r="J260" s="1">
        <v>45399</v>
      </c>
      <c r="K260" s="2">
        <v>1.1006944444444443E-3</v>
      </c>
      <c r="M260" s="4" t="str">
        <f t="shared" si="12"/>
        <v>HIGH</v>
      </c>
      <c r="N260" s="4" t="str" cm="1">
        <f t="array" ref="N260">_xlfn.IFS(C260&gt;35,"HIGH",C260&gt;25,"MIDDLE",TRUE,"LOW")</f>
        <v>HIGH</v>
      </c>
      <c r="O260" s="4" t="str">
        <f t="shared" si="13"/>
        <v>OTHERS</v>
      </c>
      <c r="P260" s="4" t="str">
        <f t="shared" si="14"/>
        <v>PREMINUM MORNING</v>
      </c>
    </row>
    <row r="261" spans="1:16" x14ac:dyDescent="0.3">
      <c r="A261" s="4">
        <v>17</v>
      </c>
      <c r="B261" t="s">
        <v>11</v>
      </c>
      <c r="C261" s="4">
        <v>38.700000000000003</v>
      </c>
      <c r="D261" t="s">
        <v>29</v>
      </c>
      <c r="E261" t="s">
        <v>20</v>
      </c>
      <c r="F261" s="4" t="s">
        <v>28</v>
      </c>
      <c r="G261" s="4" t="s">
        <v>31</v>
      </c>
      <c r="H261" s="4">
        <v>3</v>
      </c>
      <c r="I261" s="4">
        <v>4</v>
      </c>
      <c r="J261" s="1">
        <v>45399</v>
      </c>
      <c r="K261" s="2">
        <v>1.8599537037037035E-3</v>
      </c>
      <c r="M261" s="4" t="str">
        <f t="shared" si="12"/>
        <v>HIGH</v>
      </c>
      <c r="N261" s="4" t="str" cm="1">
        <f t="array" ref="N261">_xlfn.IFS(C261&gt;35,"HIGH",C261&gt;25,"MIDDLE",TRUE,"LOW")</f>
        <v>HIGH</v>
      </c>
      <c r="O261" s="4" t="str">
        <f t="shared" si="13"/>
        <v>OTHERS</v>
      </c>
      <c r="P261" s="4" t="str">
        <f t="shared" si="14"/>
        <v>PREMINUM MORNING</v>
      </c>
    </row>
    <row r="262" spans="1:16" x14ac:dyDescent="0.3">
      <c r="A262" s="4">
        <v>18</v>
      </c>
      <c r="B262" t="s">
        <v>11</v>
      </c>
      <c r="C262" s="4">
        <v>28.9</v>
      </c>
      <c r="D262" t="s">
        <v>24</v>
      </c>
      <c r="E262" t="s">
        <v>20</v>
      </c>
      <c r="F262" s="4" t="s">
        <v>28</v>
      </c>
      <c r="G262" s="4" t="s">
        <v>31</v>
      </c>
      <c r="H262" s="4">
        <v>3</v>
      </c>
      <c r="I262" s="4">
        <v>4</v>
      </c>
      <c r="J262" s="1">
        <v>45399</v>
      </c>
      <c r="K262" s="2">
        <v>9.7592592592592592E-3</v>
      </c>
      <c r="M262" s="4" t="str">
        <f t="shared" si="12"/>
        <v>LOW</v>
      </c>
      <c r="N262" s="4" t="str" cm="1">
        <f t="array" ref="N262">_xlfn.IFS(C262&gt;35,"HIGH",C262&gt;25,"MIDDLE",TRUE,"LOW")</f>
        <v>MIDDLE</v>
      </c>
      <c r="O262" s="4" t="str">
        <f t="shared" si="13"/>
        <v>OTHERS</v>
      </c>
      <c r="P262" s="4" t="str">
        <f t="shared" si="14"/>
        <v>OTHERS</v>
      </c>
    </row>
    <row r="263" spans="1:16" x14ac:dyDescent="0.3">
      <c r="A263" s="4">
        <v>11</v>
      </c>
      <c r="B263" t="s">
        <v>11</v>
      </c>
      <c r="C263" s="4">
        <v>28.9</v>
      </c>
      <c r="D263" t="s">
        <v>18</v>
      </c>
      <c r="E263" t="s">
        <v>13</v>
      </c>
      <c r="F263" s="4" t="s">
        <v>30</v>
      </c>
      <c r="G263" s="4" t="s">
        <v>31</v>
      </c>
      <c r="H263" s="4">
        <v>4</v>
      </c>
      <c r="I263" s="4">
        <v>4</v>
      </c>
      <c r="J263" s="1">
        <v>45400</v>
      </c>
      <c r="K263" s="2">
        <v>1.3214120370370371E-2</v>
      </c>
      <c r="M263" s="4" t="str">
        <f t="shared" si="12"/>
        <v>LOW</v>
      </c>
      <c r="N263" s="4" t="str" cm="1">
        <f t="array" ref="N263">_xlfn.IFS(C263&gt;35,"HIGH",C263&gt;25,"MIDDLE",TRUE,"LOW")</f>
        <v>MIDDLE</v>
      </c>
      <c r="O263" s="4" t="str">
        <f t="shared" si="13"/>
        <v>OTHERS</v>
      </c>
      <c r="P263" s="4" t="str">
        <f t="shared" si="14"/>
        <v>PREMINUM MORNING</v>
      </c>
    </row>
    <row r="264" spans="1:16" x14ac:dyDescent="0.3">
      <c r="A264" s="4">
        <v>11</v>
      </c>
      <c r="B264" t="s">
        <v>11</v>
      </c>
      <c r="C264" s="4">
        <v>28.9</v>
      </c>
      <c r="D264" t="s">
        <v>18</v>
      </c>
      <c r="E264" t="s">
        <v>13</v>
      </c>
      <c r="F264" s="4" t="s">
        <v>30</v>
      </c>
      <c r="G264" s="4" t="s">
        <v>31</v>
      </c>
      <c r="H264" s="4">
        <v>4</v>
      </c>
      <c r="I264" s="4">
        <v>4</v>
      </c>
      <c r="J264" s="1">
        <v>45400</v>
      </c>
      <c r="K264" s="2">
        <v>1.3954861111111112E-2</v>
      </c>
      <c r="M264" s="4" t="str">
        <f t="shared" si="12"/>
        <v>LOW</v>
      </c>
      <c r="N264" s="4" t="str" cm="1">
        <f t="array" ref="N264">_xlfn.IFS(C264&gt;35,"HIGH",C264&gt;25,"MIDDLE",TRUE,"LOW")</f>
        <v>MIDDLE</v>
      </c>
      <c r="O264" s="4" t="str">
        <f t="shared" si="13"/>
        <v>OTHERS</v>
      </c>
      <c r="P264" s="4" t="str">
        <f t="shared" si="14"/>
        <v>PREMINUM MORNING</v>
      </c>
    </row>
    <row r="265" spans="1:16" x14ac:dyDescent="0.3">
      <c r="A265" s="4">
        <v>13</v>
      </c>
      <c r="B265" t="s">
        <v>11</v>
      </c>
      <c r="C265" s="4">
        <v>33.799999999999997</v>
      </c>
      <c r="D265" t="s">
        <v>19</v>
      </c>
      <c r="E265" t="s">
        <v>17</v>
      </c>
      <c r="F265" s="4" t="s">
        <v>30</v>
      </c>
      <c r="G265" s="4" t="s">
        <v>31</v>
      </c>
      <c r="H265" s="4">
        <v>4</v>
      </c>
      <c r="I265" s="4">
        <v>4</v>
      </c>
      <c r="J265" s="1">
        <v>45400</v>
      </c>
      <c r="K265" s="2">
        <v>3.4174768518518514E-2</v>
      </c>
      <c r="M265" s="4" t="str">
        <f t="shared" si="12"/>
        <v>LOW</v>
      </c>
      <c r="N265" s="4" t="str" cm="1">
        <f t="array" ref="N265">_xlfn.IFS(C265&gt;35,"HIGH",C265&gt;25,"MIDDLE",TRUE,"LOW")</f>
        <v>MIDDLE</v>
      </c>
      <c r="O265" s="4" t="str">
        <f t="shared" si="13"/>
        <v>OTHERS</v>
      </c>
      <c r="P265" s="4" t="str">
        <f t="shared" si="14"/>
        <v>OTHERS</v>
      </c>
    </row>
    <row r="266" spans="1:16" x14ac:dyDescent="0.3">
      <c r="A266" s="4">
        <v>13</v>
      </c>
      <c r="B266" t="s">
        <v>11</v>
      </c>
      <c r="C266" s="4">
        <v>28.9</v>
      </c>
      <c r="D266" t="s">
        <v>24</v>
      </c>
      <c r="E266" t="s">
        <v>17</v>
      </c>
      <c r="F266" s="4" t="s">
        <v>30</v>
      </c>
      <c r="G266" s="4" t="s">
        <v>31</v>
      </c>
      <c r="H266" s="4">
        <v>4</v>
      </c>
      <c r="I266" s="4">
        <v>4</v>
      </c>
      <c r="J266" s="1">
        <v>45400</v>
      </c>
      <c r="K266" s="2">
        <v>3.4922453703703706E-2</v>
      </c>
      <c r="M266" s="4" t="str">
        <f t="shared" si="12"/>
        <v>LOW</v>
      </c>
      <c r="N266" s="4" t="str" cm="1">
        <f t="array" ref="N266">_xlfn.IFS(C266&gt;35,"HIGH",C266&gt;25,"MIDDLE",TRUE,"LOW")</f>
        <v>MIDDLE</v>
      </c>
      <c r="O266" s="4" t="str">
        <f t="shared" si="13"/>
        <v>OTHERS</v>
      </c>
      <c r="P266" s="4" t="str">
        <f t="shared" si="14"/>
        <v>OTHERS</v>
      </c>
    </row>
    <row r="267" spans="1:16" x14ac:dyDescent="0.3">
      <c r="A267" s="4">
        <v>14</v>
      </c>
      <c r="B267" t="s">
        <v>11</v>
      </c>
      <c r="C267" s="4">
        <v>38.700000000000003</v>
      </c>
      <c r="D267" t="s">
        <v>29</v>
      </c>
      <c r="E267" t="s">
        <v>17</v>
      </c>
      <c r="F267" s="4" t="s">
        <v>30</v>
      </c>
      <c r="G267" s="4" t="s">
        <v>31</v>
      </c>
      <c r="H267" s="4">
        <v>4</v>
      </c>
      <c r="I267" s="4">
        <v>4</v>
      </c>
      <c r="J267" s="1">
        <v>45400</v>
      </c>
      <c r="K267" s="2">
        <v>2.384027777777778E-2</v>
      </c>
      <c r="M267" s="4" t="str">
        <f t="shared" si="12"/>
        <v>HIGH</v>
      </c>
      <c r="N267" s="4" t="str" cm="1">
        <f t="array" ref="N267">_xlfn.IFS(C267&gt;35,"HIGH",C267&gt;25,"MIDDLE",TRUE,"LOW")</f>
        <v>HIGH</v>
      </c>
      <c r="O267" s="4" t="str">
        <f t="shared" si="13"/>
        <v>OTHERS</v>
      </c>
      <c r="P267" s="4" t="str">
        <f t="shared" si="14"/>
        <v>PREMINUM MORNING</v>
      </c>
    </row>
    <row r="268" spans="1:16" x14ac:dyDescent="0.3">
      <c r="A268" s="4">
        <v>14</v>
      </c>
      <c r="B268" t="s">
        <v>11</v>
      </c>
      <c r="C268" s="4">
        <v>38.700000000000003</v>
      </c>
      <c r="D268" t="s">
        <v>12</v>
      </c>
      <c r="E268" t="s">
        <v>17</v>
      </c>
      <c r="F268" s="4" t="s">
        <v>30</v>
      </c>
      <c r="G268" s="4" t="s">
        <v>31</v>
      </c>
      <c r="H268" s="4">
        <v>4</v>
      </c>
      <c r="I268" s="4">
        <v>4</v>
      </c>
      <c r="J268" s="1">
        <v>45400</v>
      </c>
      <c r="K268" s="2">
        <v>2.4877314814814817E-2</v>
      </c>
      <c r="M268" s="4" t="str">
        <f t="shared" si="12"/>
        <v>HIGH</v>
      </c>
      <c r="N268" s="4" t="str" cm="1">
        <f t="array" ref="N268">_xlfn.IFS(C268&gt;35,"HIGH",C268&gt;25,"MIDDLE",TRUE,"LOW")</f>
        <v>HIGH</v>
      </c>
      <c r="O268" s="4" t="str">
        <f t="shared" si="13"/>
        <v>OTHERS</v>
      </c>
      <c r="P268" s="4" t="str">
        <f t="shared" si="14"/>
        <v>PREMINUM MORNING</v>
      </c>
    </row>
    <row r="269" spans="1:16" x14ac:dyDescent="0.3">
      <c r="A269" s="4">
        <v>17</v>
      </c>
      <c r="B269" t="s">
        <v>11</v>
      </c>
      <c r="C269" s="4">
        <v>38.700000000000003</v>
      </c>
      <c r="D269" t="s">
        <v>12</v>
      </c>
      <c r="E269" t="s">
        <v>20</v>
      </c>
      <c r="F269" s="4" t="s">
        <v>30</v>
      </c>
      <c r="G269" s="4" t="s">
        <v>31</v>
      </c>
      <c r="H269" s="4">
        <v>4</v>
      </c>
      <c r="I269" s="4">
        <v>4</v>
      </c>
      <c r="J269" s="1">
        <v>45400</v>
      </c>
      <c r="K269" s="2">
        <v>3.0738425925925929E-2</v>
      </c>
      <c r="M269" s="4" t="str">
        <f t="shared" si="12"/>
        <v>HIGH</v>
      </c>
      <c r="N269" s="4" t="str" cm="1">
        <f t="array" ref="N269">_xlfn.IFS(C269&gt;35,"HIGH",C269&gt;25,"MIDDLE",TRUE,"LOW")</f>
        <v>HIGH</v>
      </c>
      <c r="O269" s="4" t="str">
        <f t="shared" si="13"/>
        <v>OTHERS</v>
      </c>
      <c r="P269" s="4" t="str">
        <f t="shared" si="14"/>
        <v>PREMINUM MORNING</v>
      </c>
    </row>
    <row r="270" spans="1:16" x14ac:dyDescent="0.3">
      <c r="A270" s="4">
        <v>18</v>
      </c>
      <c r="B270" t="s">
        <v>11</v>
      </c>
      <c r="C270" s="4">
        <v>38.700000000000003</v>
      </c>
      <c r="D270" t="s">
        <v>29</v>
      </c>
      <c r="E270" t="s">
        <v>20</v>
      </c>
      <c r="F270" s="4" t="s">
        <v>30</v>
      </c>
      <c r="G270" s="4" t="s">
        <v>31</v>
      </c>
      <c r="H270" s="4">
        <v>4</v>
      </c>
      <c r="I270" s="4">
        <v>4</v>
      </c>
      <c r="J270" s="1">
        <v>45400</v>
      </c>
      <c r="K270" s="2">
        <v>1.4651620370370372E-2</v>
      </c>
      <c r="M270" s="4" t="str">
        <f t="shared" si="12"/>
        <v>HIGH</v>
      </c>
      <c r="N270" s="4" t="str" cm="1">
        <f t="array" ref="N270">_xlfn.IFS(C270&gt;35,"HIGH",C270&gt;25,"MIDDLE",TRUE,"LOW")</f>
        <v>HIGH</v>
      </c>
      <c r="O270" s="4" t="str">
        <f t="shared" si="13"/>
        <v>OTHERS</v>
      </c>
      <c r="P270" s="4" t="str">
        <f t="shared" si="14"/>
        <v>PREMINUM MORNING</v>
      </c>
    </row>
    <row r="271" spans="1:16" x14ac:dyDescent="0.3">
      <c r="A271" s="4">
        <v>19</v>
      </c>
      <c r="B271" t="s">
        <v>11</v>
      </c>
      <c r="C271" s="4">
        <v>38.700000000000003</v>
      </c>
      <c r="D271" t="s">
        <v>16</v>
      </c>
      <c r="E271" t="s">
        <v>20</v>
      </c>
      <c r="F271" s="4" t="s">
        <v>30</v>
      </c>
      <c r="G271" s="4" t="s">
        <v>31</v>
      </c>
      <c r="H271" s="4">
        <v>4</v>
      </c>
      <c r="I271" s="4">
        <v>4</v>
      </c>
      <c r="J271" s="1">
        <v>45400</v>
      </c>
      <c r="K271" s="2">
        <v>2.7675925925925923E-2</v>
      </c>
      <c r="M271" s="4" t="str">
        <f t="shared" si="12"/>
        <v>HIGH</v>
      </c>
      <c r="N271" s="4" t="str" cm="1">
        <f t="array" ref="N271">_xlfn.IFS(C271&gt;35,"HIGH",C271&gt;25,"MIDDLE",TRUE,"LOW")</f>
        <v>HIGH</v>
      </c>
      <c r="O271" s="4" t="str">
        <f t="shared" si="13"/>
        <v>OTHERS</v>
      </c>
      <c r="P271" s="4" t="str">
        <f t="shared" si="14"/>
        <v>PREMINUM MORNING</v>
      </c>
    </row>
    <row r="272" spans="1:16" x14ac:dyDescent="0.3">
      <c r="A272" s="4">
        <v>19</v>
      </c>
      <c r="B272" t="s">
        <v>11</v>
      </c>
      <c r="C272" s="4">
        <v>38.700000000000003</v>
      </c>
      <c r="D272" t="s">
        <v>16</v>
      </c>
      <c r="E272" t="s">
        <v>20</v>
      </c>
      <c r="F272" s="4" t="s">
        <v>30</v>
      </c>
      <c r="G272" s="4" t="s">
        <v>31</v>
      </c>
      <c r="H272" s="4">
        <v>4</v>
      </c>
      <c r="I272" s="4">
        <v>4</v>
      </c>
      <c r="J272" s="1">
        <v>45400</v>
      </c>
      <c r="K272" s="2">
        <v>2.8344907407407409E-2</v>
      </c>
      <c r="M272" s="4" t="str">
        <f t="shared" si="12"/>
        <v>HIGH</v>
      </c>
      <c r="N272" s="4" t="str" cm="1">
        <f t="array" ref="N272">_xlfn.IFS(C272&gt;35,"HIGH",C272&gt;25,"MIDDLE",TRUE,"LOW")</f>
        <v>HIGH</v>
      </c>
      <c r="O272" s="4" t="str">
        <f t="shared" si="13"/>
        <v>OTHERS</v>
      </c>
      <c r="P272" s="4" t="str">
        <f t="shared" si="14"/>
        <v>PREMINUM MORNING</v>
      </c>
    </row>
    <row r="273" spans="1:16" x14ac:dyDescent="0.3">
      <c r="A273" s="4">
        <v>10</v>
      </c>
      <c r="B273" t="s">
        <v>11</v>
      </c>
      <c r="C273" s="4">
        <v>38.700000000000003</v>
      </c>
      <c r="D273" t="s">
        <v>12</v>
      </c>
      <c r="E273" t="s">
        <v>13</v>
      </c>
      <c r="F273" s="4" t="s">
        <v>14</v>
      </c>
      <c r="G273" s="4" t="s">
        <v>31</v>
      </c>
      <c r="H273" s="4">
        <v>5</v>
      </c>
      <c r="I273" s="4">
        <v>4</v>
      </c>
      <c r="J273" s="1">
        <v>45401</v>
      </c>
      <c r="K273" s="2">
        <v>7.3645833333333332E-3</v>
      </c>
      <c r="M273" s="4" t="str">
        <f t="shared" si="12"/>
        <v>HIGH</v>
      </c>
      <c r="N273" s="4" t="str" cm="1">
        <f t="array" ref="N273">_xlfn.IFS(C273&gt;35,"HIGH",C273&gt;25,"MIDDLE",TRUE,"LOW")</f>
        <v>HIGH</v>
      </c>
      <c r="O273" s="4" t="str">
        <f t="shared" si="13"/>
        <v>PREMINUM MORNING</v>
      </c>
      <c r="P273" s="4" t="str">
        <f t="shared" si="14"/>
        <v>PREMINUM MORNING</v>
      </c>
    </row>
    <row r="274" spans="1:16" x14ac:dyDescent="0.3">
      <c r="A274" s="4">
        <v>13</v>
      </c>
      <c r="B274" t="s">
        <v>11</v>
      </c>
      <c r="C274" s="4">
        <v>33.799999999999997</v>
      </c>
      <c r="D274" t="s">
        <v>19</v>
      </c>
      <c r="E274" t="s">
        <v>17</v>
      </c>
      <c r="F274" s="4" t="s">
        <v>14</v>
      </c>
      <c r="G274" s="4" t="s">
        <v>31</v>
      </c>
      <c r="H274" s="4">
        <v>5</v>
      </c>
      <c r="I274" s="4">
        <v>4</v>
      </c>
      <c r="J274" s="1">
        <v>45401</v>
      </c>
      <c r="K274" s="2">
        <v>8.1921296296296291E-3</v>
      </c>
      <c r="M274" s="4" t="str">
        <f t="shared" si="12"/>
        <v>LOW</v>
      </c>
      <c r="N274" s="4" t="str" cm="1">
        <f t="array" ref="N274">_xlfn.IFS(C274&gt;35,"HIGH",C274&gt;25,"MIDDLE",TRUE,"LOW")</f>
        <v>MIDDLE</v>
      </c>
      <c r="O274" s="4" t="str">
        <f t="shared" si="13"/>
        <v>OTHERS</v>
      </c>
      <c r="P274" s="4" t="str">
        <f t="shared" si="14"/>
        <v>OTHERS</v>
      </c>
    </row>
    <row r="275" spans="1:16" x14ac:dyDescent="0.3">
      <c r="A275" s="4">
        <v>13</v>
      </c>
      <c r="B275" t="s">
        <v>11</v>
      </c>
      <c r="C275" s="4">
        <v>38.700000000000003</v>
      </c>
      <c r="D275" t="s">
        <v>29</v>
      </c>
      <c r="E275" t="s">
        <v>17</v>
      </c>
      <c r="F275" s="4" t="s">
        <v>14</v>
      </c>
      <c r="G275" s="4" t="s">
        <v>31</v>
      </c>
      <c r="H275" s="4">
        <v>5</v>
      </c>
      <c r="I275" s="4">
        <v>4</v>
      </c>
      <c r="J275" s="1">
        <v>45401</v>
      </c>
      <c r="K275" s="2">
        <v>9.269675925925926E-3</v>
      </c>
      <c r="M275" s="4" t="str">
        <f t="shared" si="12"/>
        <v>HIGH</v>
      </c>
      <c r="N275" s="4" t="str" cm="1">
        <f t="array" ref="N275">_xlfn.IFS(C275&gt;35,"HIGH",C275&gt;25,"MIDDLE",TRUE,"LOW")</f>
        <v>HIGH</v>
      </c>
      <c r="O275" s="4" t="str">
        <f t="shared" si="13"/>
        <v>OTHERS</v>
      </c>
      <c r="P275" s="4" t="str">
        <f t="shared" si="14"/>
        <v>PREMINUM MORNING</v>
      </c>
    </row>
    <row r="276" spans="1:16" x14ac:dyDescent="0.3">
      <c r="A276" s="4">
        <v>13</v>
      </c>
      <c r="B276" t="s">
        <v>11</v>
      </c>
      <c r="C276" s="4">
        <v>38.700000000000003</v>
      </c>
      <c r="D276" t="s">
        <v>16</v>
      </c>
      <c r="E276" t="s">
        <v>17</v>
      </c>
      <c r="F276" s="4" t="s">
        <v>14</v>
      </c>
      <c r="G276" s="4" t="s">
        <v>31</v>
      </c>
      <c r="H276" s="4">
        <v>5</v>
      </c>
      <c r="I276" s="4">
        <v>4</v>
      </c>
      <c r="J276" s="1">
        <v>45401</v>
      </c>
      <c r="K276" s="2">
        <v>4.0903935185185182E-2</v>
      </c>
      <c r="M276" s="4" t="str">
        <f t="shared" si="12"/>
        <v>HIGH</v>
      </c>
      <c r="N276" s="4" t="str" cm="1">
        <f t="array" ref="N276">_xlfn.IFS(C276&gt;35,"HIGH",C276&gt;25,"MIDDLE",TRUE,"LOW")</f>
        <v>HIGH</v>
      </c>
      <c r="O276" s="4" t="str">
        <f t="shared" si="13"/>
        <v>OTHERS</v>
      </c>
      <c r="P276" s="4" t="str">
        <f t="shared" si="14"/>
        <v>PREMINUM MORNING</v>
      </c>
    </row>
    <row r="277" spans="1:16" x14ac:dyDescent="0.3">
      <c r="A277" s="4">
        <v>13</v>
      </c>
      <c r="B277" t="s">
        <v>11</v>
      </c>
      <c r="C277" s="4">
        <v>38.700000000000003</v>
      </c>
      <c r="D277" t="s">
        <v>29</v>
      </c>
      <c r="E277" t="s">
        <v>17</v>
      </c>
      <c r="F277" s="4" t="s">
        <v>14</v>
      </c>
      <c r="G277" s="4" t="s">
        <v>31</v>
      </c>
      <c r="H277" s="4">
        <v>5</v>
      </c>
      <c r="I277" s="4">
        <v>4</v>
      </c>
      <c r="J277" s="1">
        <v>45401</v>
      </c>
      <c r="K277" s="2">
        <v>4.1547453703703704E-2</v>
      </c>
      <c r="M277" s="4" t="str">
        <f t="shared" si="12"/>
        <v>HIGH</v>
      </c>
      <c r="N277" s="4" t="str" cm="1">
        <f t="array" ref="N277">_xlfn.IFS(C277&gt;35,"HIGH",C277&gt;25,"MIDDLE",TRUE,"LOW")</f>
        <v>HIGH</v>
      </c>
      <c r="O277" s="4" t="str">
        <f t="shared" si="13"/>
        <v>OTHERS</v>
      </c>
      <c r="P277" s="4" t="str">
        <f t="shared" si="14"/>
        <v>PREMINUM MORNING</v>
      </c>
    </row>
    <row r="278" spans="1:16" x14ac:dyDescent="0.3">
      <c r="A278" s="4">
        <v>18</v>
      </c>
      <c r="B278" t="s">
        <v>11</v>
      </c>
      <c r="C278" s="4">
        <v>38.700000000000003</v>
      </c>
      <c r="D278" t="s">
        <v>21</v>
      </c>
      <c r="E278" t="s">
        <v>20</v>
      </c>
      <c r="F278" s="4" t="s">
        <v>14</v>
      </c>
      <c r="G278" s="4" t="s">
        <v>31</v>
      </c>
      <c r="H278" s="4">
        <v>5</v>
      </c>
      <c r="I278" s="4">
        <v>4</v>
      </c>
      <c r="J278" s="1">
        <v>45401</v>
      </c>
      <c r="K278" s="2">
        <v>1.619560185185185E-2</v>
      </c>
      <c r="M278" s="4" t="str">
        <f t="shared" si="12"/>
        <v>HIGH</v>
      </c>
      <c r="N278" s="4" t="str" cm="1">
        <f t="array" ref="N278">_xlfn.IFS(C278&gt;35,"HIGH",C278&gt;25,"MIDDLE",TRUE,"LOW")</f>
        <v>HIGH</v>
      </c>
      <c r="O278" s="4" t="str">
        <f t="shared" si="13"/>
        <v>OTHERS</v>
      </c>
      <c r="P278" s="4" t="str">
        <f t="shared" si="14"/>
        <v>PREMINUM MORNING</v>
      </c>
    </row>
    <row r="279" spans="1:16" x14ac:dyDescent="0.3">
      <c r="A279" s="4">
        <v>18</v>
      </c>
      <c r="B279" t="s">
        <v>11</v>
      </c>
      <c r="C279" s="4">
        <v>33.799999999999997</v>
      </c>
      <c r="D279" t="s">
        <v>19</v>
      </c>
      <c r="E279" t="s">
        <v>20</v>
      </c>
      <c r="F279" s="4" t="s">
        <v>14</v>
      </c>
      <c r="G279" s="4" t="s">
        <v>31</v>
      </c>
      <c r="H279" s="4">
        <v>5</v>
      </c>
      <c r="I279" s="4">
        <v>4</v>
      </c>
      <c r="J279" s="1">
        <v>45401</v>
      </c>
      <c r="K279" s="2">
        <v>1.7747685185185186E-2</v>
      </c>
      <c r="M279" s="4" t="str">
        <f t="shared" si="12"/>
        <v>LOW</v>
      </c>
      <c r="N279" s="4" t="str" cm="1">
        <f t="array" ref="N279">_xlfn.IFS(C279&gt;35,"HIGH",C279&gt;25,"MIDDLE",TRUE,"LOW")</f>
        <v>MIDDLE</v>
      </c>
      <c r="O279" s="4" t="str">
        <f t="shared" si="13"/>
        <v>OTHERS</v>
      </c>
      <c r="P279" s="4" t="str">
        <f t="shared" si="14"/>
        <v>OTHERS</v>
      </c>
    </row>
    <row r="280" spans="1:16" x14ac:dyDescent="0.3">
      <c r="A280" s="4">
        <v>12</v>
      </c>
      <c r="B280" t="s">
        <v>11</v>
      </c>
      <c r="C280" s="4">
        <v>33.799999999999997</v>
      </c>
      <c r="D280" t="s">
        <v>19</v>
      </c>
      <c r="E280" t="s">
        <v>17</v>
      </c>
      <c r="F280" s="4" t="s">
        <v>22</v>
      </c>
      <c r="G280" s="4" t="s">
        <v>31</v>
      </c>
      <c r="H280" s="4">
        <v>6</v>
      </c>
      <c r="I280" s="4">
        <v>4</v>
      </c>
      <c r="J280" s="1">
        <v>45402</v>
      </c>
      <c r="K280" s="2">
        <v>5.9687500000000001E-3</v>
      </c>
      <c r="M280" s="4" t="str">
        <f t="shared" si="12"/>
        <v>LOW</v>
      </c>
      <c r="N280" s="4" t="str" cm="1">
        <f t="array" ref="N280">_xlfn.IFS(C280&gt;35,"HIGH",C280&gt;25,"MIDDLE",TRUE,"LOW")</f>
        <v>MIDDLE</v>
      </c>
      <c r="O280" s="4" t="str">
        <f t="shared" si="13"/>
        <v>OTHERS</v>
      </c>
      <c r="P280" s="4" t="str">
        <f t="shared" si="14"/>
        <v>OTHERS</v>
      </c>
    </row>
    <row r="281" spans="1:16" x14ac:dyDescent="0.3">
      <c r="A281" s="4">
        <v>12</v>
      </c>
      <c r="B281" t="s">
        <v>11</v>
      </c>
      <c r="C281" s="4">
        <v>33.799999999999997</v>
      </c>
      <c r="D281" t="s">
        <v>19</v>
      </c>
      <c r="E281" t="s">
        <v>17</v>
      </c>
      <c r="F281" s="4" t="s">
        <v>22</v>
      </c>
      <c r="G281" s="4" t="s">
        <v>31</v>
      </c>
      <c r="H281" s="4">
        <v>6</v>
      </c>
      <c r="I281" s="4">
        <v>4</v>
      </c>
      <c r="J281" s="1">
        <v>45402</v>
      </c>
      <c r="K281" s="2">
        <v>6.7442129629629631E-3</v>
      </c>
      <c r="M281" s="4" t="str">
        <f t="shared" si="12"/>
        <v>LOW</v>
      </c>
      <c r="N281" s="4" t="str" cm="1">
        <f t="array" ref="N281">_xlfn.IFS(C281&gt;35,"HIGH",C281&gt;25,"MIDDLE",TRUE,"LOW")</f>
        <v>MIDDLE</v>
      </c>
      <c r="O281" s="4" t="str">
        <f t="shared" si="13"/>
        <v>OTHERS</v>
      </c>
      <c r="P281" s="4" t="str">
        <f t="shared" si="14"/>
        <v>OTHERS</v>
      </c>
    </row>
    <row r="282" spans="1:16" x14ac:dyDescent="0.3">
      <c r="A282" s="4">
        <v>13</v>
      </c>
      <c r="B282" t="s">
        <v>11</v>
      </c>
      <c r="C282" s="4">
        <v>28.9</v>
      </c>
      <c r="D282" t="s">
        <v>18</v>
      </c>
      <c r="E282" t="s">
        <v>17</v>
      </c>
      <c r="F282" s="4" t="s">
        <v>22</v>
      </c>
      <c r="G282" s="4" t="s">
        <v>31</v>
      </c>
      <c r="H282" s="4">
        <v>6</v>
      </c>
      <c r="I282" s="4">
        <v>4</v>
      </c>
      <c r="J282" s="1">
        <v>45402</v>
      </c>
      <c r="K282" s="2">
        <v>5.9884259259259257E-3</v>
      </c>
      <c r="M282" s="4" t="str">
        <f t="shared" si="12"/>
        <v>LOW</v>
      </c>
      <c r="N282" s="4" t="str" cm="1">
        <f t="array" ref="N282">_xlfn.IFS(C282&gt;35,"HIGH",C282&gt;25,"MIDDLE",TRUE,"LOW")</f>
        <v>MIDDLE</v>
      </c>
      <c r="O282" s="4" t="str">
        <f t="shared" si="13"/>
        <v>OTHERS</v>
      </c>
      <c r="P282" s="4" t="str">
        <f t="shared" si="14"/>
        <v>OTHERS</v>
      </c>
    </row>
    <row r="283" spans="1:16" x14ac:dyDescent="0.3">
      <c r="A283" s="4">
        <v>13</v>
      </c>
      <c r="B283" t="s">
        <v>11</v>
      </c>
      <c r="C283" s="4">
        <v>33.799999999999997</v>
      </c>
      <c r="D283" t="s">
        <v>19</v>
      </c>
      <c r="E283" t="s">
        <v>17</v>
      </c>
      <c r="F283" s="4" t="s">
        <v>22</v>
      </c>
      <c r="G283" s="4" t="s">
        <v>31</v>
      </c>
      <c r="H283" s="4">
        <v>6</v>
      </c>
      <c r="I283" s="4">
        <v>4</v>
      </c>
      <c r="J283" s="1">
        <v>45402</v>
      </c>
      <c r="K283" s="2">
        <v>6.804398148148148E-3</v>
      </c>
      <c r="M283" s="4" t="str">
        <f t="shared" si="12"/>
        <v>LOW</v>
      </c>
      <c r="N283" s="4" t="str" cm="1">
        <f t="array" ref="N283">_xlfn.IFS(C283&gt;35,"HIGH",C283&gt;25,"MIDDLE",TRUE,"LOW")</f>
        <v>MIDDLE</v>
      </c>
      <c r="O283" s="4" t="str">
        <f t="shared" si="13"/>
        <v>OTHERS</v>
      </c>
      <c r="P283" s="4" t="str">
        <f t="shared" si="14"/>
        <v>OTHERS</v>
      </c>
    </row>
    <row r="284" spans="1:16" x14ac:dyDescent="0.3">
      <c r="A284" s="4">
        <v>13</v>
      </c>
      <c r="B284" t="s">
        <v>11</v>
      </c>
      <c r="C284" s="4">
        <v>38.700000000000003</v>
      </c>
      <c r="D284" t="s">
        <v>16</v>
      </c>
      <c r="E284" t="s">
        <v>17</v>
      </c>
      <c r="F284" s="4" t="s">
        <v>22</v>
      </c>
      <c r="G284" s="4" t="s">
        <v>31</v>
      </c>
      <c r="H284" s="4">
        <v>6</v>
      </c>
      <c r="I284" s="4">
        <v>4</v>
      </c>
      <c r="J284" s="1">
        <v>45402</v>
      </c>
      <c r="K284" s="2">
        <v>7.5833333333333343E-3</v>
      </c>
      <c r="M284" s="4" t="str">
        <f t="shared" si="12"/>
        <v>HIGH</v>
      </c>
      <c r="N284" s="4" t="str" cm="1">
        <f t="array" ref="N284">_xlfn.IFS(C284&gt;35,"HIGH",C284&gt;25,"MIDDLE",TRUE,"LOW")</f>
        <v>HIGH</v>
      </c>
      <c r="O284" s="4" t="str">
        <f t="shared" si="13"/>
        <v>OTHERS</v>
      </c>
      <c r="P284" s="4" t="str">
        <f t="shared" si="14"/>
        <v>PREMINUM MORNING</v>
      </c>
    </row>
    <row r="285" spans="1:16" x14ac:dyDescent="0.3">
      <c r="A285" s="4">
        <v>14</v>
      </c>
      <c r="B285" t="s">
        <v>11</v>
      </c>
      <c r="C285" s="4">
        <v>38.700000000000003</v>
      </c>
      <c r="D285" t="s">
        <v>29</v>
      </c>
      <c r="E285" t="s">
        <v>17</v>
      </c>
      <c r="F285" s="4" t="s">
        <v>22</v>
      </c>
      <c r="G285" s="4" t="s">
        <v>31</v>
      </c>
      <c r="H285" s="4">
        <v>6</v>
      </c>
      <c r="I285" s="4">
        <v>4</v>
      </c>
      <c r="J285" s="1">
        <v>45402</v>
      </c>
      <c r="K285" s="2">
        <v>3.0765046296296294E-2</v>
      </c>
      <c r="M285" s="4" t="str">
        <f t="shared" si="12"/>
        <v>HIGH</v>
      </c>
      <c r="N285" s="4" t="str" cm="1">
        <f t="array" ref="N285">_xlfn.IFS(C285&gt;35,"HIGH",C285&gt;25,"MIDDLE",TRUE,"LOW")</f>
        <v>HIGH</v>
      </c>
      <c r="O285" s="4" t="str">
        <f t="shared" si="13"/>
        <v>OTHERS</v>
      </c>
      <c r="P285" s="4" t="str">
        <f t="shared" si="14"/>
        <v>PREMINUM MORNING</v>
      </c>
    </row>
    <row r="286" spans="1:16" x14ac:dyDescent="0.3">
      <c r="A286" s="4">
        <v>15</v>
      </c>
      <c r="B286" t="s">
        <v>11</v>
      </c>
      <c r="C286" s="4">
        <v>33.799999999999997</v>
      </c>
      <c r="D286" t="s">
        <v>19</v>
      </c>
      <c r="E286" t="s">
        <v>17</v>
      </c>
      <c r="F286" s="4" t="s">
        <v>22</v>
      </c>
      <c r="G286" s="4" t="s">
        <v>31</v>
      </c>
      <c r="H286" s="4">
        <v>6</v>
      </c>
      <c r="I286" s="4">
        <v>4</v>
      </c>
      <c r="J286" s="1">
        <v>45402</v>
      </c>
      <c r="K286" s="2">
        <v>7.6423611111111102E-3</v>
      </c>
      <c r="M286" s="4" t="str">
        <f t="shared" si="12"/>
        <v>LOW</v>
      </c>
      <c r="N286" s="4" t="str" cm="1">
        <f t="array" ref="N286">_xlfn.IFS(C286&gt;35,"HIGH",C286&gt;25,"MIDDLE",TRUE,"LOW")</f>
        <v>MIDDLE</v>
      </c>
      <c r="O286" s="4" t="str">
        <f t="shared" si="13"/>
        <v>OTHERS</v>
      </c>
      <c r="P286" s="4" t="str">
        <f t="shared" si="14"/>
        <v>OTHERS</v>
      </c>
    </row>
    <row r="287" spans="1:16" x14ac:dyDescent="0.3">
      <c r="A287" s="4">
        <v>15</v>
      </c>
      <c r="B287" t="s">
        <v>11</v>
      </c>
      <c r="C287" s="4">
        <v>32.82</v>
      </c>
      <c r="D287" t="s">
        <v>19</v>
      </c>
      <c r="E287" t="s">
        <v>17</v>
      </c>
      <c r="F287" s="4" t="s">
        <v>22</v>
      </c>
      <c r="G287" s="4" t="s">
        <v>31</v>
      </c>
      <c r="H287" s="4">
        <v>6</v>
      </c>
      <c r="I287" s="4">
        <v>4</v>
      </c>
      <c r="J287" s="1">
        <v>45402</v>
      </c>
      <c r="K287" s="2">
        <v>1.5748842592592592E-2</v>
      </c>
      <c r="M287" s="4" t="str">
        <f t="shared" si="12"/>
        <v>LOW</v>
      </c>
      <c r="N287" s="4" t="str" cm="1">
        <f t="array" ref="N287">_xlfn.IFS(C287&gt;35,"HIGH",C287&gt;25,"MIDDLE",TRUE,"LOW")</f>
        <v>MIDDLE</v>
      </c>
      <c r="O287" s="4" t="str">
        <f t="shared" si="13"/>
        <v>OTHERS</v>
      </c>
      <c r="P287" s="4" t="str">
        <f t="shared" si="14"/>
        <v>OTHERS</v>
      </c>
    </row>
    <row r="288" spans="1:16" x14ac:dyDescent="0.3">
      <c r="A288" s="4">
        <v>15</v>
      </c>
      <c r="B288" t="s">
        <v>11</v>
      </c>
      <c r="C288" s="4">
        <v>32.82</v>
      </c>
      <c r="D288" t="s">
        <v>19</v>
      </c>
      <c r="E288" t="s">
        <v>17</v>
      </c>
      <c r="F288" s="4" t="s">
        <v>22</v>
      </c>
      <c r="G288" s="4" t="s">
        <v>31</v>
      </c>
      <c r="H288" s="4">
        <v>6</v>
      </c>
      <c r="I288" s="4">
        <v>4</v>
      </c>
      <c r="J288" s="1">
        <v>45402</v>
      </c>
      <c r="K288" s="2">
        <v>3.4318287037037036E-2</v>
      </c>
      <c r="M288" s="4" t="str">
        <f t="shared" si="12"/>
        <v>LOW</v>
      </c>
      <c r="N288" s="4" t="str" cm="1">
        <f t="array" ref="N288">_xlfn.IFS(C288&gt;35,"HIGH",C288&gt;25,"MIDDLE",TRUE,"LOW")</f>
        <v>MIDDLE</v>
      </c>
      <c r="O288" s="4" t="str">
        <f t="shared" si="13"/>
        <v>OTHERS</v>
      </c>
      <c r="P288" s="4" t="str">
        <f t="shared" si="14"/>
        <v>OTHERS</v>
      </c>
    </row>
    <row r="289" spans="1:16" x14ac:dyDescent="0.3">
      <c r="A289" s="4">
        <v>18</v>
      </c>
      <c r="B289" t="s">
        <v>11</v>
      </c>
      <c r="C289" s="4">
        <v>37.72</v>
      </c>
      <c r="D289" t="s">
        <v>29</v>
      </c>
      <c r="E289" t="s">
        <v>20</v>
      </c>
      <c r="F289" s="4" t="s">
        <v>22</v>
      </c>
      <c r="G289" s="4" t="s">
        <v>31</v>
      </c>
      <c r="H289" s="4">
        <v>6</v>
      </c>
      <c r="I289" s="4">
        <v>4</v>
      </c>
      <c r="J289" s="1">
        <v>45402</v>
      </c>
      <c r="K289" s="2">
        <v>1.9230324074074073E-2</v>
      </c>
      <c r="M289" s="4" t="str">
        <f t="shared" si="12"/>
        <v>HIGH</v>
      </c>
      <c r="N289" s="4" t="str" cm="1">
        <f t="array" ref="N289">_xlfn.IFS(C289&gt;35,"HIGH",C289&gt;25,"MIDDLE",TRUE,"LOW")</f>
        <v>HIGH</v>
      </c>
      <c r="O289" s="4" t="str">
        <f t="shared" si="13"/>
        <v>OTHERS</v>
      </c>
      <c r="P289" s="4" t="str">
        <f t="shared" si="14"/>
        <v>PREMINUM MORNING</v>
      </c>
    </row>
    <row r="290" spans="1:16" x14ac:dyDescent="0.3">
      <c r="A290" s="4">
        <v>18</v>
      </c>
      <c r="B290" t="s">
        <v>11</v>
      </c>
      <c r="C290" s="4">
        <v>37.72</v>
      </c>
      <c r="D290" t="s">
        <v>29</v>
      </c>
      <c r="E290" t="s">
        <v>20</v>
      </c>
      <c r="F290" s="4" t="s">
        <v>22</v>
      </c>
      <c r="G290" s="4" t="s">
        <v>31</v>
      </c>
      <c r="H290" s="4">
        <v>6</v>
      </c>
      <c r="I290" s="4">
        <v>4</v>
      </c>
      <c r="J290" s="1">
        <v>45402</v>
      </c>
      <c r="K290" s="2">
        <v>1.9987268518518519E-2</v>
      </c>
      <c r="M290" s="4" t="str">
        <f t="shared" si="12"/>
        <v>HIGH</v>
      </c>
      <c r="N290" s="4" t="str" cm="1">
        <f t="array" ref="N290">_xlfn.IFS(C290&gt;35,"HIGH",C290&gt;25,"MIDDLE",TRUE,"LOW")</f>
        <v>HIGH</v>
      </c>
      <c r="O290" s="4" t="str">
        <f t="shared" si="13"/>
        <v>OTHERS</v>
      </c>
      <c r="P290" s="4" t="str">
        <f t="shared" si="14"/>
        <v>PREMINUM MORNING</v>
      </c>
    </row>
    <row r="291" spans="1:16" x14ac:dyDescent="0.3">
      <c r="A291" s="4">
        <v>19</v>
      </c>
      <c r="B291" t="s">
        <v>11</v>
      </c>
      <c r="C291" s="4">
        <v>37.72</v>
      </c>
      <c r="D291" t="s">
        <v>12</v>
      </c>
      <c r="E291" t="s">
        <v>20</v>
      </c>
      <c r="F291" s="4" t="s">
        <v>22</v>
      </c>
      <c r="G291" s="4" t="s">
        <v>31</v>
      </c>
      <c r="H291" s="4">
        <v>6</v>
      </c>
      <c r="I291" s="4">
        <v>4</v>
      </c>
      <c r="J291" s="1">
        <v>45402</v>
      </c>
      <c r="K291" s="2">
        <v>2.147337962962963E-2</v>
      </c>
      <c r="M291" s="4" t="str">
        <f t="shared" si="12"/>
        <v>HIGH</v>
      </c>
      <c r="N291" s="4" t="str" cm="1">
        <f t="array" ref="N291">_xlfn.IFS(C291&gt;35,"HIGH",C291&gt;25,"MIDDLE",TRUE,"LOW")</f>
        <v>HIGH</v>
      </c>
      <c r="O291" s="4" t="str">
        <f t="shared" si="13"/>
        <v>OTHERS</v>
      </c>
      <c r="P291" s="4" t="str">
        <f t="shared" si="14"/>
        <v>PREMINUM MORNING</v>
      </c>
    </row>
    <row r="292" spans="1:16" x14ac:dyDescent="0.3">
      <c r="A292" s="4">
        <v>11</v>
      </c>
      <c r="B292" t="s">
        <v>11</v>
      </c>
      <c r="C292" s="4">
        <v>37.72</v>
      </c>
      <c r="D292" t="s">
        <v>12</v>
      </c>
      <c r="E292" t="s">
        <v>13</v>
      </c>
      <c r="F292" s="4" t="s">
        <v>23</v>
      </c>
      <c r="G292" s="4" t="s">
        <v>31</v>
      </c>
      <c r="H292" s="4">
        <v>7</v>
      </c>
      <c r="I292" s="4">
        <v>4</v>
      </c>
      <c r="J292" s="1">
        <v>45403</v>
      </c>
      <c r="K292" s="2">
        <v>1.1640046296296298E-2</v>
      </c>
      <c r="M292" s="4" t="str">
        <f t="shared" si="12"/>
        <v>HIGH</v>
      </c>
      <c r="N292" s="4" t="str" cm="1">
        <f t="array" ref="N292">_xlfn.IFS(C292&gt;35,"HIGH",C292&gt;25,"MIDDLE",TRUE,"LOW")</f>
        <v>HIGH</v>
      </c>
      <c r="O292" s="4" t="str">
        <f t="shared" si="13"/>
        <v>PREMINUM MORNING</v>
      </c>
      <c r="P292" s="4" t="str">
        <f t="shared" si="14"/>
        <v>PREMINUM MORNING</v>
      </c>
    </row>
    <row r="293" spans="1:16" x14ac:dyDescent="0.3">
      <c r="A293" s="4">
        <v>14</v>
      </c>
      <c r="B293" t="s">
        <v>11</v>
      </c>
      <c r="C293" s="4">
        <v>27.92</v>
      </c>
      <c r="D293" t="s">
        <v>18</v>
      </c>
      <c r="E293" t="s">
        <v>17</v>
      </c>
      <c r="F293" s="4" t="s">
        <v>23</v>
      </c>
      <c r="G293" s="4" t="s">
        <v>31</v>
      </c>
      <c r="H293" s="4">
        <v>7</v>
      </c>
      <c r="I293" s="4">
        <v>4</v>
      </c>
      <c r="J293" s="1">
        <v>45403</v>
      </c>
      <c r="K293" s="2">
        <v>1.0850694444444444E-2</v>
      </c>
      <c r="M293" s="4" t="str">
        <f t="shared" si="12"/>
        <v>LOW</v>
      </c>
      <c r="N293" s="4" t="str" cm="1">
        <f t="array" ref="N293">_xlfn.IFS(C293&gt;35,"HIGH",C293&gt;25,"MIDDLE",TRUE,"LOW")</f>
        <v>MIDDLE</v>
      </c>
      <c r="O293" s="4" t="str">
        <f t="shared" si="13"/>
        <v>OTHERS</v>
      </c>
      <c r="P293" s="4" t="str">
        <f t="shared" si="14"/>
        <v>OTHERS</v>
      </c>
    </row>
    <row r="294" spans="1:16" x14ac:dyDescent="0.3">
      <c r="A294" s="4">
        <v>11</v>
      </c>
      <c r="B294" t="s">
        <v>11</v>
      </c>
      <c r="C294" s="4">
        <v>27.92</v>
      </c>
      <c r="D294" t="s">
        <v>18</v>
      </c>
      <c r="E294" t="s">
        <v>13</v>
      </c>
      <c r="F294" s="4" t="s">
        <v>25</v>
      </c>
      <c r="G294" s="4" t="s">
        <v>31</v>
      </c>
      <c r="H294" s="4">
        <v>1</v>
      </c>
      <c r="I294" s="4">
        <v>4</v>
      </c>
      <c r="J294" s="1">
        <v>45404</v>
      </c>
      <c r="K294" s="2">
        <v>6.4398148148148149E-3</v>
      </c>
      <c r="M294" s="4" t="str">
        <f t="shared" si="12"/>
        <v>LOW</v>
      </c>
      <c r="N294" s="4" t="str" cm="1">
        <f t="array" ref="N294">_xlfn.IFS(C294&gt;35,"HIGH",C294&gt;25,"MIDDLE",TRUE,"LOW")</f>
        <v>MIDDLE</v>
      </c>
      <c r="O294" s="4" t="str">
        <f t="shared" si="13"/>
        <v>OTHERS</v>
      </c>
      <c r="P294" s="4" t="str">
        <f t="shared" si="14"/>
        <v>PREMINUM MORNING</v>
      </c>
    </row>
    <row r="295" spans="1:16" x14ac:dyDescent="0.3">
      <c r="A295" s="4">
        <v>11</v>
      </c>
      <c r="B295" t="s">
        <v>11</v>
      </c>
      <c r="C295" s="4">
        <v>32.82</v>
      </c>
      <c r="D295" t="s">
        <v>19</v>
      </c>
      <c r="E295" t="s">
        <v>13</v>
      </c>
      <c r="F295" s="4" t="s">
        <v>25</v>
      </c>
      <c r="G295" s="4" t="s">
        <v>31</v>
      </c>
      <c r="H295" s="4">
        <v>1</v>
      </c>
      <c r="I295" s="4">
        <v>4</v>
      </c>
      <c r="J295" s="1">
        <v>45404</v>
      </c>
      <c r="K295" s="2">
        <v>2.0452546296296295E-2</v>
      </c>
      <c r="M295" s="4" t="str">
        <f t="shared" si="12"/>
        <v>LOW</v>
      </c>
      <c r="N295" s="4" t="str" cm="1">
        <f t="array" ref="N295">_xlfn.IFS(C295&gt;35,"HIGH",C295&gt;25,"MIDDLE",TRUE,"LOW")</f>
        <v>MIDDLE</v>
      </c>
      <c r="O295" s="4" t="str">
        <f t="shared" si="13"/>
        <v>OTHERS</v>
      </c>
      <c r="P295" s="4" t="str">
        <f t="shared" si="14"/>
        <v>PREMINUM MORNING</v>
      </c>
    </row>
    <row r="296" spans="1:16" x14ac:dyDescent="0.3">
      <c r="A296" s="4">
        <v>19</v>
      </c>
      <c r="B296" t="s">
        <v>11</v>
      </c>
      <c r="C296" s="4">
        <v>37.72</v>
      </c>
      <c r="D296" t="s">
        <v>12</v>
      </c>
      <c r="E296" t="s">
        <v>20</v>
      </c>
      <c r="F296" s="4" t="s">
        <v>25</v>
      </c>
      <c r="G296" s="4" t="s">
        <v>31</v>
      </c>
      <c r="H296" s="4">
        <v>1</v>
      </c>
      <c r="I296" s="4">
        <v>4</v>
      </c>
      <c r="J296" s="1">
        <v>45404</v>
      </c>
      <c r="K296" s="2">
        <v>2.7138888888888889E-2</v>
      </c>
      <c r="M296" s="4" t="str">
        <f t="shared" si="12"/>
        <v>HIGH</v>
      </c>
      <c r="N296" s="4" t="str" cm="1">
        <f t="array" ref="N296">_xlfn.IFS(C296&gt;35,"HIGH",C296&gt;25,"MIDDLE",TRUE,"LOW")</f>
        <v>HIGH</v>
      </c>
      <c r="O296" s="4" t="str">
        <f t="shared" si="13"/>
        <v>OTHERS</v>
      </c>
      <c r="P296" s="4" t="str">
        <f t="shared" si="14"/>
        <v>PREMINUM MORNING</v>
      </c>
    </row>
    <row r="297" spans="1:16" x14ac:dyDescent="0.3">
      <c r="A297" s="4">
        <v>14</v>
      </c>
      <c r="B297" t="s">
        <v>11</v>
      </c>
      <c r="C297" s="4">
        <v>37.72</v>
      </c>
      <c r="D297" t="s">
        <v>29</v>
      </c>
      <c r="E297" t="s">
        <v>17</v>
      </c>
      <c r="F297" s="4" t="s">
        <v>27</v>
      </c>
      <c r="G297" s="4" t="s">
        <v>31</v>
      </c>
      <c r="H297" s="4">
        <v>2</v>
      </c>
      <c r="I297" s="4">
        <v>4</v>
      </c>
      <c r="J297" s="1">
        <v>45405</v>
      </c>
      <c r="K297" s="2">
        <v>1.5694444444444445E-2</v>
      </c>
      <c r="M297" s="4" t="str">
        <f t="shared" si="12"/>
        <v>HIGH</v>
      </c>
      <c r="N297" s="4" t="str" cm="1">
        <f t="array" ref="N297">_xlfn.IFS(C297&gt;35,"HIGH",C297&gt;25,"MIDDLE",TRUE,"LOW")</f>
        <v>HIGH</v>
      </c>
      <c r="O297" s="4" t="str">
        <f t="shared" si="13"/>
        <v>OTHERS</v>
      </c>
      <c r="P297" s="4" t="str">
        <f t="shared" si="14"/>
        <v>PREMINUM MORNING</v>
      </c>
    </row>
    <row r="298" spans="1:16" x14ac:dyDescent="0.3">
      <c r="A298" s="4">
        <v>14</v>
      </c>
      <c r="B298" t="s">
        <v>11</v>
      </c>
      <c r="C298" s="4">
        <v>32.82</v>
      </c>
      <c r="D298" t="s">
        <v>19</v>
      </c>
      <c r="E298" t="s">
        <v>17</v>
      </c>
      <c r="F298" s="4" t="s">
        <v>27</v>
      </c>
      <c r="G298" s="4" t="s">
        <v>31</v>
      </c>
      <c r="H298" s="4">
        <v>2</v>
      </c>
      <c r="I298" s="4">
        <v>4</v>
      </c>
      <c r="J298" s="1">
        <v>45405</v>
      </c>
      <c r="K298" s="2">
        <v>1.6586805555555556E-2</v>
      </c>
      <c r="M298" s="4" t="str">
        <f t="shared" si="12"/>
        <v>LOW</v>
      </c>
      <c r="N298" s="4" t="str" cm="1">
        <f t="array" ref="N298">_xlfn.IFS(C298&gt;35,"HIGH",C298&gt;25,"MIDDLE",TRUE,"LOW")</f>
        <v>MIDDLE</v>
      </c>
      <c r="O298" s="4" t="str">
        <f t="shared" si="13"/>
        <v>OTHERS</v>
      </c>
      <c r="P298" s="4" t="str">
        <f t="shared" si="14"/>
        <v>OTHERS</v>
      </c>
    </row>
    <row r="299" spans="1:16" x14ac:dyDescent="0.3">
      <c r="A299" s="4">
        <v>14</v>
      </c>
      <c r="B299" t="s">
        <v>11</v>
      </c>
      <c r="C299" s="4">
        <v>37.72</v>
      </c>
      <c r="D299" t="s">
        <v>29</v>
      </c>
      <c r="E299" t="s">
        <v>17</v>
      </c>
      <c r="F299" s="4" t="s">
        <v>27</v>
      </c>
      <c r="G299" s="4" t="s">
        <v>31</v>
      </c>
      <c r="H299" s="4">
        <v>2</v>
      </c>
      <c r="I299" s="4">
        <v>4</v>
      </c>
      <c r="J299" s="1">
        <v>45405</v>
      </c>
      <c r="K299" s="2">
        <v>1.7332175925925924E-2</v>
      </c>
      <c r="M299" s="4" t="str">
        <f t="shared" si="12"/>
        <v>HIGH</v>
      </c>
      <c r="N299" s="4" t="str" cm="1">
        <f t="array" ref="N299">_xlfn.IFS(C299&gt;35,"HIGH",C299&gt;25,"MIDDLE",TRUE,"LOW")</f>
        <v>HIGH</v>
      </c>
      <c r="O299" s="4" t="str">
        <f t="shared" si="13"/>
        <v>OTHERS</v>
      </c>
      <c r="P299" s="4" t="str">
        <f t="shared" si="14"/>
        <v>PREMINUM MORNING</v>
      </c>
    </row>
    <row r="300" spans="1:16" x14ac:dyDescent="0.3">
      <c r="A300" s="4">
        <v>19</v>
      </c>
      <c r="B300" t="s">
        <v>11</v>
      </c>
      <c r="C300" s="4">
        <v>32.82</v>
      </c>
      <c r="D300" t="s">
        <v>19</v>
      </c>
      <c r="E300" t="s">
        <v>20</v>
      </c>
      <c r="F300" s="4" t="s">
        <v>27</v>
      </c>
      <c r="G300" s="4" t="s">
        <v>31</v>
      </c>
      <c r="H300" s="4">
        <v>2</v>
      </c>
      <c r="I300" s="4">
        <v>4</v>
      </c>
      <c r="J300" s="1">
        <v>45405</v>
      </c>
      <c r="K300" s="2">
        <v>2.9488425925925928E-2</v>
      </c>
      <c r="M300" s="4" t="str">
        <f t="shared" si="12"/>
        <v>LOW</v>
      </c>
      <c r="N300" s="4" t="str" cm="1">
        <f t="array" ref="N300">_xlfn.IFS(C300&gt;35,"HIGH",C300&gt;25,"MIDDLE",TRUE,"LOW")</f>
        <v>MIDDLE</v>
      </c>
      <c r="O300" s="4" t="str">
        <f t="shared" si="13"/>
        <v>OTHERS</v>
      </c>
      <c r="P300" s="4" t="str">
        <f t="shared" si="14"/>
        <v>OTHERS</v>
      </c>
    </row>
    <row r="301" spans="1:16" x14ac:dyDescent="0.3">
      <c r="A301" s="4">
        <v>19</v>
      </c>
      <c r="B301" t="s">
        <v>11</v>
      </c>
      <c r="C301" s="4">
        <v>32.82</v>
      </c>
      <c r="D301" t="s">
        <v>19</v>
      </c>
      <c r="E301" t="s">
        <v>20</v>
      </c>
      <c r="F301" s="4" t="s">
        <v>27</v>
      </c>
      <c r="G301" s="4" t="s">
        <v>31</v>
      </c>
      <c r="H301" s="4">
        <v>2</v>
      </c>
      <c r="I301" s="4">
        <v>4</v>
      </c>
      <c r="J301" s="1">
        <v>45405</v>
      </c>
      <c r="K301" s="2">
        <v>3.0164351851851848E-2</v>
      </c>
      <c r="M301" s="4" t="str">
        <f t="shared" si="12"/>
        <v>LOW</v>
      </c>
      <c r="N301" s="4" t="str" cm="1">
        <f t="array" ref="N301">_xlfn.IFS(C301&gt;35,"HIGH",C301&gt;25,"MIDDLE",TRUE,"LOW")</f>
        <v>MIDDLE</v>
      </c>
      <c r="O301" s="4" t="str">
        <f t="shared" si="13"/>
        <v>OTHERS</v>
      </c>
      <c r="P301" s="4" t="str">
        <f t="shared" si="14"/>
        <v>OTHERS</v>
      </c>
    </row>
    <row r="302" spans="1:16" x14ac:dyDescent="0.3">
      <c r="A302" s="4">
        <v>10</v>
      </c>
      <c r="B302" t="s">
        <v>11</v>
      </c>
      <c r="C302" s="4">
        <v>37.72</v>
      </c>
      <c r="D302" t="s">
        <v>12</v>
      </c>
      <c r="E302" t="s">
        <v>13</v>
      </c>
      <c r="F302" s="4" t="s">
        <v>28</v>
      </c>
      <c r="G302" s="4" t="s">
        <v>31</v>
      </c>
      <c r="H302" s="4">
        <v>3</v>
      </c>
      <c r="I302" s="4">
        <v>4</v>
      </c>
      <c r="J302" s="1">
        <v>45406</v>
      </c>
      <c r="K302" s="2">
        <v>1.3637731481481482E-2</v>
      </c>
      <c r="M302" s="4" t="str">
        <f t="shared" si="12"/>
        <v>HIGH</v>
      </c>
      <c r="N302" s="4" t="str" cm="1">
        <f t="array" ref="N302">_xlfn.IFS(C302&gt;35,"HIGH",C302&gt;25,"MIDDLE",TRUE,"LOW")</f>
        <v>HIGH</v>
      </c>
      <c r="O302" s="4" t="str">
        <f t="shared" si="13"/>
        <v>PREMINUM MORNING</v>
      </c>
      <c r="P302" s="4" t="str">
        <f t="shared" si="14"/>
        <v>PREMINUM MORNING</v>
      </c>
    </row>
    <row r="303" spans="1:16" x14ac:dyDescent="0.3">
      <c r="A303" s="4">
        <v>10</v>
      </c>
      <c r="B303" t="s">
        <v>11</v>
      </c>
      <c r="C303" s="4">
        <v>32.82</v>
      </c>
      <c r="D303" t="s">
        <v>19</v>
      </c>
      <c r="E303" t="s">
        <v>13</v>
      </c>
      <c r="F303" s="4" t="s">
        <v>28</v>
      </c>
      <c r="G303" s="4" t="s">
        <v>31</v>
      </c>
      <c r="H303" s="4">
        <v>3</v>
      </c>
      <c r="I303" s="4">
        <v>4</v>
      </c>
      <c r="J303" s="1">
        <v>45406</v>
      </c>
      <c r="K303" s="2">
        <v>1.4899305555555555E-2</v>
      </c>
      <c r="M303" s="4" t="str">
        <f t="shared" si="12"/>
        <v>LOW</v>
      </c>
      <c r="N303" s="4" t="str" cm="1">
        <f t="array" ref="N303">_xlfn.IFS(C303&gt;35,"HIGH",C303&gt;25,"MIDDLE",TRUE,"LOW")</f>
        <v>MIDDLE</v>
      </c>
      <c r="O303" s="4" t="str">
        <f t="shared" si="13"/>
        <v>OTHERS</v>
      </c>
      <c r="P303" s="4" t="str">
        <f t="shared" si="14"/>
        <v>PREMINUM MORNING</v>
      </c>
    </row>
    <row r="304" spans="1:16" x14ac:dyDescent="0.3">
      <c r="A304" s="4">
        <v>11</v>
      </c>
      <c r="B304" t="s">
        <v>11</v>
      </c>
      <c r="C304" s="4">
        <v>32.82</v>
      </c>
      <c r="D304" t="s">
        <v>19</v>
      </c>
      <c r="E304" t="s">
        <v>13</v>
      </c>
      <c r="F304" s="4" t="s">
        <v>28</v>
      </c>
      <c r="G304" s="4" t="s">
        <v>31</v>
      </c>
      <c r="H304" s="4">
        <v>3</v>
      </c>
      <c r="I304" s="4">
        <v>4</v>
      </c>
      <c r="J304" s="1">
        <v>45406</v>
      </c>
      <c r="K304" s="2">
        <v>1.6505787037037038E-2</v>
      </c>
      <c r="M304" s="4" t="str">
        <f t="shared" si="12"/>
        <v>LOW</v>
      </c>
      <c r="N304" s="4" t="str" cm="1">
        <f t="array" ref="N304">_xlfn.IFS(C304&gt;35,"HIGH",C304&gt;25,"MIDDLE",TRUE,"LOW")</f>
        <v>MIDDLE</v>
      </c>
      <c r="O304" s="4" t="str">
        <f t="shared" si="13"/>
        <v>OTHERS</v>
      </c>
      <c r="P304" s="4" t="str">
        <f t="shared" si="14"/>
        <v>PREMINUM MORNING</v>
      </c>
    </row>
    <row r="305" spans="1:16" x14ac:dyDescent="0.3">
      <c r="A305" s="4">
        <v>11</v>
      </c>
      <c r="B305" t="s">
        <v>11</v>
      </c>
      <c r="C305" s="4">
        <v>32.82</v>
      </c>
      <c r="D305" t="s">
        <v>19</v>
      </c>
      <c r="E305" t="s">
        <v>13</v>
      </c>
      <c r="F305" s="4" t="s">
        <v>28</v>
      </c>
      <c r="G305" s="4" t="s">
        <v>31</v>
      </c>
      <c r="H305" s="4">
        <v>3</v>
      </c>
      <c r="I305" s="4">
        <v>4</v>
      </c>
      <c r="J305" s="1">
        <v>45406</v>
      </c>
      <c r="K305" s="2">
        <v>2.3221064814814816E-2</v>
      </c>
      <c r="M305" s="4" t="str">
        <f t="shared" si="12"/>
        <v>LOW</v>
      </c>
      <c r="N305" s="4" t="str" cm="1">
        <f t="array" ref="N305">_xlfn.IFS(C305&gt;35,"HIGH",C305&gt;25,"MIDDLE",TRUE,"LOW")</f>
        <v>MIDDLE</v>
      </c>
      <c r="O305" s="4" t="str">
        <f t="shared" si="13"/>
        <v>OTHERS</v>
      </c>
      <c r="P305" s="4" t="str">
        <f t="shared" si="14"/>
        <v>PREMINUM MORNING</v>
      </c>
    </row>
    <row r="306" spans="1:16" x14ac:dyDescent="0.3">
      <c r="A306" s="4">
        <v>12</v>
      </c>
      <c r="B306" t="s">
        <v>11</v>
      </c>
      <c r="C306" s="4">
        <v>32.82</v>
      </c>
      <c r="D306" t="s">
        <v>19</v>
      </c>
      <c r="E306" t="s">
        <v>17</v>
      </c>
      <c r="F306" s="4" t="s">
        <v>28</v>
      </c>
      <c r="G306" s="4" t="s">
        <v>31</v>
      </c>
      <c r="H306" s="4">
        <v>3</v>
      </c>
      <c r="I306" s="4">
        <v>4</v>
      </c>
      <c r="J306" s="1">
        <v>45406</v>
      </c>
      <c r="K306" s="2">
        <v>2.7190972222222224E-2</v>
      </c>
      <c r="M306" s="4" t="str">
        <f t="shared" si="12"/>
        <v>LOW</v>
      </c>
      <c r="N306" s="4" t="str" cm="1">
        <f t="array" ref="N306">_xlfn.IFS(C306&gt;35,"HIGH",C306&gt;25,"MIDDLE",TRUE,"LOW")</f>
        <v>MIDDLE</v>
      </c>
      <c r="O306" s="4" t="str">
        <f t="shared" si="13"/>
        <v>OTHERS</v>
      </c>
      <c r="P306" s="4" t="str">
        <f t="shared" si="14"/>
        <v>OTHERS</v>
      </c>
    </row>
    <row r="307" spans="1:16" x14ac:dyDescent="0.3">
      <c r="A307" s="4">
        <v>16</v>
      </c>
      <c r="B307" t="s">
        <v>11</v>
      </c>
      <c r="C307" s="4">
        <v>32.82</v>
      </c>
      <c r="D307" t="s">
        <v>19</v>
      </c>
      <c r="E307" t="s">
        <v>17</v>
      </c>
      <c r="F307" s="4" t="s">
        <v>28</v>
      </c>
      <c r="G307" s="4" t="s">
        <v>31</v>
      </c>
      <c r="H307" s="4">
        <v>3</v>
      </c>
      <c r="I307" s="4">
        <v>4</v>
      </c>
      <c r="J307" s="1">
        <v>45406</v>
      </c>
      <c r="K307" s="2">
        <v>2.7168981481481481E-2</v>
      </c>
      <c r="M307" s="4" t="str">
        <f t="shared" si="12"/>
        <v>LOW</v>
      </c>
      <c r="N307" s="4" t="str" cm="1">
        <f t="array" ref="N307">_xlfn.IFS(C307&gt;35,"HIGH",C307&gt;25,"MIDDLE",TRUE,"LOW")</f>
        <v>MIDDLE</v>
      </c>
      <c r="O307" s="4" t="str">
        <f t="shared" si="13"/>
        <v>OTHERS</v>
      </c>
      <c r="P307" s="4" t="str">
        <f t="shared" si="14"/>
        <v>OTHERS</v>
      </c>
    </row>
    <row r="308" spans="1:16" x14ac:dyDescent="0.3">
      <c r="A308" s="4">
        <v>19</v>
      </c>
      <c r="B308" t="s">
        <v>11</v>
      </c>
      <c r="C308" s="4">
        <v>32.82</v>
      </c>
      <c r="D308" t="s">
        <v>19</v>
      </c>
      <c r="E308" t="s">
        <v>20</v>
      </c>
      <c r="F308" s="4" t="s">
        <v>28</v>
      </c>
      <c r="G308" s="4" t="s">
        <v>31</v>
      </c>
      <c r="H308" s="4">
        <v>3</v>
      </c>
      <c r="I308" s="4">
        <v>4</v>
      </c>
      <c r="J308" s="1">
        <v>45406</v>
      </c>
      <c r="K308" s="2">
        <v>2.7662037037037037E-2</v>
      </c>
      <c r="M308" s="4" t="str">
        <f t="shared" si="12"/>
        <v>LOW</v>
      </c>
      <c r="N308" s="4" t="str" cm="1">
        <f t="array" ref="N308">_xlfn.IFS(C308&gt;35,"HIGH",C308&gt;25,"MIDDLE",TRUE,"LOW")</f>
        <v>MIDDLE</v>
      </c>
      <c r="O308" s="4" t="str">
        <f t="shared" si="13"/>
        <v>OTHERS</v>
      </c>
      <c r="P308" s="4" t="str">
        <f t="shared" si="14"/>
        <v>OTHERS</v>
      </c>
    </row>
    <row r="309" spans="1:16" x14ac:dyDescent="0.3">
      <c r="A309" s="4">
        <v>19</v>
      </c>
      <c r="B309" t="s">
        <v>11</v>
      </c>
      <c r="C309" s="4">
        <v>37.72</v>
      </c>
      <c r="D309" t="s">
        <v>29</v>
      </c>
      <c r="E309" t="s">
        <v>20</v>
      </c>
      <c r="F309" s="4" t="s">
        <v>28</v>
      </c>
      <c r="G309" s="4" t="s">
        <v>31</v>
      </c>
      <c r="H309" s="4">
        <v>3</v>
      </c>
      <c r="I309" s="4">
        <v>4</v>
      </c>
      <c r="J309" s="1">
        <v>45406</v>
      </c>
      <c r="K309" s="2">
        <v>2.8402777777777777E-2</v>
      </c>
      <c r="M309" s="4" t="str">
        <f t="shared" si="12"/>
        <v>HIGH</v>
      </c>
      <c r="N309" s="4" t="str" cm="1">
        <f t="array" ref="N309">_xlfn.IFS(C309&gt;35,"HIGH",C309&gt;25,"MIDDLE",TRUE,"LOW")</f>
        <v>HIGH</v>
      </c>
      <c r="O309" s="4" t="str">
        <f t="shared" si="13"/>
        <v>OTHERS</v>
      </c>
      <c r="P309" s="4" t="str">
        <f t="shared" si="14"/>
        <v>PREMINUM MORNING</v>
      </c>
    </row>
    <row r="310" spans="1:16" x14ac:dyDescent="0.3">
      <c r="A310" s="4">
        <v>10</v>
      </c>
      <c r="B310" t="s">
        <v>11</v>
      </c>
      <c r="C310" s="4">
        <v>27.92</v>
      </c>
      <c r="D310" t="s">
        <v>18</v>
      </c>
      <c r="E310" t="s">
        <v>13</v>
      </c>
      <c r="F310" s="4" t="s">
        <v>30</v>
      </c>
      <c r="G310" s="4" t="s">
        <v>31</v>
      </c>
      <c r="H310" s="4">
        <v>4</v>
      </c>
      <c r="I310" s="4">
        <v>4</v>
      </c>
      <c r="J310" s="1">
        <v>45407</v>
      </c>
      <c r="K310" s="2">
        <v>3.2038194444444446E-2</v>
      </c>
      <c r="M310" s="4" t="str">
        <f t="shared" si="12"/>
        <v>LOW</v>
      </c>
      <c r="N310" s="4" t="str" cm="1">
        <f t="array" ref="N310">_xlfn.IFS(C310&gt;35,"HIGH",C310&gt;25,"MIDDLE",TRUE,"LOW")</f>
        <v>MIDDLE</v>
      </c>
      <c r="O310" s="4" t="str">
        <f t="shared" si="13"/>
        <v>OTHERS</v>
      </c>
      <c r="P310" s="4" t="str">
        <f t="shared" si="14"/>
        <v>PREMINUM MORNING</v>
      </c>
    </row>
    <row r="311" spans="1:16" x14ac:dyDescent="0.3">
      <c r="A311" s="4">
        <v>15</v>
      </c>
      <c r="B311" t="s">
        <v>11</v>
      </c>
      <c r="C311" s="4">
        <v>37.72</v>
      </c>
      <c r="D311" t="s">
        <v>12</v>
      </c>
      <c r="E311" t="s">
        <v>17</v>
      </c>
      <c r="F311" s="4" t="s">
        <v>30</v>
      </c>
      <c r="G311" s="4" t="s">
        <v>31</v>
      </c>
      <c r="H311" s="4">
        <v>4</v>
      </c>
      <c r="I311" s="4">
        <v>4</v>
      </c>
      <c r="J311" s="1">
        <v>45407</v>
      </c>
      <c r="K311" s="2">
        <v>1.2812499999999999E-2</v>
      </c>
      <c r="M311" s="4" t="str">
        <f t="shared" si="12"/>
        <v>HIGH</v>
      </c>
      <c r="N311" s="4" t="str" cm="1">
        <f t="array" ref="N311">_xlfn.IFS(C311&gt;35,"HIGH",C311&gt;25,"MIDDLE",TRUE,"LOW")</f>
        <v>HIGH</v>
      </c>
      <c r="O311" s="4" t="str">
        <f t="shared" si="13"/>
        <v>OTHERS</v>
      </c>
      <c r="P311" s="4" t="str">
        <f t="shared" si="14"/>
        <v>PREMINUM MORNING</v>
      </c>
    </row>
    <row r="312" spans="1:16" x14ac:dyDescent="0.3">
      <c r="A312" s="4">
        <v>17</v>
      </c>
      <c r="B312" t="s">
        <v>11</v>
      </c>
      <c r="C312" s="4">
        <v>27.92</v>
      </c>
      <c r="D312" t="s">
        <v>18</v>
      </c>
      <c r="E312" t="s">
        <v>20</v>
      </c>
      <c r="F312" s="4" t="s">
        <v>30</v>
      </c>
      <c r="G312" s="4" t="s">
        <v>31</v>
      </c>
      <c r="H312" s="4">
        <v>4</v>
      </c>
      <c r="I312" s="4">
        <v>4</v>
      </c>
      <c r="J312" s="1">
        <v>45407</v>
      </c>
      <c r="K312" s="2">
        <v>6.7534722222222223E-3</v>
      </c>
      <c r="M312" s="4" t="str">
        <f t="shared" si="12"/>
        <v>LOW</v>
      </c>
      <c r="N312" s="4" t="str" cm="1">
        <f t="array" ref="N312">_xlfn.IFS(C312&gt;35,"HIGH",C312&gt;25,"MIDDLE",TRUE,"LOW")</f>
        <v>MIDDLE</v>
      </c>
      <c r="O312" s="4" t="str">
        <f t="shared" si="13"/>
        <v>OTHERS</v>
      </c>
      <c r="P312" s="4" t="str">
        <f t="shared" si="14"/>
        <v>OTHERS</v>
      </c>
    </row>
    <row r="313" spans="1:16" x14ac:dyDescent="0.3">
      <c r="A313" s="4">
        <v>17</v>
      </c>
      <c r="B313" t="s">
        <v>11</v>
      </c>
      <c r="C313" s="4">
        <v>27.92</v>
      </c>
      <c r="D313" t="s">
        <v>18</v>
      </c>
      <c r="E313" t="s">
        <v>20</v>
      </c>
      <c r="F313" s="4" t="s">
        <v>30</v>
      </c>
      <c r="G313" s="4" t="s">
        <v>31</v>
      </c>
      <c r="H313" s="4">
        <v>4</v>
      </c>
      <c r="I313" s="4">
        <v>4</v>
      </c>
      <c r="J313" s="1">
        <v>45407</v>
      </c>
      <c r="K313" s="2">
        <v>7.5138888888888894E-3</v>
      </c>
      <c r="M313" s="4" t="str">
        <f t="shared" si="12"/>
        <v>LOW</v>
      </c>
      <c r="N313" s="4" t="str" cm="1">
        <f t="array" ref="N313">_xlfn.IFS(C313&gt;35,"HIGH",C313&gt;25,"MIDDLE",TRUE,"LOW")</f>
        <v>MIDDLE</v>
      </c>
      <c r="O313" s="4" t="str">
        <f t="shared" si="13"/>
        <v>OTHERS</v>
      </c>
      <c r="P313" s="4" t="str">
        <f t="shared" si="14"/>
        <v>OTHERS</v>
      </c>
    </row>
    <row r="314" spans="1:16" x14ac:dyDescent="0.3">
      <c r="A314" s="4">
        <v>10</v>
      </c>
      <c r="B314" t="s">
        <v>11</v>
      </c>
      <c r="C314" s="4">
        <v>37.72</v>
      </c>
      <c r="D314" t="s">
        <v>12</v>
      </c>
      <c r="E314" t="s">
        <v>13</v>
      </c>
      <c r="F314" s="4" t="s">
        <v>14</v>
      </c>
      <c r="G314" s="4" t="s">
        <v>31</v>
      </c>
      <c r="H314" s="4">
        <v>5</v>
      </c>
      <c r="I314" s="4">
        <v>4</v>
      </c>
      <c r="J314" s="1">
        <v>45408</v>
      </c>
      <c r="K314" s="2">
        <v>8.9189814814814826E-3</v>
      </c>
      <c r="M314" s="4" t="str">
        <f t="shared" si="12"/>
        <v>HIGH</v>
      </c>
      <c r="N314" s="4" t="str" cm="1">
        <f t="array" ref="N314">_xlfn.IFS(C314&gt;35,"HIGH",C314&gt;25,"MIDDLE",TRUE,"LOW")</f>
        <v>HIGH</v>
      </c>
      <c r="O314" s="4" t="str">
        <f t="shared" si="13"/>
        <v>PREMINUM MORNING</v>
      </c>
      <c r="P314" s="4" t="str">
        <f t="shared" si="14"/>
        <v>PREMINUM MORNING</v>
      </c>
    </row>
    <row r="315" spans="1:16" x14ac:dyDescent="0.3">
      <c r="A315" s="4">
        <v>12</v>
      </c>
      <c r="B315" t="s">
        <v>11</v>
      </c>
      <c r="C315" s="4">
        <v>37.72</v>
      </c>
      <c r="D315" t="s">
        <v>12</v>
      </c>
      <c r="E315" t="s">
        <v>17</v>
      </c>
      <c r="F315" s="4" t="s">
        <v>14</v>
      </c>
      <c r="G315" s="4" t="s">
        <v>31</v>
      </c>
      <c r="H315" s="4">
        <v>5</v>
      </c>
      <c r="I315" s="4">
        <v>4</v>
      </c>
      <c r="J315" s="1">
        <v>45408</v>
      </c>
      <c r="K315" s="2">
        <v>1.0486111111111111E-3</v>
      </c>
      <c r="M315" s="4" t="str">
        <f t="shared" si="12"/>
        <v>HIGH</v>
      </c>
      <c r="N315" s="4" t="str" cm="1">
        <f t="array" ref="N315">_xlfn.IFS(C315&gt;35,"HIGH",C315&gt;25,"MIDDLE",TRUE,"LOW")</f>
        <v>HIGH</v>
      </c>
      <c r="O315" s="4" t="str">
        <f t="shared" si="13"/>
        <v>OTHERS</v>
      </c>
      <c r="P315" s="4" t="str">
        <f t="shared" si="14"/>
        <v>PREMINUM MORNING</v>
      </c>
    </row>
    <row r="316" spans="1:16" x14ac:dyDescent="0.3">
      <c r="A316" s="4">
        <v>13</v>
      </c>
      <c r="B316" t="s">
        <v>11</v>
      </c>
      <c r="C316" s="4">
        <v>37.72</v>
      </c>
      <c r="D316" t="s">
        <v>29</v>
      </c>
      <c r="E316" t="s">
        <v>17</v>
      </c>
      <c r="F316" s="4" t="s">
        <v>14</v>
      </c>
      <c r="G316" s="4" t="s">
        <v>31</v>
      </c>
      <c r="H316" s="4">
        <v>5</v>
      </c>
      <c r="I316" s="4">
        <v>4</v>
      </c>
      <c r="J316" s="1">
        <v>45408</v>
      </c>
      <c r="K316" s="2">
        <v>2.1855324074074072E-2</v>
      </c>
      <c r="M316" s="4" t="str">
        <f t="shared" si="12"/>
        <v>HIGH</v>
      </c>
      <c r="N316" s="4" t="str" cm="1">
        <f t="array" ref="N316">_xlfn.IFS(C316&gt;35,"HIGH",C316&gt;25,"MIDDLE",TRUE,"LOW")</f>
        <v>HIGH</v>
      </c>
      <c r="O316" s="4" t="str">
        <f t="shared" si="13"/>
        <v>OTHERS</v>
      </c>
      <c r="P316" s="4" t="str">
        <f t="shared" si="14"/>
        <v>PREMINUM MORNING</v>
      </c>
    </row>
    <row r="317" spans="1:16" x14ac:dyDescent="0.3">
      <c r="A317" s="4">
        <v>15</v>
      </c>
      <c r="B317" t="s">
        <v>11</v>
      </c>
      <c r="C317" s="4">
        <v>27.92</v>
      </c>
      <c r="D317" t="s">
        <v>18</v>
      </c>
      <c r="E317" t="s">
        <v>17</v>
      </c>
      <c r="F317" s="4" t="s">
        <v>14</v>
      </c>
      <c r="G317" s="4" t="s">
        <v>31</v>
      </c>
      <c r="H317" s="4">
        <v>5</v>
      </c>
      <c r="I317" s="4">
        <v>4</v>
      </c>
      <c r="J317" s="1">
        <v>45408</v>
      </c>
      <c r="K317" s="2">
        <v>2.2631944444444444E-2</v>
      </c>
      <c r="M317" s="4" t="str">
        <f t="shared" si="12"/>
        <v>LOW</v>
      </c>
      <c r="N317" s="4" t="str" cm="1">
        <f t="array" ref="N317">_xlfn.IFS(C317&gt;35,"HIGH",C317&gt;25,"MIDDLE",TRUE,"LOW")</f>
        <v>MIDDLE</v>
      </c>
      <c r="O317" s="4" t="str">
        <f t="shared" si="13"/>
        <v>OTHERS</v>
      </c>
      <c r="P317" s="4" t="str">
        <f t="shared" si="14"/>
        <v>OTHERS</v>
      </c>
    </row>
    <row r="318" spans="1:16" x14ac:dyDescent="0.3">
      <c r="A318" s="4">
        <v>15</v>
      </c>
      <c r="B318" t="s">
        <v>11</v>
      </c>
      <c r="C318" s="4">
        <v>27.92</v>
      </c>
      <c r="D318" t="s">
        <v>18</v>
      </c>
      <c r="E318" t="s">
        <v>17</v>
      </c>
      <c r="F318" s="4" t="s">
        <v>14</v>
      </c>
      <c r="G318" s="4" t="s">
        <v>31</v>
      </c>
      <c r="H318" s="4">
        <v>5</v>
      </c>
      <c r="I318" s="4">
        <v>4</v>
      </c>
      <c r="J318" s="1">
        <v>45408</v>
      </c>
      <c r="K318" s="2">
        <v>2.3299768518518518E-2</v>
      </c>
      <c r="M318" s="4" t="str">
        <f t="shared" si="12"/>
        <v>LOW</v>
      </c>
      <c r="N318" s="4" t="str" cm="1">
        <f t="array" ref="N318">_xlfn.IFS(C318&gt;35,"HIGH",C318&gt;25,"MIDDLE",TRUE,"LOW")</f>
        <v>MIDDLE</v>
      </c>
      <c r="O318" s="4" t="str">
        <f t="shared" si="13"/>
        <v>OTHERS</v>
      </c>
      <c r="P318" s="4" t="str">
        <f t="shared" si="14"/>
        <v>OTHERS</v>
      </c>
    </row>
    <row r="319" spans="1:16" x14ac:dyDescent="0.3">
      <c r="A319" s="4">
        <v>16</v>
      </c>
      <c r="B319" t="s">
        <v>11</v>
      </c>
      <c r="C319" s="4">
        <v>27.92</v>
      </c>
      <c r="D319" t="s">
        <v>24</v>
      </c>
      <c r="E319" t="s">
        <v>17</v>
      </c>
      <c r="F319" s="4" t="s">
        <v>14</v>
      </c>
      <c r="G319" s="4" t="s">
        <v>31</v>
      </c>
      <c r="H319" s="4">
        <v>5</v>
      </c>
      <c r="I319" s="4">
        <v>4</v>
      </c>
      <c r="J319" s="1">
        <v>45408</v>
      </c>
      <c r="K319" s="2">
        <v>1.6278935185185184E-2</v>
      </c>
      <c r="M319" s="4" t="str">
        <f t="shared" si="12"/>
        <v>LOW</v>
      </c>
      <c r="N319" s="4" t="str" cm="1">
        <f t="array" ref="N319">_xlfn.IFS(C319&gt;35,"HIGH",C319&gt;25,"MIDDLE",TRUE,"LOW")</f>
        <v>MIDDLE</v>
      </c>
      <c r="O319" s="4" t="str">
        <f t="shared" si="13"/>
        <v>OTHERS</v>
      </c>
      <c r="P319" s="4" t="str">
        <f t="shared" si="14"/>
        <v>OTHERS</v>
      </c>
    </row>
    <row r="320" spans="1:16" x14ac:dyDescent="0.3">
      <c r="A320" s="4">
        <v>16</v>
      </c>
      <c r="B320" t="s">
        <v>11</v>
      </c>
      <c r="C320" s="4">
        <v>27.92</v>
      </c>
      <c r="D320" t="s">
        <v>18</v>
      </c>
      <c r="E320" t="s">
        <v>17</v>
      </c>
      <c r="F320" s="4" t="s">
        <v>14</v>
      </c>
      <c r="G320" s="4" t="s">
        <v>31</v>
      </c>
      <c r="H320" s="4">
        <v>5</v>
      </c>
      <c r="I320" s="4">
        <v>4</v>
      </c>
      <c r="J320" s="1">
        <v>45408</v>
      </c>
      <c r="K320" s="2">
        <v>1.7057870370370369E-2</v>
      </c>
      <c r="M320" s="4" t="str">
        <f t="shared" si="12"/>
        <v>LOW</v>
      </c>
      <c r="N320" s="4" t="str" cm="1">
        <f t="array" ref="N320">_xlfn.IFS(C320&gt;35,"HIGH",C320&gt;25,"MIDDLE",TRUE,"LOW")</f>
        <v>MIDDLE</v>
      </c>
      <c r="O320" s="4" t="str">
        <f t="shared" si="13"/>
        <v>OTHERS</v>
      </c>
      <c r="P320" s="4" t="str">
        <f t="shared" si="14"/>
        <v>OTHERS</v>
      </c>
    </row>
    <row r="321" spans="1:16" x14ac:dyDescent="0.3">
      <c r="A321" s="4">
        <v>19</v>
      </c>
      <c r="B321" t="s">
        <v>11</v>
      </c>
      <c r="C321" s="4">
        <v>37.72</v>
      </c>
      <c r="D321" t="s">
        <v>16</v>
      </c>
      <c r="E321" t="s">
        <v>20</v>
      </c>
      <c r="F321" s="4" t="s">
        <v>14</v>
      </c>
      <c r="G321" s="4" t="s">
        <v>31</v>
      </c>
      <c r="H321" s="4">
        <v>5</v>
      </c>
      <c r="I321" s="4">
        <v>4</v>
      </c>
      <c r="J321" s="1">
        <v>45408</v>
      </c>
      <c r="K321" s="2">
        <v>2.2304398148148146E-2</v>
      </c>
      <c r="M321" s="4" t="str">
        <f t="shared" si="12"/>
        <v>HIGH</v>
      </c>
      <c r="N321" s="4" t="str" cm="1">
        <f t="array" ref="N321">_xlfn.IFS(C321&gt;35,"HIGH",C321&gt;25,"MIDDLE",TRUE,"LOW")</f>
        <v>HIGH</v>
      </c>
      <c r="O321" s="4" t="str">
        <f t="shared" si="13"/>
        <v>OTHERS</v>
      </c>
      <c r="P321" s="4" t="str">
        <f t="shared" si="14"/>
        <v>PREMINUM MORNING</v>
      </c>
    </row>
    <row r="322" spans="1:16" x14ac:dyDescent="0.3">
      <c r="A322" s="4">
        <v>19</v>
      </c>
      <c r="B322" t="s">
        <v>11</v>
      </c>
      <c r="C322" s="4">
        <v>37.72</v>
      </c>
      <c r="D322" t="s">
        <v>21</v>
      </c>
      <c r="E322" t="s">
        <v>20</v>
      </c>
      <c r="F322" s="4" t="s">
        <v>14</v>
      </c>
      <c r="G322" s="4" t="s">
        <v>31</v>
      </c>
      <c r="H322" s="4">
        <v>5</v>
      </c>
      <c r="I322" s="4">
        <v>4</v>
      </c>
      <c r="J322" s="1">
        <v>45408</v>
      </c>
      <c r="K322" s="2">
        <v>2.3266203703703706E-2</v>
      </c>
      <c r="M322" s="4" t="str">
        <f t="shared" si="12"/>
        <v>HIGH</v>
      </c>
      <c r="N322" s="4" t="str" cm="1">
        <f t="array" ref="N322">_xlfn.IFS(C322&gt;35,"HIGH",C322&gt;25,"MIDDLE",TRUE,"LOW")</f>
        <v>HIGH</v>
      </c>
      <c r="O322" s="4" t="str">
        <f t="shared" si="13"/>
        <v>OTHERS</v>
      </c>
      <c r="P322" s="4" t="str">
        <f t="shared" si="14"/>
        <v>PREMINUM MORNING</v>
      </c>
    </row>
    <row r="323" spans="1:16" x14ac:dyDescent="0.3">
      <c r="A323" s="4">
        <v>15</v>
      </c>
      <c r="B323" t="s">
        <v>11</v>
      </c>
      <c r="C323" s="4">
        <v>37.72</v>
      </c>
      <c r="D323" t="s">
        <v>29</v>
      </c>
      <c r="E323" t="s">
        <v>17</v>
      </c>
      <c r="F323" s="4" t="s">
        <v>22</v>
      </c>
      <c r="G323" s="4" t="s">
        <v>31</v>
      </c>
      <c r="H323" s="4">
        <v>6</v>
      </c>
      <c r="I323" s="4">
        <v>4</v>
      </c>
      <c r="J323" s="1">
        <v>45409</v>
      </c>
      <c r="K323" s="2">
        <v>1.8758101851851852E-2</v>
      </c>
      <c r="M323" s="4" t="str">
        <f t="shared" ref="M323:M386" si="15">IF(C323&gt;35,"HIGH","LOW")</f>
        <v>HIGH</v>
      </c>
      <c r="N323" s="4" t="str" cm="1">
        <f t="array" ref="N323">_xlfn.IFS(C323&gt;35,"HIGH",C323&gt;25,"MIDDLE",TRUE,"LOW")</f>
        <v>HIGH</v>
      </c>
      <c r="O323" s="4" t="str">
        <f t="shared" ref="O323:O386" si="16">IF(AND(C323&gt;35,E323="MORNING"),"PREMINUM MORNING","OTHERS")</f>
        <v>OTHERS</v>
      </c>
      <c r="P323" s="4" t="str">
        <f t="shared" ref="P323:P386" si="17">IF(OR(C323&gt;35,E323="MORNING"),"PREMINUM MORNING","OTHERS")</f>
        <v>PREMINUM MORNING</v>
      </c>
    </row>
    <row r="324" spans="1:16" x14ac:dyDescent="0.3">
      <c r="A324" s="4">
        <v>10</v>
      </c>
      <c r="B324" t="s">
        <v>11</v>
      </c>
      <c r="C324" s="4">
        <v>37.72</v>
      </c>
      <c r="D324" t="s">
        <v>12</v>
      </c>
      <c r="E324" t="s">
        <v>13</v>
      </c>
      <c r="F324" s="4" t="s">
        <v>23</v>
      </c>
      <c r="G324" s="4" t="s">
        <v>31</v>
      </c>
      <c r="H324" s="4">
        <v>7</v>
      </c>
      <c r="I324" s="4">
        <v>4</v>
      </c>
      <c r="J324" s="1">
        <v>45410</v>
      </c>
      <c r="K324" s="2">
        <v>2.282986111111111E-2</v>
      </c>
      <c r="M324" s="4" t="str">
        <f t="shared" si="15"/>
        <v>HIGH</v>
      </c>
      <c r="N324" s="4" t="str" cm="1">
        <f t="array" ref="N324">_xlfn.IFS(C324&gt;35,"HIGH",C324&gt;25,"MIDDLE",TRUE,"LOW")</f>
        <v>HIGH</v>
      </c>
      <c r="O324" s="4" t="str">
        <f t="shared" si="16"/>
        <v>PREMINUM MORNING</v>
      </c>
      <c r="P324" s="4" t="str">
        <f t="shared" si="17"/>
        <v>PREMINUM MORNING</v>
      </c>
    </row>
    <row r="325" spans="1:16" x14ac:dyDescent="0.3">
      <c r="A325" s="4">
        <v>12</v>
      </c>
      <c r="B325" t="s">
        <v>11</v>
      </c>
      <c r="C325" s="4">
        <v>37.72</v>
      </c>
      <c r="D325" t="s">
        <v>29</v>
      </c>
      <c r="E325" t="s">
        <v>17</v>
      </c>
      <c r="F325" s="4" t="s">
        <v>23</v>
      </c>
      <c r="G325" s="4" t="s">
        <v>31</v>
      </c>
      <c r="H325" s="4">
        <v>7</v>
      </c>
      <c r="I325" s="4">
        <v>4</v>
      </c>
      <c r="J325" s="1">
        <v>45410</v>
      </c>
      <c r="K325" s="2">
        <v>2.0945601851851851E-2</v>
      </c>
      <c r="M325" s="4" t="str">
        <f t="shared" si="15"/>
        <v>HIGH</v>
      </c>
      <c r="N325" s="4" t="str" cm="1">
        <f t="array" ref="N325">_xlfn.IFS(C325&gt;35,"HIGH",C325&gt;25,"MIDDLE",TRUE,"LOW")</f>
        <v>HIGH</v>
      </c>
      <c r="O325" s="4" t="str">
        <f t="shared" si="16"/>
        <v>OTHERS</v>
      </c>
      <c r="P325" s="4" t="str">
        <f t="shared" si="17"/>
        <v>PREMINUM MORNING</v>
      </c>
    </row>
    <row r="326" spans="1:16" x14ac:dyDescent="0.3">
      <c r="A326" s="4">
        <v>18</v>
      </c>
      <c r="B326" t="s">
        <v>11</v>
      </c>
      <c r="C326" s="4">
        <v>27.92</v>
      </c>
      <c r="D326" t="s">
        <v>18</v>
      </c>
      <c r="E326" t="s">
        <v>20</v>
      </c>
      <c r="F326" s="4" t="s">
        <v>23</v>
      </c>
      <c r="G326" s="4" t="s">
        <v>31</v>
      </c>
      <c r="H326" s="4">
        <v>7</v>
      </c>
      <c r="I326" s="4">
        <v>4</v>
      </c>
      <c r="J326" s="1">
        <v>45410</v>
      </c>
      <c r="K326" s="2">
        <v>1.8844907407407407E-2</v>
      </c>
      <c r="M326" s="4" t="str">
        <f t="shared" si="15"/>
        <v>LOW</v>
      </c>
      <c r="N326" s="4" t="str" cm="1">
        <f t="array" ref="N326">_xlfn.IFS(C326&gt;35,"HIGH",C326&gt;25,"MIDDLE",TRUE,"LOW")</f>
        <v>MIDDLE</v>
      </c>
      <c r="O326" s="4" t="str">
        <f t="shared" si="16"/>
        <v>OTHERS</v>
      </c>
      <c r="P326" s="4" t="str">
        <f t="shared" si="17"/>
        <v>OTHERS</v>
      </c>
    </row>
    <row r="327" spans="1:16" x14ac:dyDescent="0.3">
      <c r="A327" s="4">
        <v>18</v>
      </c>
      <c r="B327" t="s">
        <v>11</v>
      </c>
      <c r="C327" s="4">
        <v>27.92</v>
      </c>
      <c r="D327" t="s">
        <v>18</v>
      </c>
      <c r="E327" t="s">
        <v>20</v>
      </c>
      <c r="F327" s="4" t="s">
        <v>23</v>
      </c>
      <c r="G327" s="4" t="s">
        <v>31</v>
      </c>
      <c r="H327" s="4">
        <v>7</v>
      </c>
      <c r="I327" s="4">
        <v>4</v>
      </c>
      <c r="J327" s="1">
        <v>45410</v>
      </c>
      <c r="K327" s="2">
        <v>1.957638888888889E-2</v>
      </c>
      <c r="M327" s="4" t="str">
        <f t="shared" si="15"/>
        <v>LOW</v>
      </c>
      <c r="N327" s="4" t="str" cm="1">
        <f t="array" ref="N327">_xlfn.IFS(C327&gt;35,"HIGH",C327&gt;25,"MIDDLE",TRUE,"LOW")</f>
        <v>MIDDLE</v>
      </c>
      <c r="O327" s="4" t="str">
        <f t="shared" si="16"/>
        <v>OTHERS</v>
      </c>
      <c r="P327" s="4" t="str">
        <f t="shared" si="17"/>
        <v>OTHERS</v>
      </c>
    </row>
    <row r="328" spans="1:16" x14ac:dyDescent="0.3">
      <c r="A328" s="4">
        <v>18</v>
      </c>
      <c r="B328" t="s">
        <v>11</v>
      </c>
      <c r="C328" s="4">
        <v>37.72</v>
      </c>
      <c r="D328" t="s">
        <v>12</v>
      </c>
      <c r="E328" t="s">
        <v>20</v>
      </c>
      <c r="F328" s="4" t="s">
        <v>23</v>
      </c>
      <c r="G328" s="4" t="s">
        <v>31</v>
      </c>
      <c r="H328" s="4">
        <v>7</v>
      </c>
      <c r="I328" s="4">
        <v>4</v>
      </c>
      <c r="J328" s="1">
        <v>45410</v>
      </c>
      <c r="K328" s="2">
        <v>2.0166666666666666E-2</v>
      </c>
      <c r="M328" s="4" t="str">
        <f t="shared" si="15"/>
        <v>HIGH</v>
      </c>
      <c r="N328" s="4" t="str" cm="1">
        <f t="array" ref="N328">_xlfn.IFS(C328&gt;35,"HIGH",C328&gt;25,"MIDDLE",TRUE,"LOW")</f>
        <v>HIGH</v>
      </c>
      <c r="O328" s="4" t="str">
        <f t="shared" si="16"/>
        <v>OTHERS</v>
      </c>
      <c r="P328" s="4" t="str">
        <f t="shared" si="17"/>
        <v>PREMINUM MORNING</v>
      </c>
    </row>
    <row r="329" spans="1:16" x14ac:dyDescent="0.3">
      <c r="A329" s="4">
        <v>11</v>
      </c>
      <c r="B329" t="s">
        <v>11</v>
      </c>
      <c r="C329" s="4">
        <v>27.92</v>
      </c>
      <c r="D329" t="s">
        <v>24</v>
      </c>
      <c r="E329" t="s">
        <v>13</v>
      </c>
      <c r="F329" s="4" t="s">
        <v>25</v>
      </c>
      <c r="G329" s="4" t="s">
        <v>31</v>
      </c>
      <c r="H329" s="4">
        <v>1</v>
      </c>
      <c r="I329" s="4">
        <v>4</v>
      </c>
      <c r="J329" s="1">
        <v>45411</v>
      </c>
      <c r="K329" s="2">
        <v>1.8424768518518521E-2</v>
      </c>
      <c r="M329" s="4" t="str">
        <f t="shared" si="15"/>
        <v>LOW</v>
      </c>
      <c r="N329" s="4" t="str" cm="1">
        <f t="array" ref="N329">_xlfn.IFS(C329&gt;35,"HIGH",C329&gt;25,"MIDDLE",TRUE,"LOW")</f>
        <v>MIDDLE</v>
      </c>
      <c r="O329" s="4" t="str">
        <f t="shared" si="16"/>
        <v>OTHERS</v>
      </c>
      <c r="P329" s="4" t="str">
        <f t="shared" si="17"/>
        <v>PREMINUM MORNING</v>
      </c>
    </row>
    <row r="330" spans="1:16" x14ac:dyDescent="0.3">
      <c r="A330" s="4">
        <v>13</v>
      </c>
      <c r="B330" t="s">
        <v>11</v>
      </c>
      <c r="C330" s="4">
        <v>27.92</v>
      </c>
      <c r="D330" t="s">
        <v>18</v>
      </c>
      <c r="E330" t="s">
        <v>17</v>
      </c>
      <c r="F330" s="4" t="s">
        <v>25</v>
      </c>
      <c r="G330" s="4" t="s">
        <v>31</v>
      </c>
      <c r="H330" s="4">
        <v>1</v>
      </c>
      <c r="I330" s="4">
        <v>4</v>
      </c>
      <c r="J330" s="1">
        <v>45411</v>
      </c>
      <c r="K330" s="2">
        <v>1.9408564814814816E-2</v>
      </c>
      <c r="M330" s="4" t="str">
        <f t="shared" si="15"/>
        <v>LOW</v>
      </c>
      <c r="N330" s="4" t="str" cm="1">
        <f t="array" ref="N330">_xlfn.IFS(C330&gt;35,"HIGH",C330&gt;25,"MIDDLE",TRUE,"LOW")</f>
        <v>MIDDLE</v>
      </c>
      <c r="O330" s="4" t="str">
        <f t="shared" si="16"/>
        <v>OTHERS</v>
      </c>
      <c r="P330" s="4" t="str">
        <f t="shared" si="17"/>
        <v>OTHERS</v>
      </c>
    </row>
    <row r="331" spans="1:16" x14ac:dyDescent="0.3">
      <c r="A331" s="4">
        <v>13</v>
      </c>
      <c r="B331" t="s">
        <v>11</v>
      </c>
      <c r="C331" s="4">
        <v>27.92</v>
      </c>
      <c r="D331" t="s">
        <v>24</v>
      </c>
      <c r="E331" t="s">
        <v>17</v>
      </c>
      <c r="F331" s="4" t="s">
        <v>25</v>
      </c>
      <c r="G331" s="4" t="s">
        <v>31</v>
      </c>
      <c r="H331" s="4">
        <v>1</v>
      </c>
      <c r="I331" s="4">
        <v>4</v>
      </c>
      <c r="J331" s="1">
        <v>45411</v>
      </c>
      <c r="K331" s="2">
        <v>2.0068287037037037E-2</v>
      </c>
      <c r="M331" s="4" t="str">
        <f t="shared" si="15"/>
        <v>LOW</v>
      </c>
      <c r="N331" s="4" t="str" cm="1">
        <f t="array" ref="N331">_xlfn.IFS(C331&gt;35,"HIGH",C331&gt;25,"MIDDLE",TRUE,"LOW")</f>
        <v>MIDDLE</v>
      </c>
      <c r="O331" s="4" t="str">
        <f t="shared" si="16"/>
        <v>OTHERS</v>
      </c>
      <c r="P331" s="4" t="str">
        <f t="shared" si="17"/>
        <v>OTHERS</v>
      </c>
    </row>
    <row r="332" spans="1:16" x14ac:dyDescent="0.3">
      <c r="A332" s="4">
        <v>13</v>
      </c>
      <c r="B332" t="s">
        <v>11</v>
      </c>
      <c r="C332" s="4">
        <v>27.92</v>
      </c>
      <c r="D332" t="s">
        <v>24</v>
      </c>
      <c r="E332" t="s">
        <v>17</v>
      </c>
      <c r="F332" s="4" t="s">
        <v>25</v>
      </c>
      <c r="G332" s="4" t="s">
        <v>31</v>
      </c>
      <c r="H332" s="4">
        <v>1</v>
      </c>
      <c r="I332" s="4">
        <v>4</v>
      </c>
      <c r="J332" s="1">
        <v>45411</v>
      </c>
      <c r="K332" s="2">
        <v>3.7218749999999995E-2</v>
      </c>
      <c r="M332" s="4" t="str">
        <f t="shared" si="15"/>
        <v>LOW</v>
      </c>
      <c r="N332" s="4" t="str" cm="1">
        <f t="array" ref="N332">_xlfn.IFS(C332&gt;35,"HIGH",C332&gt;25,"MIDDLE",TRUE,"LOW")</f>
        <v>MIDDLE</v>
      </c>
      <c r="O332" s="4" t="str">
        <f t="shared" si="16"/>
        <v>OTHERS</v>
      </c>
      <c r="P332" s="4" t="str">
        <f t="shared" si="17"/>
        <v>OTHERS</v>
      </c>
    </row>
    <row r="333" spans="1:16" x14ac:dyDescent="0.3">
      <c r="A333" s="4">
        <v>13</v>
      </c>
      <c r="B333" t="s">
        <v>11</v>
      </c>
      <c r="C333" s="4">
        <v>32.82</v>
      </c>
      <c r="D333" t="s">
        <v>19</v>
      </c>
      <c r="E333" t="s">
        <v>17</v>
      </c>
      <c r="F333" s="4" t="s">
        <v>25</v>
      </c>
      <c r="G333" s="4" t="s">
        <v>31</v>
      </c>
      <c r="H333" s="4">
        <v>1</v>
      </c>
      <c r="I333" s="4">
        <v>4</v>
      </c>
      <c r="J333" s="1">
        <v>45411</v>
      </c>
      <c r="K333" s="2">
        <v>3.778240740740741E-2</v>
      </c>
      <c r="M333" s="4" t="str">
        <f t="shared" si="15"/>
        <v>LOW</v>
      </c>
      <c r="N333" s="4" t="str" cm="1">
        <f t="array" ref="N333">_xlfn.IFS(C333&gt;35,"HIGH",C333&gt;25,"MIDDLE",TRUE,"LOW")</f>
        <v>MIDDLE</v>
      </c>
      <c r="O333" s="4" t="str">
        <f t="shared" si="16"/>
        <v>OTHERS</v>
      </c>
      <c r="P333" s="4" t="str">
        <f t="shared" si="17"/>
        <v>OTHERS</v>
      </c>
    </row>
    <row r="334" spans="1:16" x14ac:dyDescent="0.3">
      <c r="A334" s="4">
        <v>18</v>
      </c>
      <c r="B334" t="s">
        <v>11</v>
      </c>
      <c r="C334" s="4">
        <v>37.72</v>
      </c>
      <c r="D334" t="s">
        <v>29</v>
      </c>
      <c r="E334" t="s">
        <v>20</v>
      </c>
      <c r="F334" s="4" t="s">
        <v>25</v>
      </c>
      <c r="G334" s="4" t="s">
        <v>31</v>
      </c>
      <c r="H334" s="4">
        <v>1</v>
      </c>
      <c r="I334" s="4">
        <v>4</v>
      </c>
      <c r="J334" s="1">
        <v>45411</v>
      </c>
      <c r="K334" s="2">
        <v>2.6254629629629631E-2</v>
      </c>
      <c r="M334" s="4" t="str">
        <f t="shared" si="15"/>
        <v>HIGH</v>
      </c>
      <c r="N334" s="4" t="str" cm="1">
        <f t="array" ref="N334">_xlfn.IFS(C334&gt;35,"HIGH",C334&gt;25,"MIDDLE",TRUE,"LOW")</f>
        <v>HIGH</v>
      </c>
      <c r="O334" s="4" t="str">
        <f t="shared" si="16"/>
        <v>OTHERS</v>
      </c>
      <c r="P334" s="4" t="str">
        <f t="shared" si="17"/>
        <v>PREMINUM MORNING</v>
      </c>
    </row>
    <row r="335" spans="1:16" x14ac:dyDescent="0.3">
      <c r="A335" s="4">
        <v>19</v>
      </c>
      <c r="B335" t="s">
        <v>11</v>
      </c>
      <c r="C335" s="4">
        <v>37.72</v>
      </c>
      <c r="D335" t="s">
        <v>29</v>
      </c>
      <c r="E335" t="s">
        <v>20</v>
      </c>
      <c r="F335" s="4" t="s">
        <v>25</v>
      </c>
      <c r="G335" s="4" t="s">
        <v>31</v>
      </c>
      <c r="H335" s="4">
        <v>1</v>
      </c>
      <c r="I335" s="4">
        <v>4</v>
      </c>
      <c r="J335" s="1">
        <v>45411</v>
      </c>
      <c r="K335" s="2">
        <v>8.7175925925925928E-3</v>
      </c>
      <c r="M335" s="4" t="str">
        <f t="shared" si="15"/>
        <v>HIGH</v>
      </c>
      <c r="N335" s="4" t="str" cm="1">
        <f t="array" ref="N335">_xlfn.IFS(C335&gt;35,"HIGH",C335&gt;25,"MIDDLE",TRUE,"LOW")</f>
        <v>HIGH</v>
      </c>
      <c r="O335" s="4" t="str">
        <f t="shared" si="16"/>
        <v>OTHERS</v>
      </c>
      <c r="P335" s="4" t="str">
        <f t="shared" si="17"/>
        <v>PREMINUM MORNING</v>
      </c>
    </row>
    <row r="336" spans="1:16" x14ac:dyDescent="0.3">
      <c r="A336" s="4">
        <v>19</v>
      </c>
      <c r="B336" t="s">
        <v>11</v>
      </c>
      <c r="C336" s="4">
        <v>37.72</v>
      </c>
      <c r="D336" t="s">
        <v>29</v>
      </c>
      <c r="E336" t="s">
        <v>20</v>
      </c>
      <c r="F336" s="4" t="s">
        <v>25</v>
      </c>
      <c r="G336" s="4" t="s">
        <v>31</v>
      </c>
      <c r="H336" s="4">
        <v>1</v>
      </c>
      <c r="I336" s="4">
        <v>4</v>
      </c>
      <c r="J336" s="1">
        <v>45411</v>
      </c>
      <c r="K336" s="2">
        <v>9.4664351851851854E-3</v>
      </c>
      <c r="M336" s="4" t="str">
        <f t="shared" si="15"/>
        <v>HIGH</v>
      </c>
      <c r="N336" s="4" t="str" cm="1">
        <f t="array" ref="N336">_xlfn.IFS(C336&gt;35,"HIGH",C336&gt;25,"MIDDLE",TRUE,"LOW")</f>
        <v>HIGH</v>
      </c>
      <c r="O336" s="4" t="str">
        <f t="shared" si="16"/>
        <v>OTHERS</v>
      </c>
      <c r="P336" s="4" t="str">
        <f t="shared" si="17"/>
        <v>PREMINUM MORNING</v>
      </c>
    </row>
    <row r="337" spans="1:16" x14ac:dyDescent="0.3">
      <c r="A337" s="4">
        <v>10</v>
      </c>
      <c r="B337" t="s">
        <v>11</v>
      </c>
      <c r="C337" s="4">
        <v>37.72</v>
      </c>
      <c r="D337" t="s">
        <v>12</v>
      </c>
      <c r="E337" t="s">
        <v>13</v>
      </c>
      <c r="F337" s="4" t="s">
        <v>27</v>
      </c>
      <c r="G337" s="4" t="s">
        <v>31</v>
      </c>
      <c r="H337" s="4">
        <v>2</v>
      </c>
      <c r="I337" s="4">
        <v>4</v>
      </c>
      <c r="J337" s="1">
        <v>45412</v>
      </c>
      <c r="K337" s="2">
        <v>1.1591435185185186E-2</v>
      </c>
      <c r="M337" s="4" t="str">
        <f t="shared" si="15"/>
        <v>HIGH</v>
      </c>
      <c r="N337" s="4" t="str" cm="1">
        <f t="array" ref="N337">_xlfn.IFS(C337&gt;35,"HIGH",C337&gt;25,"MIDDLE",TRUE,"LOW")</f>
        <v>HIGH</v>
      </c>
      <c r="O337" s="4" t="str">
        <f t="shared" si="16"/>
        <v>PREMINUM MORNING</v>
      </c>
      <c r="P337" s="4" t="str">
        <f t="shared" si="17"/>
        <v>PREMINUM MORNING</v>
      </c>
    </row>
    <row r="338" spans="1:16" x14ac:dyDescent="0.3">
      <c r="A338" s="4">
        <v>10</v>
      </c>
      <c r="B338" t="s">
        <v>11</v>
      </c>
      <c r="C338" s="4">
        <v>32.82</v>
      </c>
      <c r="D338" t="s">
        <v>19</v>
      </c>
      <c r="E338" t="s">
        <v>13</v>
      </c>
      <c r="F338" s="4" t="s">
        <v>27</v>
      </c>
      <c r="G338" s="4" t="s">
        <v>31</v>
      </c>
      <c r="H338" s="4">
        <v>2</v>
      </c>
      <c r="I338" s="4">
        <v>4</v>
      </c>
      <c r="J338" s="1">
        <v>45412</v>
      </c>
      <c r="K338" s="2">
        <v>2.4215277777777777E-2</v>
      </c>
      <c r="M338" s="4" t="str">
        <f t="shared" si="15"/>
        <v>LOW</v>
      </c>
      <c r="N338" s="4" t="str" cm="1">
        <f t="array" ref="N338">_xlfn.IFS(C338&gt;35,"HIGH",C338&gt;25,"MIDDLE",TRUE,"LOW")</f>
        <v>MIDDLE</v>
      </c>
      <c r="O338" s="4" t="str">
        <f t="shared" si="16"/>
        <v>OTHERS</v>
      </c>
      <c r="P338" s="4" t="str">
        <f t="shared" si="17"/>
        <v>PREMINUM MORNING</v>
      </c>
    </row>
    <row r="339" spans="1:16" x14ac:dyDescent="0.3">
      <c r="A339" s="4">
        <v>10</v>
      </c>
      <c r="B339" t="s">
        <v>11</v>
      </c>
      <c r="C339" s="4">
        <v>32.82</v>
      </c>
      <c r="D339" t="s">
        <v>19</v>
      </c>
      <c r="E339" t="s">
        <v>13</v>
      </c>
      <c r="F339" s="4" t="s">
        <v>27</v>
      </c>
      <c r="G339" s="4" t="s">
        <v>31</v>
      </c>
      <c r="H339" s="4">
        <v>2</v>
      </c>
      <c r="I339" s="4">
        <v>4</v>
      </c>
      <c r="J339" s="1">
        <v>45412</v>
      </c>
      <c r="K339" s="2">
        <v>2.4856481481481479E-2</v>
      </c>
      <c r="M339" s="4" t="str">
        <f t="shared" si="15"/>
        <v>LOW</v>
      </c>
      <c r="N339" s="4" t="str" cm="1">
        <f t="array" ref="N339">_xlfn.IFS(C339&gt;35,"HIGH",C339&gt;25,"MIDDLE",TRUE,"LOW")</f>
        <v>MIDDLE</v>
      </c>
      <c r="O339" s="4" t="str">
        <f t="shared" si="16"/>
        <v>OTHERS</v>
      </c>
      <c r="P339" s="4" t="str">
        <f t="shared" si="17"/>
        <v>PREMINUM MORNING</v>
      </c>
    </row>
    <row r="340" spans="1:16" x14ac:dyDescent="0.3">
      <c r="A340" s="4">
        <v>13</v>
      </c>
      <c r="B340" t="s">
        <v>11</v>
      </c>
      <c r="C340" s="4">
        <v>27.92</v>
      </c>
      <c r="D340" t="s">
        <v>18</v>
      </c>
      <c r="E340" t="s">
        <v>17</v>
      </c>
      <c r="F340" s="4" t="s">
        <v>27</v>
      </c>
      <c r="G340" s="4" t="s">
        <v>31</v>
      </c>
      <c r="H340" s="4">
        <v>2</v>
      </c>
      <c r="I340" s="4">
        <v>4</v>
      </c>
      <c r="J340" s="1">
        <v>45412</v>
      </c>
      <c r="K340" s="2">
        <v>2.9077546296296299E-2</v>
      </c>
      <c r="M340" s="4" t="str">
        <f t="shared" si="15"/>
        <v>LOW</v>
      </c>
      <c r="N340" s="4" t="str" cm="1">
        <f t="array" ref="N340">_xlfn.IFS(C340&gt;35,"HIGH",C340&gt;25,"MIDDLE",TRUE,"LOW")</f>
        <v>MIDDLE</v>
      </c>
      <c r="O340" s="4" t="str">
        <f t="shared" si="16"/>
        <v>OTHERS</v>
      </c>
      <c r="P340" s="4" t="str">
        <f t="shared" si="17"/>
        <v>OTHERS</v>
      </c>
    </row>
    <row r="341" spans="1:16" x14ac:dyDescent="0.3">
      <c r="A341" s="4">
        <v>13</v>
      </c>
      <c r="B341" t="s">
        <v>11</v>
      </c>
      <c r="C341" s="4">
        <v>32.82</v>
      </c>
      <c r="D341" t="s">
        <v>19</v>
      </c>
      <c r="E341" t="s">
        <v>17</v>
      </c>
      <c r="F341" s="4" t="s">
        <v>27</v>
      </c>
      <c r="G341" s="4" t="s">
        <v>31</v>
      </c>
      <c r="H341" s="4">
        <v>2</v>
      </c>
      <c r="I341" s="4">
        <v>4</v>
      </c>
      <c r="J341" s="1">
        <v>45412</v>
      </c>
      <c r="K341" s="2">
        <v>2.9861111111111113E-2</v>
      </c>
      <c r="M341" s="4" t="str">
        <f t="shared" si="15"/>
        <v>LOW</v>
      </c>
      <c r="N341" s="4" t="str" cm="1">
        <f t="array" ref="N341">_xlfn.IFS(C341&gt;35,"HIGH",C341&gt;25,"MIDDLE",TRUE,"LOW")</f>
        <v>MIDDLE</v>
      </c>
      <c r="O341" s="4" t="str">
        <f t="shared" si="16"/>
        <v>OTHERS</v>
      </c>
      <c r="P341" s="4" t="str">
        <f t="shared" si="17"/>
        <v>OTHERS</v>
      </c>
    </row>
    <row r="342" spans="1:16" x14ac:dyDescent="0.3">
      <c r="A342" s="4">
        <v>19</v>
      </c>
      <c r="B342" t="s">
        <v>11</v>
      </c>
      <c r="C342" s="4">
        <v>37.72</v>
      </c>
      <c r="D342" t="s">
        <v>29</v>
      </c>
      <c r="E342" t="s">
        <v>20</v>
      </c>
      <c r="F342" s="4" t="s">
        <v>27</v>
      </c>
      <c r="G342" s="4" t="s">
        <v>31</v>
      </c>
      <c r="H342" s="4">
        <v>2</v>
      </c>
      <c r="I342" s="4">
        <v>4</v>
      </c>
      <c r="J342" s="1">
        <v>45412</v>
      </c>
      <c r="K342" s="2">
        <v>1.3403935185185184E-2</v>
      </c>
      <c r="M342" s="4" t="str">
        <f t="shared" si="15"/>
        <v>HIGH</v>
      </c>
      <c r="N342" s="4" t="str" cm="1">
        <f t="array" ref="N342">_xlfn.IFS(C342&gt;35,"HIGH",C342&gt;25,"MIDDLE",TRUE,"LOW")</f>
        <v>HIGH</v>
      </c>
      <c r="O342" s="4" t="str">
        <f t="shared" si="16"/>
        <v>OTHERS</v>
      </c>
      <c r="P342" s="4" t="str">
        <f t="shared" si="17"/>
        <v>PREMINUM MORNING</v>
      </c>
    </row>
    <row r="343" spans="1:16" x14ac:dyDescent="0.3">
      <c r="A343" s="4">
        <v>19</v>
      </c>
      <c r="B343" t="s">
        <v>11</v>
      </c>
      <c r="C343" s="4">
        <v>32.82</v>
      </c>
      <c r="D343" t="s">
        <v>19</v>
      </c>
      <c r="E343" t="s">
        <v>20</v>
      </c>
      <c r="F343" s="4" t="s">
        <v>27</v>
      </c>
      <c r="G343" s="4" t="s">
        <v>31</v>
      </c>
      <c r="H343" s="4">
        <v>2</v>
      </c>
      <c r="I343" s="4">
        <v>4</v>
      </c>
      <c r="J343" s="1">
        <v>45412</v>
      </c>
      <c r="K343" s="2">
        <v>2.087962962962963E-2</v>
      </c>
      <c r="M343" s="4" t="str">
        <f t="shared" si="15"/>
        <v>LOW</v>
      </c>
      <c r="N343" s="4" t="str" cm="1">
        <f t="array" ref="N343">_xlfn.IFS(C343&gt;35,"HIGH",C343&gt;25,"MIDDLE",TRUE,"LOW")</f>
        <v>MIDDLE</v>
      </c>
      <c r="O343" s="4" t="str">
        <f t="shared" si="16"/>
        <v>OTHERS</v>
      </c>
      <c r="P343" s="4" t="str">
        <f t="shared" si="17"/>
        <v>OTHERS</v>
      </c>
    </row>
    <row r="344" spans="1:16" x14ac:dyDescent="0.3">
      <c r="A344" s="4">
        <v>19</v>
      </c>
      <c r="B344" t="s">
        <v>11</v>
      </c>
      <c r="C344" s="4">
        <v>37.72</v>
      </c>
      <c r="D344" t="s">
        <v>12</v>
      </c>
      <c r="E344" t="s">
        <v>20</v>
      </c>
      <c r="F344" s="4" t="s">
        <v>27</v>
      </c>
      <c r="G344" s="4" t="s">
        <v>31</v>
      </c>
      <c r="H344" s="4">
        <v>2</v>
      </c>
      <c r="I344" s="4">
        <v>4</v>
      </c>
      <c r="J344" s="1">
        <v>45412</v>
      </c>
      <c r="K344" s="2">
        <v>2.1770833333333333E-2</v>
      </c>
      <c r="M344" s="4" t="str">
        <f t="shared" si="15"/>
        <v>HIGH</v>
      </c>
      <c r="N344" s="4" t="str" cm="1">
        <f t="array" ref="N344">_xlfn.IFS(C344&gt;35,"HIGH",C344&gt;25,"MIDDLE",TRUE,"LOW")</f>
        <v>HIGH</v>
      </c>
      <c r="O344" s="4" t="str">
        <f t="shared" si="16"/>
        <v>OTHERS</v>
      </c>
      <c r="P344" s="4" t="str">
        <f t="shared" si="17"/>
        <v>PREMINUM MORNING</v>
      </c>
    </row>
    <row r="345" spans="1:16" x14ac:dyDescent="0.3">
      <c r="A345" s="4">
        <v>10</v>
      </c>
      <c r="B345" t="s">
        <v>11</v>
      </c>
      <c r="C345" s="4">
        <v>27.92</v>
      </c>
      <c r="D345" t="s">
        <v>18</v>
      </c>
      <c r="E345" t="s">
        <v>13</v>
      </c>
      <c r="F345" s="4" t="s">
        <v>30</v>
      </c>
      <c r="G345" s="4" t="s">
        <v>32</v>
      </c>
      <c r="H345" s="4">
        <v>4</v>
      </c>
      <c r="I345" s="4">
        <v>5</v>
      </c>
      <c r="J345" s="1">
        <v>45414</v>
      </c>
      <c r="K345" s="2">
        <v>2.3561342592592592E-2</v>
      </c>
      <c r="M345" s="4" t="str">
        <f t="shared" si="15"/>
        <v>LOW</v>
      </c>
      <c r="N345" s="4" t="str" cm="1">
        <f t="array" ref="N345">_xlfn.IFS(C345&gt;35,"HIGH",C345&gt;25,"MIDDLE",TRUE,"LOW")</f>
        <v>MIDDLE</v>
      </c>
      <c r="O345" s="4" t="str">
        <f t="shared" si="16"/>
        <v>OTHERS</v>
      </c>
      <c r="P345" s="4" t="str">
        <f t="shared" si="17"/>
        <v>PREMINUM MORNING</v>
      </c>
    </row>
    <row r="346" spans="1:16" x14ac:dyDescent="0.3">
      <c r="A346" s="4">
        <v>13</v>
      </c>
      <c r="B346" t="s">
        <v>11</v>
      </c>
      <c r="C346" s="4">
        <v>32.82</v>
      </c>
      <c r="D346" t="s">
        <v>19</v>
      </c>
      <c r="E346" t="s">
        <v>17</v>
      </c>
      <c r="F346" s="4" t="s">
        <v>30</v>
      </c>
      <c r="G346" s="4" t="s">
        <v>32</v>
      </c>
      <c r="H346" s="4">
        <v>4</v>
      </c>
      <c r="I346" s="4">
        <v>5</v>
      </c>
      <c r="J346" s="1">
        <v>45414</v>
      </c>
      <c r="K346" s="2">
        <v>3.4489583333333337E-2</v>
      </c>
      <c r="M346" s="4" t="str">
        <f t="shared" si="15"/>
        <v>LOW</v>
      </c>
      <c r="N346" s="4" t="str" cm="1">
        <f t="array" ref="N346">_xlfn.IFS(C346&gt;35,"HIGH",C346&gt;25,"MIDDLE",TRUE,"LOW")</f>
        <v>MIDDLE</v>
      </c>
      <c r="O346" s="4" t="str">
        <f t="shared" si="16"/>
        <v>OTHERS</v>
      </c>
      <c r="P346" s="4" t="str">
        <f t="shared" si="17"/>
        <v>OTHERS</v>
      </c>
    </row>
    <row r="347" spans="1:16" x14ac:dyDescent="0.3">
      <c r="A347" s="4">
        <v>18</v>
      </c>
      <c r="B347" t="s">
        <v>11</v>
      </c>
      <c r="C347" s="4">
        <v>37.72</v>
      </c>
      <c r="D347" t="s">
        <v>29</v>
      </c>
      <c r="E347" t="s">
        <v>20</v>
      </c>
      <c r="F347" s="4" t="s">
        <v>30</v>
      </c>
      <c r="G347" s="4" t="s">
        <v>32</v>
      </c>
      <c r="H347" s="4">
        <v>4</v>
      </c>
      <c r="I347" s="4">
        <v>5</v>
      </c>
      <c r="J347" s="1">
        <v>45414</v>
      </c>
      <c r="K347" s="2">
        <v>2.5255787037037035E-2</v>
      </c>
      <c r="M347" s="4" t="str">
        <f t="shared" si="15"/>
        <v>HIGH</v>
      </c>
      <c r="N347" s="4" t="str" cm="1">
        <f t="array" ref="N347">_xlfn.IFS(C347&gt;35,"HIGH",C347&gt;25,"MIDDLE",TRUE,"LOW")</f>
        <v>HIGH</v>
      </c>
      <c r="O347" s="4" t="str">
        <f t="shared" si="16"/>
        <v>OTHERS</v>
      </c>
      <c r="P347" s="4" t="str">
        <f t="shared" si="17"/>
        <v>PREMINUM MORNING</v>
      </c>
    </row>
    <row r="348" spans="1:16" x14ac:dyDescent="0.3">
      <c r="A348" s="4">
        <v>18</v>
      </c>
      <c r="B348" t="s">
        <v>11</v>
      </c>
      <c r="C348" s="4">
        <v>32.82</v>
      </c>
      <c r="D348" t="s">
        <v>19</v>
      </c>
      <c r="E348" t="s">
        <v>20</v>
      </c>
      <c r="F348" s="4" t="s">
        <v>30</v>
      </c>
      <c r="G348" s="4" t="s">
        <v>32</v>
      </c>
      <c r="H348" s="4">
        <v>4</v>
      </c>
      <c r="I348" s="4">
        <v>5</v>
      </c>
      <c r="J348" s="1">
        <v>45414</v>
      </c>
      <c r="K348" s="2">
        <v>2.8601851851851851E-2</v>
      </c>
      <c r="M348" s="4" t="str">
        <f t="shared" si="15"/>
        <v>LOW</v>
      </c>
      <c r="N348" s="4" t="str" cm="1">
        <f t="array" ref="N348">_xlfn.IFS(C348&gt;35,"HIGH",C348&gt;25,"MIDDLE",TRUE,"LOW")</f>
        <v>MIDDLE</v>
      </c>
      <c r="O348" s="4" t="str">
        <f t="shared" si="16"/>
        <v>OTHERS</v>
      </c>
      <c r="P348" s="4" t="str">
        <f t="shared" si="17"/>
        <v>OTHERS</v>
      </c>
    </row>
    <row r="349" spans="1:16" x14ac:dyDescent="0.3">
      <c r="A349" s="4">
        <v>19</v>
      </c>
      <c r="B349" t="s">
        <v>11</v>
      </c>
      <c r="C349" s="4">
        <v>37.72</v>
      </c>
      <c r="D349" t="s">
        <v>12</v>
      </c>
      <c r="E349" t="s">
        <v>20</v>
      </c>
      <c r="F349" s="4" t="s">
        <v>30</v>
      </c>
      <c r="G349" s="4" t="s">
        <v>32</v>
      </c>
      <c r="H349" s="4">
        <v>4</v>
      </c>
      <c r="I349" s="4">
        <v>5</v>
      </c>
      <c r="J349" s="1">
        <v>45414</v>
      </c>
      <c r="K349" s="2">
        <v>1.288310185185185E-2</v>
      </c>
      <c r="M349" s="4" t="str">
        <f t="shared" si="15"/>
        <v>HIGH</v>
      </c>
      <c r="N349" s="4" t="str" cm="1">
        <f t="array" ref="N349">_xlfn.IFS(C349&gt;35,"HIGH",C349&gt;25,"MIDDLE",TRUE,"LOW")</f>
        <v>HIGH</v>
      </c>
      <c r="O349" s="4" t="str">
        <f t="shared" si="16"/>
        <v>OTHERS</v>
      </c>
      <c r="P349" s="4" t="str">
        <f t="shared" si="17"/>
        <v>PREMINUM MORNING</v>
      </c>
    </row>
    <row r="350" spans="1:16" x14ac:dyDescent="0.3">
      <c r="A350" s="4">
        <v>19</v>
      </c>
      <c r="B350" t="s">
        <v>11</v>
      </c>
      <c r="C350" s="4">
        <v>37.72</v>
      </c>
      <c r="D350" t="s">
        <v>29</v>
      </c>
      <c r="E350" t="s">
        <v>20</v>
      </c>
      <c r="F350" s="4" t="s">
        <v>30</v>
      </c>
      <c r="G350" s="4" t="s">
        <v>32</v>
      </c>
      <c r="H350" s="4">
        <v>4</v>
      </c>
      <c r="I350" s="4">
        <v>5</v>
      </c>
      <c r="J350" s="1">
        <v>45414</v>
      </c>
      <c r="K350" s="2">
        <v>1.3847222222222223E-2</v>
      </c>
      <c r="M350" s="4" t="str">
        <f t="shared" si="15"/>
        <v>HIGH</v>
      </c>
      <c r="N350" s="4" t="str" cm="1">
        <f t="array" ref="N350">_xlfn.IFS(C350&gt;35,"HIGH",C350&gt;25,"MIDDLE",TRUE,"LOW")</f>
        <v>HIGH</v>
      </c>
      <c r="O350" s="4" t="str">
        <f t="shared" si="16"/>
        <v>OTHERS</v>
      </c>
      <c r="P350" s="4" t="str">
        <f t="shared" si="17"/>
        <v>PREMINUM MORNING</v>
      </c>
    </row>
    <row r="351" spans="1:16" x14ac:dyDescent="0.3">
      <c r="A351" s="4">
        <v>14</v>
      </c>
      <c r="B351" t="s">
        <v>11</v>
      </c>
      <c r="C351" s="4">
        <v>37.72</v>
      </c>
      <c r="D351" t="s">
        <v>12</v>
      </c>
      <c r="E351" t="s">
        <v>17</v>
      </c>
      <c r="F351" s="4" t="s">
        <v>14</v>
      </c>
      <c r="G351" s="4" t="s">
        <v>32</v>
      </c>
      <c r="H351" s="4">
        <v>5</v>
      </c>
      <c r="I351" s="4">
        <v>5</v>
      </c>
      <c r="J351" s="1">
        <v>45415</v>
      </c>
      <c r="K351" s="2">
        <v>2.0843750000000001E-2</v>
      </c>
      <c r="M351" s="4" t="str">
        <f t="shared" si="15"/>
        <v>HIGH</v>
      </c>
      <c r="N351" s="4" t="str" cm="1">
        <f t="array" ref="N351">_xlfn.IFS(C351&gt;35,"HIGH",C351&gt;25,"MIDDLE",TRUE,"LOW")</f>
        <v>HIGH</v>
      </c>
      <c r="O351" s="4" t="str">
        <f t="shared" si="16"/>
        <v>OTHERS</v>
      </c>
      <c r="P351" s="4" t="str">
        <f t="shared" si="17"/>
        <v>PREMINUM MORNING</v>
      </c>
    </row>
    <row r="352" spans="1:16" x14ac:dyDescent="0.3">
      <c r="A352" s="4">
        <v>17</v>
      </c>
      <c r="B352" t="s">
        <v>11</v>
      </c>
      <c r="C352" s="4">
        <v>37.72</v>
      </c>
      <c r="D352" t="s">
        <v>12</v>
      </c>
      <c r="E352" t="s">
        <v>20</v>
      </c>
      <c r="F352" s="4" t="s">
        <v>14</v>
      </c>
      <c r="G352" s="4" t="s">
        <v>32</v>
      </c>
      <c r="H352" s="4">
        <v>5</v>
      </c>
      <c r="I352" s="4">
        <v>5</v>
      </c>
      <c r="J352" s="1">
        <v>45415</v>
      </c>
      <c r="K352" s="2">
        <v>2.371527777777778E-3</v>
      </c>
      <c r="M352" s="4" t="str">
        <f t="shared" si="15"/>
        <v>HIGH</v>
      </c>
      <c r="N352" s="4" t="str" cm="1">
        <f t="array" ref="N352">_xlfn.IFS(C352&gt;35,"HIGH",C352&gt;25,"MIDDLE",TRUE,"LOW")</f>
        <v>HIGH</v>
      </c>
      <c r="O352" s="4" t="str">
        <f t="shared" si="16"/>
        <v>OTHERS</v>
      </c>
      <c r="P352" s="4" t="str">
        <f t="shared" si="17"/>
        <v>PREMINUM MORNING</v>
      </c>
    </row>
    <row r="353" spans="1:16" x14ac:dyDescent="0.3">
      <c r="A353" s="4">
        <v>10</v>
      </c>
      <c r="B353" t="s">
        <v>11</v>
      </c>
      <c r="C353" s="4">
        <v>27.92</v>
      </c>
      <c r="D353" t="s">
        <v>18</v>
      </c>
      <c r="E353" t="s">
        <v>13</v>
      </c>
      <c r="F353" s="4" t="s">
        <v>25</v>
      </c>
      <c r="G353" s="4" t="s">
        <v>32</v>
      </c>
      <c r="H353" s="4">
        <v>1</v>
      </c>
      <c r="I353" s="4">
        <v>5</v>
      </c>
      <c r="J353" s="1">
        <v>45418</v>
      </c>
      <c r="K353" s="2">
        <v>3.6793981481481478E-3</v>
      </c>
      <c r="M353" s="4" t="str">
        <f t="shared" si="15"/>
        <v>LOW</v>
      </c>
      <c r="N353" s="4" t="str" cm="1">
        <f t="array" ref="N353">_xlfn.IFS(C353&gt;35,"HIGH",C353&gt;25,"MIDDLE",TRUE,"LOW")</f>
        <v>MIDDLE</v>
      </c>
      <c r="O353" s="4" t="str">
        <f t="shared" si="16"/>
        <v>OTHERS</v>
      </c>
      <c r="P353" s="4" t="str">
        <f t="shared" si="17"/>
        <v>PREMINUM MORNING</v>
      </c>
    </row>
    <row r="354" spans="1:16" x14ac:dyDescent="0.3">
      <c r="A354" s="4">
        <v>10</v>
      </c>
      <c r="B354" t="s">
        <v>11</v>
      </c>
      <c r="C354" s="4">
        <v>37.72</v>
      </c>
      <c r="D354" t="s">
        <v>29</v>
      </c>
      <c r="E354" t="s">
        <v>13</v>
      </c>
      <c r="F354" s="4" t="s">
        <v>25</v>
      </c>
      <c r="G354" s="4" t="s">
        <v>32</v>
      </c>
      <c r="H354" s="4">
        <v>1</v>
      </c>
      <c r="I354" s="4">
        <v>5</v>
      </c>
      <c r="J354" s="1">
        <v>45418</v>
      </c>
      <c r="K354" s="2">
        <v>4.7638888888888896E-3</v>
      </c>
      <c r="M354" s="4" t="str">
        <f t="shared" si="15"/>
        <v>HIGH</v>
      </c>
      <c r="N354" s="4" t="str" cm="1">
        <f t="array" ref="N354">_xlfn.IFS(C354&gt;35,"HIGH",C354&gt;25,"MIDDLE",TRUE,"LOW")</f>
        <v>HIGH</v>
      </c>
      <c r="O354" s="4" t="str">
        <f t="shared" si="16"/>
        <v>PREMINUM MORNING</v>
      </c>
      <c r="P354" s="4" t="str">
        <f t="shared" si="17"/>
        <v>PREMINUM MORNING</v>
      </c>
    </row>
    <row r="355" spans="1:16" x14ac:dyDescent="0.3">
      <c r="A355" s="4">
        <v>10</v>
      </c>
      <c r="B355" t="s">
        <v>11</v>
      </c>
      <c r="C355" s="4">
        <v>32.82</v>
      </c>
      <c r="D355" t="s">
        <v>19</v>
      </c>
      <c r="E355" t="s">
        <v>13</v>
      </c>
      <c r="F355" s="4" t="s">
        <v>25</v>
      </c>
      <c r="G355" s="4" t="s">
        <v>32</v>
      </c>
      <c r="H355" s="4">
        <v>1</v>
      </c>
      <c r="I355" s="4">
        <v>5</v>
      </c>
      <c r="J355" s="1">
        <v>45418</v>
      </c>
      <c r="K355" s="2">
        <v>5.6238425925925926E-3</v>
      </c>
      <c r="M355" s="4" t="str">
        <f t="shared" si="15"/>
        <v>LOW</v>
      </c>
      <c r="N355" s="4" t="str" cm="1">
        <f t="array" ref="N355">_xlfn.IFS(C355&gt;35,"HIGH",C355&gt;25,"MIDDLE",TRUE,"LOW")</f>
        <v>MIDDLE</v>
      </c>
      <c r="O355" s="4" t="str">
        <f t="shared" si="16"/>
        <v>OTHERS</v>
      </c>
      <c r="P355" s="4" t="str">
        <f t="shared" si="17"/>
        <v>PREMINUM MORNING</v>
      </c>
    </row>
    <row r="356" spans="1:16" x14ac:dyDescent="0.3">
      <c r="A356" s="4">
        <v>10</v>
      </c>
      <c r="B356" t="s">
        <v>11</v>
      </c>
      <c r="C356" s="4">
        <v>27.92</v>
      </c>
      <c r="D356" t="s">
        <v>18</v>
      </c>
      <c r="E356" t="s">
        <v>13</v>
      </c>
      <c r="F356" s="4" t="s">
        <v>25</v>
      </c>
      <c r="G356" s="4" t="s">
        <v>32</v>
      </c>
      <c r="H356" s="4">
        <v>1</v>
      </c>
      <c r="I356" s="4">
        <v>5</v>
      </c>
      <c r="J356" s="1">
        <v>45418</v>
      </c>
      <c r="K356" s="2">
        <v>6.3425925925925924E-3</v>
      </c>
      <c r="M356" s="4" t="str">
        <f t="shared" si="15"/>
        <v>LOW</v>
      </c>
      <c r="N356" s="4" t="str" cm="1">
        <f t="array" ref="N356">_xlfn.IFS(C356&gt;35,"HIGH",C356&gt;25,"MIDDLE",TRUE,"LOW")</f>
        <v>MIDDLE</v>
      </c>
      <c r="O356" s="4" t="str">
        <f t="shared" si="16"/>
        <v>OTHERS</v>
      </c>
      <c r="P356" s="4" t="str">
        <f t="shared" si="17"/>
        <v>PREMINUM MORNING</v>
      </c>
    </row>
    <row r="357" spans="1:16" x14ac:dyDescent="0.3">
      <c r="A357" s="4">
        <v>10</v>
      </c>
      <c r="B357" t="s">
        <v>11</v>
      </c>
      <c r="C357" s="4">
        <v>27.92</v>
      </c>
      <c r="D357" t="s">
        <v>24</v>
      </c>
      <c r="E357" t="s">
        <v>13</v>
      </c>
      <c r="F357" s="4" t="s">
        <v>25</v>
      </c>
      <c r="G357" s="4" t="s">
        <v>32</v>
      </c>
      <c r="H357" s="4">
        <v>1</v>
      </c>
      <c r="I357" s="4">
        <v>5</v>
      </c>
      <c r="J357" s="1">
        <v>45418</v>
      </c>
      <c r="K357" s="2">
        <v>2.7229166666666665E-2</v>
      </c>
      <c r="M357" s="4" t="str">
        <f t="shared" si="15"/>
        <v>LOW</v>
      </c>
      <c r="N357" s="4" t="str" cm="1">
        <f t="array" ref="N357">_xlfn.IFS(C357&gt;35,"HIGH",C357&gt;25,"MIDDLE",TRUE,"LOW")</f>
        <v>MIDDLE</v>
      </c>
      <c r="O357" s="4" t="str">
        <f t="shared" si="16"/>
        <v>OTHERS</v>
      </c>
      <c r="P357" s="4" t="str">
        <f t="shared" si="17"/>
        <v>PREMINUM MORNING</v>
      </c>
    </row>
    <row r="358" spans="1:16" x14ac:dyDescent="0.3">
      <c r="A358" s="4">
        <v>13</v>
      </c>
      <c r="B358" t="s">
        <v>11</v>
      </c>
      <c r="C358" s="4">
        <v>27.92</v>
      </c>
      <c r="D358" t="s">
        <v>24</v>
      </c>
      <c r="E358" t="s">
        <v>17</v>
      </c>
      <c r="F358" s="4" t="s">
        <v>25</v>
      </c>
      <c r="G358" s="4" t="s">
        <v>32</v>
      </c>
      <c r="H358" s="4">
        <v>1</v>
      </c>
      <c r="I358" s="4">
        <v>5</v>
      </c>
      <c r="J358" s="1">
        <v>45418</v>
      </c>
      <c r="K358" s="2">
        <v>1.2627314814814815E-2</v>
      </c>
      <c r="M358" s="4" t="str">
        <f t="shared" si="15"/>
        <v>LOW</v>
      </c>
      <c r="N358" s="4" t="str" cm="1">
        <f t="array" ref="N358">_xlfn.IFS(C358&gt;35,"HIGH",C358&gt;25,"MIDDLE",TRUE,"LOW")</f>
        <v>MIDDLE</v>
      </c>
      <c r="O358" s="4" t="str">
        <f t="shared" si="16"/>
        <v>OTHERS</v>
      </c>
      <c r="P358" s="4" t="str">
        <f t="shared" si="17"/>
        <v>OTHERS</v>
      </c>
    </row>
    <row r="359" spans="1:16" x14ac:dyDescent="0.3">
      <c r="A359" s="4">
        <v>13</v>
      </c>
      <c r="B359" t="s">
        <v>11</v>
      </c>
      <c r="C359" s="4">
        <v>27.92</v>
      </c>
      <c r="D359" t="s">
        <v>18</v>
      </c>
      <c r="E359" t="s">
        <v>17</v>
      </c>
      <c r="F359" s="4" t="s">
        <v>25</v>
      </c>
      <c r="G359" s="4" t="s">
        <v>32</v>
      </c>
      <c r="H359" s="4">
        <v>1</v>
      </c>
      <c r="I359" s="4">
        <v>5</v>
      </c>
      <c r="J359" s="1">
        <v>45418</v>
      </c>
      <c r="K359" s="2">
        <v>1.3203703703703704E-2</v>
      </c>
      <c r="M359" s="4" t="str">
        <f t="shared" si="15"/>
        <v>LOW</v>
      </c>
      <c r="N359" s="4" t="str" cm="1">
        <f t="array" ref="N359">_xlfn.IFS(C359&gt;35,"HIGH",C359&gt;25,"MIDDLE",TRUE,"LOW")</f>
        <v>MIDDLE</v>
      </c>
      <c r="O359" s="4" t="str">
        <f t="shared" si="16"/>
        <v>OTHERS</v>
      </c>
      <c r="P359" s="4" t="str">
        <f t="shared" si="17"/>
        <v>OTHERS</v>
      </c>
    </row>
    <row r="360" spans="1:16" x14ac:dyDescent="0.3">
      <c r="A360" s="4">
        <v>19</v>
      </c>
      <c r="B360" t="s">
        <v>11</v>
      </c>
      <c r="C360" s="4">
        <v>37.72</v>
      </c>
      <c r="D360" t="s">
        <v>29</v>
      </c>
      <c r="E360" t="s">
        <v>20</v>
      </c>
      <c r="F360" s="4" t="s">
        <v>25</v>
      </c>
      <c r="G360" s="4" t="s">
        <v>32</v>
      </c>
      <c r="H360" s="4">
        <v>1</v>
      </c>
      <c r="I360" s="4">
        <v>5</v>
      </c>
      <c r="J360" s="1">
        <v>45418</v>
      </c>
      <c r="K360" s="2">
        <v>1.2650462962962962E-2</v>
      </c>
      <c r="M360" s="4" t="str">
        <f t="shared" si="15"/>
        <v>HIGH</v>
      </c>
      <c r="N360" s="4" t="str" cm="1">
        <f t="array" ref="N360">_xlfn.IFS(C360&gt;35,"HIGH",C360&gt;25,"MIDDLE",TRUE,"LOW")</f>
        <v>HIGH</v>
      </c>
      <c r="O360" s="4" t="str">
        <f t="shared" si="16"/>
        <v>OTHERS</v>
      </c>
      <c r="P360" s="4" t="str">
        <f t="shared" si="17"/>
        <v>PREMINUM MORNING</v>
      </c>
    </row>
    <row r="361" spans="1:16" x14ac:dyDescent="0.3">
      <c r="A361" s="4">
        <v>19</v>
      </c>
      <c r="B361" t="s">
        <v>11</v>
      </c>
      <c r="C361" s="4">
        <v>37.72</v>
      </c>
      <c r="D361" t="s">
        <v>29</v>
      </c>
      <c r="E361" t="s">
        <v>20</v>
      </c>
      <c r="F361" s="4" t="s">
        <v>25</v>
      </c>
      <c r="G361" s="4" t="s">
        <v>32</v>
      </c>
      <c r="H361" s="4">
        <v>1</v>
      </c>
      <c r="I361" s="4">
        <v>5</v>
      </c>
      <c r="J361" s="1">
        <v>45418</v>
      </c>
      <c r="K361" s="2">
        <v>1.376736111111111E-2</v>
      </c>
      <c r="M361" s="4" t="str">
        <f t="shared" si="15"/>
        <v>HIGH</v>
      </c>
      <c r="N361" s="4" t="str" cm="1">
        <f t="array" ref="N361">_xlfn.IFS(C361&gt;35,"HIGH",C361&gt;25,"MIDDLE",TRUE,"LOW")</f>
        <v>HIGH</v>
      </c>
      <c r="O361" s="4" t="str">
        <f t="shared" si="16"/>
        <v>OTHERS</v>
      </c>
      <c r="P361" s="4" t="str">
        <f t="shared" si="17"/>
        <v>PREMINUM MORNING</v>
      </c>
    </row>
    <row r="362" spans="1:16" x14ac:dyDescent="0.3">
      <c r="A362" s="4">
        <v>10</v>
      </c>
      <c r="B362" t="s">
        <v>11</v>
      </c>
      <c r="C362" s="4">
        <v>37.72</v>
      </c>
      <c r="D362" t="s">
        <v>21</v>
      </c>
      <c r="E362" t="s">
        <v>13</v>
      </c>
      <c r="F362" s="4" t="s">
        <v>27</v>
      </c>
      <c r="G362" s="4" t="s">
        <v>32</v>
      </c>
      <c r="H362" s="4">
        <v>2</v>
      </c>
      <c r="I362" s="4">
        <v>5</v>
      </c>
      <c r="J362" s="1">
        <v>45419</v>
      </c>
      <c r="K362" s="2">
        <v>3.1199074074074074E-2</v>
      </c>
      <c r="M362" s="4" t="str">
        <f t="shared" si="15"/>
        <v>HIGH</v>
      </c>
      <c r="N362" s="4" t="str" cm="1">
        <f t="array" ref="N362">_xlfn.IFS(C362&gt;35,"HIGH",C362&gt;25,"MIDDLE",TRUE,"LOW")</f>
        <v>HIGH</v>
      </c>
      <c r="O362" s="4" t="str">
        <f t="shared" si="16"/>
        <v>PREMINUM MORNING</v>
      </c>
      <c r="P362" s="4" t="str">
        <f t="shared" si="17"/>
        <v>PREMINUM MORNING</v>
      </c>
    </row>
    <row r="363" spans="1:16" x14ac:dyDescent="0.3">
      <c r="A363" s="4">
        <v>11</v>
      </c>
      <c r="B363" t="s">
        <v>11</v>
      </c>
      <c r="C363" s="4">
        <v>27.92</v>
      </c>
      <c r="D363" t="s">
        <v>24</v>
      </c>
      <c r="E363" t="s">
        <v>13</v>
      </c>
      <c r="F363" s="4" t="s">
        <v>27</v>
      </c>
      <c r="G363" s="4" t="s">
        <v>32</v>
      </c>
      <c r="H363" s="4">
        <v>2</v>
      </c>
      <c r="I363" s="4">
        <v>5</v>
      </c>
      <c r="J363" s="1">
        <v>45419</v>
      </c>
      <c r="K363" s="2">
        <v>1.5260416666666667E-2</v>
      </c>
      <c r="M363" s="4" t="str">
        <f t="shared" si="15"/>
        <v>LOW</v>
      </c>
      <c r="N363" s="4" t="str" cm="1">
        <f t="array" ref="N363">_xlfn.IFS(C363&gt;35,"HIGH",C363&gt;25,"MIDDLE",TRUE,"LOW")</f>
        <v>MIDDLE</v>
      </c>
      <c r="O363" s="4" t="str">
        <f t="shared" si="16"/>
        <v>OTHERS</v>
      </c>
      <c r="P363" s="4" t="str">
        <f t="shared" si="17"/>
        <v>PREMINUM MORNING</v>
      </c>
    </row>
    <row r="364" spans="1:16" x14ac:dyDescent="0.3">
      <c r="A364" s="4">
        <v>13</v>
      </c>
      <c r="B364" t="s">
        <v>11</v>
      </c>
      <c r="C364" s="4">
        <v>27.92</v>
      </c>
      <c r="D364" t="s">
        <v>24</v>
      </c>
      <c r="E364" t="s">
        <v>17</v>
      </c>
      <c r="F364" s="4" t="s">
        <v>27</v>
      </c>
      <c r="G364" s="4" t="s">
        <v>32</v>
      </c>
      <c r="H364" s="4">
        <v>2</v>
      </c>
      <c r="I364" s="4">
        <v>5</v>
      </c>
      <c r="J364" s="1">
        <v>45419</v>
      </c>
      <c r="K364" s="2">
        <v>1.6376157407407409E-2</v>
      </c>
      <c r="M364" s="4" t="str">
        <f t="shared" si="15"/>
        <v>LOW</v>
      </c>
      <c r="N364" s="4" t="str" cm="1">
        <f t="array" ref="N364">_xlfn.IFS(C364&gt;35,"HIGH",C364&gt;25,"MIDDLE",TRUE,"LOW")</f>
        <v>MIDDLE</v>
      </c>
      <c r="O364" s="4" t="str">
        <f t="shared" si="16"/>
        <v>OTHERS</v>
      </c>
      <c r="P364" s="4" t="str">
        <f t="shared" si="17"/>
        <v>OTHERS</v>
      </c>
    </row>
    <row r="365" spans="1:16" x14ac:dyDescent="0.3">
      <c r="A365" s="4">
        <v>16</v>
      </c>
      <c r="B365" t="s">
        <v>11</v>
      </c>
      <c r="C365" s="4">
        <v>37.72</v>
      </c>
      <c r="D365" t="s">
        <v>21</v>
      </c>
      <c r="E365" t="s">
        <v>17</v>
      </c>
      <c r="F365" s="4" t="s">
        <v>27</v>
      </c>
      <c r="G365" s="4" t="s">
        <v>32</v>
      </c>
      <c r="H365" s="4">
        <v>2</v>
      </c>
      <c r="I365" s="4">
        <v>5</v>
      </c>
      <c r="J365" s="1">
        <v>45419</v>
      </c>
      <c r="K365" s="2">
        <v>2.9258101851851855E-2</v>
      </c>
      <c r="M365" s="4" t="str">
        <f t="shared" si="15"/>
        <v>HIGH</v>
      </c>
      <c r="N365" s="4" t="str" cm="1">
        <f t="array" ref="N365">_xlfn.IFS(C365&gt;35,"HIGH",C365&gt;25,"MIDDLE",TRUE,"LOW")</f>
        <v>HIGH</v>
      </c>
      <c r="O365" s="4" t="str">
        <f t="shared" si="16"/>
        <v>OTHERS</v>
      </c>
      <c r="P365" s="4" t="str">
        <f t="shared" si="17"/>
        <v>PREMINUM MORNING</v>
      </c>
    </row>
    <row r="366" spans="1:16" x14ac:dyDescent="0.3">
      <c r="A366" s="4">
        <v>16</v>
      </c>
      <c r="B366" t="s">
        <v>11</v>
      </c>
      <c r="C366" s="4">
        <v>27.92</v>
      </c>
      <c r="D366" t="s">
        <v>18</v>
      </c>
      <c r="E366" t="s">
        <v>17</v>
      </c>
      <c r="F366" s="4" t="s">
        <v>27</v>
      </c>
      <c r="G366" s="4" t="s">
        <v>32</v>
      </c>
      <c r="H366" s="4">
        <v>2</v>
      </c>
      <c r="I366" s="4">
        <v>5</v>
      </c>
      <c r="J366" s="1">
        <v>45419</v>
      </c>
      <c r="K366" s="2">
        <v>3.8643518518518521E-2</v>
      </c>
      <c r="M366" s="4" t="str">
        <f t="shared" si="15"/>
        <v>LOW</v>
      </c>
      <c r="N366" s="4" t="str" cm="1">
        <f t="array" ref="N366">_xlfn.IFS(C366&gt;35,"HIGH",C366&gt;25,"MIDDLE",TRUE,"LOW")</f>
        <v>MIDDLE</v>
      </c>
      <c r="O366" s="4" t="str">
        <f t="shared" si="16"/>
        <v>OTHERS</v>
      </c>
      <c r="P366" s="4" t="str">
        <f t="shared" si="17"/>
        <v>OTHERS</v>
      </c>
    </row>
    <row r="367" spans="1:16" x14ac:dyDescent="0.3">
      <c r="A367" s="4">
        <v>17</v>
      </c>
      <c r="B367" t="s">
        <v>11</v>
      </c>
      <c r="C367" s="4">
        <v>37.72</v>
      </c>
      <c r="D367" t="s">
        <v>29</v>
      </c>
      <c r="E367" t="s">
        <v>20</v>
      </c>
      <c r="F367" s="4" t="s">
        <v>27</v>
      </c>
      <c r="G367" s="4" t="s">
        <v>32</v>
      </c>
      <c r="H367" s="4">
        <v>2</v>
      </c>
      <c r="I367" s="4">
        <v>5</v>
      </c>
      <c r="J367" s="1">
        <v>45419</v>
      </c>
      <c r="K367" s="2">
        <v>2.6231481481481484E-2</v>
      </c>
      <c r="M367" s="4" t="str">
        <f t="shared" si="15"/>
        <v>HIGH</v>
      </c>
      <c r="N367" s="4" t="str" cm="1">
        <f t="array" ref="N367">_xlfn.IFS(C367&gt;35,"HIGH",C367&gt;25,"MIDDLE",TRUE,"LOW")</f>
        <v>HIGH</v>
      </c>
      <c r="O367" s="4" t="str">
        <f t="shared" si="16"/>
        <v>OTHERS</v>
      </c>
      <c r="P367" s="4" t="str">
        <f t="shared" si="17"/>
        <v>PREMINUM MORNING</v>
      </c>
    </row>
    <row r="368" spans="1:16" x14ac:dyDescent="0.3">
      <c r="A368" s="4">
        <v>17</v>
      </c>
      <c r="B368" t="s">
        <v>11</v>
      </c>
      <c r="C368" s="4">
        <v>37.72</v>
      </c>
      <c r="D368" t="s">
        <v>12</v>
      </c>
      <c r="E368" t="s">
        <v>20</v>
      </c>
      <c r="F368" s="4" t="s">
        <v>27</v>
      </c>
      <c r="G368" s="4" t="s">
        <v>32</v>
      </c>
      <c r="H368" s="4">
        <v>2</v>
      </c>
      <c r="I368" s="4">
        <v>5</v>
      </c>
      <c r="J368" s="1">
        <v>45419</v>
      </c>
      <c r="K368" s="2">
        <v>2.6946759259259257E-2</v>
      </c>
      <c r="M368" s="4" t="str">
        <f t="shared" si="15"/>
        <v>HIGH</v>
      </c>
      <c r="N368" s="4" t="str" cm="1">
        <f t="array" ref="N368">_xlfn.IFS(C368&gt;35,"HIGH",C368&gt;25,"MIDDLE",TRUE,"LOW")</f>
        <v>HIGH</v>
      </c>
      <c r="O368" s="4" t="str">
        <f t="shared" si="16"/>
        <v>OTHERS</v>
      </c>
      <c r="P368" s="4" t="str">
        <f t="shared" si="17"/>
        <v>PREMINUM MORNING</v>
      </c>
    </row>
    <row r="369" spans="1:16" x14ac:dyDescent="0.3">
      <c r="A369" s="4">
        <v>19</v>
      </c>
      <c r="B369" t="s">
        <v>11</v>
      </c>
      <c r="C369" s="4">
        <v>37.72</v>
      </c>
      <c r="D369" t="s">
        <v>29</v>
      </c>
      <c r="E369" t="s">
        <v>20</v>
      </c>
      <c r="F369" s="4" t="s">
        <v>27</v>
      </c>
      <c r="G369" s="4" t="s">
        <v>32</v>
      </c>
      <c r="H369" s="4">
        <v>2</v>
      </c>
      <c r="I369" s="4">
        <v>5</v>
      </c>
      <c r="J369" s="1">
        <v>45419</v>
      </c>
      <c r="K369" s="2">
        <v>8.4780092592592598E-3</v>
      </c>
      <c r="M369" s="4" t="str">
        <f t="shared" si="15"/>
        <v>HIGH</v>
      </c>
      <c r="N369" s="4" t="str" cm="1">
        <f t="array" ref="N369">_xlfn.IFS(C369&gt;35,"HIGH",C369&gt;25,"MIDDLE",TRUE,"LOW")</f>
        <v>HIGH</v>
      </c>
      <c r="O369" s="4" t="str">
        <f t="shared" si="16"/>
        <v>OTHERS</v>
      </c>
      <c r="P369" s="4" t="str">
        <f t="shared" si="17"/>
        <v>PREMINUM MORNING</v>
      </c>
    </row>
    <row r="370" spans="1:16" x14ac:dyDescent="0.3">
      <c r="A370" s="4">
        <v>19</v>
      </c>
      <c r="B370" t="s">
        <v>11</v>
      </c>
      <c r="C370" s="4">
        <v>37.72</v>
      </c>
      <c r="D370" t="s">
        <v>29</v>
      </c>
      <c r="E370" t="s">
        <v>20</v>
      </c>
      <c r="F370" s="4" t="s">
        <v>27</v>
      </c>
      <c r="G370" s="4" t="s">
        <v>32</v>
      </c>
      <c r="H370" s="4">
        <v>2</v>
      </c>
      <c r="I370" s="4">
        <v>5</v>
      </c>
      <c r="J370" s="1">
        <v>45419</v>
      </c>
      <c r="K370" s="2">
        <v>9.1689814814814828E-3</v>
      </c>
      <c r="M370" s="4" t="str">
        <f t="shared" si="15"/>
        <v>HIGH</v>
      </c>
      <c r="N370" s="4" t="str" cm="1">
        <f t="array" ref="N370">_xlfn.IFS(C370&gt;35,"HIGH",C370&gt;25,"MIDDLE",TRUE,"LOW")</f>
        <v>HIGH</v>
      </c>
      <c r="O370" s="4" t="str">
        <f t="shared" si="16"/>
        <v>OTHERS</v>
      </c>
      <c r="P370" s="4" t="str">
        <f t="shared" si="17"/>
        <v>PREMINUM MORNING</v>
      </c>
    </row>
    <row r="371" spans="1:16" x14ac:dyDescent="0.3">
      <c r="A371" s="4">
        <v>10</v>
      </c>
      <c r="B371" t="s">
        <v>11</v>
      </c>
      <c r="C371" s="4">
        <v>37.72</v>
      </c>
      <c r="D371" t="s">
        <v>12</v>
      </c>
      <c r="E371" t="s">
        <v>13</v>
      </c>
      <c r="F371" s="4" t="s">
        <v>28</v>
      </c>
      <c r="G371" s="4" t="s">
        <v>32</v>
      </c>
      <c r="H371" s="4">
        <v>3</v>
      </c>
      <c r="I371" s="4">
        <v>5</v>
      </c>
      <c r="J371" s="1">
        <v>45420</v>
      </c>
      <c r="K371" s="2">
        <v>5.1956018518518514E-3</v>
      </c>
      <c r="M371" s="4" t="str">
        <f t="shared" si="15"/>
        <v>HIGH</v>
      </c>
      <c r="N371" s="4" t="str" cm="1">
        <f t="array" ref="N371">_xlfn.IFS(C371&gt;35,"HIGH",C371&gt;25,"MIDDLE",TRUE,"LOW")</f>
        <v>HIGH</v>
      </c>
      <c r="O371" s="4" t="str">
        <f t="shared" si="16"/>
        <v>PREMINUM MORNING</v>
      </c>
      <c r="P371" s="4" t="str">
        <f t="shared" si="17"/>
        <v>PREMINUM MORNING</v>
      </c>
    </row>
    <row r="372" spans="1:16" x14ac:dyDescent="0.3">
      <c r="A372" s="4">
        <v>12</v>
      </c>
      <c r="B372" t="s">
        <v>11</v>
      </c>
      <c r="C372" s="4">
        <v>37.72</v>
      </c>
      <c r="D372" t="s">
        <v>29</v>
      </c>
      <c r="E372" t="s">
        <v>17</v>
      </c>
      <c r="F372" s="4" t="s">
        <v>30</v>
      </c>
      <c r="G372" s="4" t="s">
        <v>32</v>
      </c>
      <c r="H372" s="4">
        <v>4</v>
      </c>
      <c r="I372" s="4">
        <v>5</v>
      </c>
      <c r="J372" s="1">
        <v>45421</v>
      </c>
      <c r="K372" s="2">
        <v>3.7752314814814815E-2</v>
      </c>
      <c r="M372" s="4" t="str">
        <f t="shared" si="15"/>
        <v>HIGH</v>
      </c>
      <c r="N372" s="4" t="str" cm="1">
        <f t="array" ref="N372">_xlfn.IFS(C372&gt;35,"HIGH",C372&gt;25,"MIDDLE",TRUE,"LOW")</f>
        <v>HIGH</v>
      </c>
      <c r="O372" s="4" t="str">
        <f t="shared" si="16"/>
        <v>OTHERS</v>
      </c>
      <c r="P372" s="4" t="str">
        <f t="shared" si="17"/>
        <v>PREMINUM MORNING</v>
      </c>
    </row>
    <row r="373" spans="1:16" x14ac:dyDescent="0.3">
      <c r="A373" s="4">
        <v>13</v>
      </c>
      <c r="B373" t="s">
        <v>11</v>
      </c>
      <c r="C373" s="4">
        <v>27.92</v>
      </c>
      <c r="D373" t="s">
        <v>18</v>
      </c>
      <c r="E373" t="s">
        <v>17</v>
      </c>
      <c r="F373" s="4" t="s">
        <v>30</v>
      </c>
      <c r="G373" s="4" t="s">
        <v>32</v>
      </c>
      <c r="H373" s="4">
        <v>4</v>
      </c>
      <c r="I373" s="4">
        <v>5</v>
      </c>
      <c r="J373" s="1">
        <v>45421</v>
      </c>
      <c r="K373" s="2">
        <v>2.7615740740740738E-3</v>
      </c>
      <c r="M373" s="4" t="str">
        <f t="shared" si="15"/>
        <v>LOW</v>
      </c>
      <c r="N373" s="4" t="str" cm="1">
        <f t="array" ref="N373">_xlfn.IFS(C373&gt;35,"HIGH",C373&gt;25,"MIDDLE",TRUE,"LOW")</f>
        <v>MIDDLE</v>
      </c>
      <c r="O373" s="4" t="str">
        <f t="shared" si="16"/>
        <v>OTHERS</v>
      </c>
      <c r="P373" s="4" t="str">
        <f t="shared" si="17"/>
        <v>OTHERS</v>
      </c>
    </row>
    <row r="374" spans="1:16" x14ac:dyDescent="0.3">
      <c r="A374" s="4">
        <v>13</v>
      </c>
      <c r="B374" t="s">
        <v>11</v>
      </c>
      <c r="C374" s="4">
        <v>37.72</v>
      </c>
      <c r="D374" t="s">
        <v>12</v>
      </c>
      <c r="E374" t="s">
        <v>17</v>
      </c>
      <c r="F374" s="4" t="s">
        <v>30</v>
      </c>
      <c r="G374" s="4" t="s">
        <v>32</v>
      </c>
      <c r="H374" s="4">
        <v>4</v>
      </c>
      <c r="I374" s="4">
        <v>5</v>
      </c>
      <c r="J374" s="1">
        <v>45421</v>
      </c>
      <c r="K374" s="2">
        <v>3.4444444444444449E-3</v>
      </c>
      <c r="M374" s="4" t="str">
        <f t="shared" si="15"/>
        <v>HIGH</v>
      </c>
      <c r="N374" s="4" t="str" cm="1">
        <f t="array" ref="N374">_xlfn.IFS(C374&gt;35,"HIGH",C374&gt;25,"MIDDLE",TRUE,"LOW")</f>
        <v>HIGH</v>
      </c>
      <c r="O374" s="4" t="str">
        <f t="shared" si="16"/>
        <v>OTHERS</v>
      </c>
      <c r="P374" s="4" t="str">
        <f t="shared" si="17"/>
        <v>PREMINUM MORNING</v>
      </c>
    </row>
    <row r="375" spans="1:16" x14ac:dyDescent="0.3">
      <c r="A375" s="4">
        <v>13</v>
      </c>
      <c r="B375" t="s">
        <v>11</v>
      </c>
      <c r="C375" s="4">
        <v>37.72</v>
      </c>
      <c r="D375" t="s">
        <v>12</v>
      </c>
      <c r="E375" t="s">
        <v>17</v>
      </c>
      <c r="F375" s="4" t="s">
        <v>30</v>
      </c>
      <c r="G375" s="4" t="s">
        <v>32</v>
      </c>
      <c r="H375" s="4">
        <v>4</v>
      </c>
      <c r="I375" s="4">
        <v>5</v>
      </c>
      <c r="J375" s="1">
        <v>45421</v>
      </c>
      <c r="K375" s="2">
        <v>4.2974537037037035E-3</v>
      </c>
      <c r="M375" s="4" t="str">
        <f t="shared" si="15"/>
        <v>HIGH</v>
      </c>
      <c r="N375" s="4" t="str" cm="1">
        <f t="array" ref="N375">_xlfn.IFS(C375&gt;35,"HIGH",C375&gt;25,"MIDDLE",TRUE,"LOW")</f>
        <v>HIGH</v>
      </c>
      <c r="O375" s="4" t="str">
        <f t="shared" si="16"/>
        <v>OTHERS</v>
      </c>
      <c r="P375" s="4" t="str">
        <f t="shared" si="17"/>
        <v>PREMINUM MORNING</v>
      </c>
    </row>
    <row r="376" spans="1:16" x14ac:dyDescent="0.3">
      <c r="A376" s="4">
        <v>13</v>
      </c>
      <c r="B376" t="s">
        <v>11</v>
      </c>
      <c r="C376" s="4">
        <v>37.72</v>
      </c>
      <c r="D376" t="s">
        <v>12</v>
      </c>
      <c r="E376" t="s">
        <v>17</v>
      </c>
      <c r="F376" s="4" t="s">
        <v>30</v>
      </c>
      <c r="G376" s="4" t="s">
        <v>32</v>
      </c>
      <c r="H376" s="4">
        <v>4</v>
      </c>
      <c r="I376" s="4">
        <v>5</v>
      </c>
      <c r="J376" s="1">
        <v>45421</v>
      </c>
      <c r="K376" s="2">
        <v>5.0509259259259257E-3</v>
      </c>
      <c r="M376" s="4" t="str">
        <f t="shared" si="15"/>
        <v>HIGH</v>
      </c>
      <c r="N376" s="4" t="str" cm="1">
        <f t="array" ref="N376">_xlfn.IFS(C376&gt;35,"HIGH",C376&gt;25,"MIDDLE",TRUE,"LOW")</f>
        <v>HIGH</v>
      </c>
      <c r="O376" s="4" t="str">
        <f t="shared" si="16"/>
        <v>OTHERS</v>
      </c>
      <c r="P376" s="4" t="str">
        <f t="shared" si="17"/>
        <v>PREMINUM MORNING</v>
      </c>
    </row>
    <row r="377" spans="1:16" x14ac:dyDescent="0.3">
      <c r="A377" s="4">
        <v>16</v>
      </c>
      <c r="B377" t="s">
        <v>11</v>
      </c>
      <c r="C377" s="4">
        <v>27.92</v>
      </c>
      <c r="D377" t="s">
        <v>18</v>
      </c>
      <c r="E377" t="s">
        <v>17</v>
      </c>
      <c r="F377" s="4" t="s">
        <v>30</v>
      </c>
      <c r="G377" s="4" t="s">
        <v>32</v>
      </c>
      <c r="H377" s="4">
        <v>4</v>
      </c>
      <c r="I377" s="4">
        <v>5</v>
      </c>
      <c r="J377" s="1">
        <v>45421</v>
      </c>
      <c r="K377" s="2">
        <v>3.8363425925925926E-2</v>
      </c>
      <c r="M377" s="4" t="str">
        <f t="shared" si="15"/>
        <v>LOW</v>
      </c>
      <c r="N377" s="4" t="str" cm="1">
        <f t="array" ref="N377">_xlfn.IFS(C377&gt;35,"HIGH",C377&gt;25,"MIDDLE",TRUE,"LOW")</f>
        <v>MIDDLE</v>
      </c>
      <c r="O377" s="4" t="str">
        <f t="shared" si="16"/>
        <v>OTHERS</v>
      </c>
      <c r="P377" s="4" t="str">
        <f t="shared" si="17"/>
        <v>OTHERS</v>
      </c>
    </row>
    <row r="378" spans="1:16" x14ac:dyDescent="0.3">
      <c r="A378" s="4">
        <v>16</v>
      </c>
      <c r="B378" t="s">
        <v>11</v>
      </c>
      <c r="C378" s="4">
        <v>27.92</v>
      </c>
      <c r="D378" t="s">
        <v>18</v>
      </c>
      <c r="E378" t="s">
        <v>17</v>
      </c>
      <c r="F378" s="4" t="s">
        <v>30</v>
      </c>
      <c r="G378" s="4" t="s">
        <v>32</v>
      </c>
      <c r="H378" s="4">
        <v>4</v>
      </c>
      <c r="I378" s="4">
        <v>5</v>
      </c>
      <c r="J378" s="1">
        <v>45421</v>
      </c>
      <c r="K378" s="2">
        <v>3.90625E-2</v>
      </c>
      <c r="M378" s="4" t="str">
        <f t="shared" si="15"/>
        <v>LOW</v>
      </c>
      <c r="N378" s="4" t="str" cm="1">
        <f t="array" ref="N378">_xlfn.IFS(C378&gt;35,"HIGH",C378&gt;25,"MIDDLE",TRUE,"LOW")</f>
        <v>MIDDLE</v>
      </c>
      <c r="O378" s="4" t="str">
        <f t="shared" si="16"/>
        <v>OTHERS</v>
      </c>
      <c r="P378" s="4" t="str">
        <f t="shared" si="17"/>
        <v>OTHERS</v>
      </c>
    </row>
    <row r="379" spans="1:16" x14ac:dyDescent="0.3">
      <c r="A379" s="4">
        <v>18</v>
      </c>
      <c r="B379" t="s">
        <v>11</v>
      </c>
      <c r="C379" s="4">
        <v>27.92</v>
      </c>
      <c r="D379" t="s">
        <v>18</v>
      </c>
      <c r="E379" t="s">
        <v>20</v>
      </c>
      <c r="F379" s="4" t="s">
        <v>30</v>
      </c>
      <c r="G379" s="4" t="s">
        <v>32</v>
      </c>
      <c r="H379" s="4">
        <v>4</v>
      </c>
      <c r="I379" s="4">
        <v>5</v>
      </c>
      <c r="J379" s="1">
        <v>45421</v>
      </c>
      <c r="K379" s="2">
        <v>1.0405092592592593E-3</v>
      </c>
      <c r="M379" s="4" t="str">
        <f t="shared" si="15"/>
        <v>LOW</v>
      </c>
      <c r="N379" s="4" t="str" cm="1">
        <f t="array" ref="N379">_xlfn.IFS(C379&gt;35,"HIGH",C379&gt;25,"MIDDLE",TRUE,"LOW")</f>
        <v>MIDDLE</v>
      </c>
      <c r="O379" s="4" t="str">
        <f t="shared" si="16"/>
        <v>OTHERS</v>
      </c>
      <c r="P379" s="4" t="str">
        <f t="shared" si="17"/>
        <v>OTHERS</v>
      </c>
    </row>
    <row r="380" spans="1:16" x14ac:dyDescent="0.3">
      <c r="A380" s="4">
        <v>18</v>
      </c>
      <c r="B380" t="s">
        <v>11</v>
      </c>
      <c r="C380" s="4">
        <v>32.82</v>
      </c>
      <c r="D380" t="s">
        <v>19</v>
      </c>
      <c r="E380" t="s">
        <v>20</v>
      </c>
      <c r="F380" s="4" t="s">
        <v>30</v>
      </c>
      <c r="G380" s="4" t="s">
        <v>32</v>
      </c>
      <c r="H380" s="4">
        <v>4</v>
      </c>
      <c r="I380" s="4">
        <v>5</v>
      </c>
      <c r="J380" s="1">
        <v>45421</v>
      </c>
      <c r="K380" s="2">
        <v>9.6782407407407407E-3</v>
      </c>
      <c r="M380" s="4" t="str">
        <f t="shared" si="15"/>
        <v>LOW</v>
      </c>
      <c r="N380" s="4" t="str" cm="1">
        <f t="array" ref="N380">_xlfn.IFS(C380&gt;35,"HIGH",C380&gt;25,"MIDDLE",TRUE,"LOW")</f>
        <v>MIDDLE</v>
      </c>
      <c r="O380" s="4" t="str">
        <f t="shared" si="16"/>
        <v>OTHERS</v>
      </c>
      <c r="P380" s="4" t="str">
        <f t="shared" si="17"/>
        <v>OTHERS</v>
      </c>
    </row>
    <row r="381" spans="1:16" x14ac:dyDescent="0.3">
      <c r="A381" s="4">
        <v>15</v>
      </c>
      <c r="B381" t="s">
        <v>11</v>
      </c>
      <c r="C381" s="4">
        <v>37.72</v>
      </c>
      <c r="D381" t="s">
        <v>12</v>
      </c>
      <c r="E381" t="s">
        <v>17</v>
      </c>
      <c r="F381" s="4" t="s">
        <v>14</v>
      </c>
      <c r="G381" s="4" t="s">
        <v>32</v>
      </c>
      <c r="H381" s="4">
        <v>5</v>
      </c>
      <c r="I381" s="4">
        <v>5</v>
      </c>
      <c r="J381" s="1">
        <v>45422</v>
      </c>
      <c r="K381" s="2">
        <v>3.2193287037037034E-2</v>
      </c>
      <c r="M381" s="4" t="str">
        <f t="shared" si="15"/>
        <v>HIGH</v>
      </c>
      <c r="N381" s="4" t="str" cm="1">
        <f t="array" ref="N381">_xlfn.IFS(C381&gt;35,"HIGH",C381&gt;25,"MIDDLE",TRUE,"LOW")</f>
        <v>HIGH</v>
      </c>
      <c r="O381" s="4" t="str">
        <f t="shared" si="16"/>
        <v>OTHERS</v>
      </c>
      <c r="P381" s="4" t="str">
        <f t="shared" si="17"/>
        <v>PREMINUM MORNING</v>
      </c>
    </row>
    <row r="382" spans="1:16" x14ac:dyDescent="0.3">
      <c r="A382" s="4">
        <v>15</v>
      </c>
      <c r="B382" t="s">
        <v>11</v>
      </c>
      <c r="C382" s="4">
        <v>37.72</v>
      </c>
      <c r="D382" t="s">
        <v>12</v>
      </c>
      <c r="E382" t="s">
        <v>17</v>
      </c>
      <c r="F382" s="4" t="s">
        <v>14</v>
      </c>
      <c r="G382" s="4" t="s">
        <v>32</v>
      </c>
      <c r="H382" s="4">
        <v>5</v>
      </c>
      <c r="I382" s="4">
        <v>5</v>
      </c>
      <c r="J382" s="1">
        <v>45422</v>
      </c>
      <c r="K382" s="2">
        <v>3.3015046296296299E-2</v>
      </c>
      <c r="M382" s="4" t="str">
        <f t="shared" si="15"/>
        <v>HIGH</v>
      </c>
      <c r="N382" s="4" t="str" cm="1">
        <f t="array" ref="N382">_xlfn.IFS(C382&gt;35,"HIGH",C382&gt;25,"MIDDLE",TRUE,"LOW")</f>
        <v>HIGH</v>
      </c>
      <c r="O382" s="4" t="str">
        <f t="shared" si="16"/>
        <v>OTHERS</v>
      </c>
      <c r="P382" s="4" t="str">
        <f t="shared" si="17"/>
        <v>PREMINUM MORNING</v>
      </c>
    </row>
    <row r="383" spans="1:16" x14ac:dyDescent="0.3">
      <c r="A383" s="4">
        <v>11</v>
      </c>
      <c r="B383" t="s">
        <v>11</v>
      </c>
      <c r="C383" s="4">
        <v>37.72</v>
      </c>
      <c r="D383" t="s">
        <v>12</v>
      </c>
      <c r="E383" t="s">
        <v>13</v>
      </c>
      <c r="F383" s="4" t="s">
        <v>22</v>
      </c>
      <c r="G383" s="4" t="s">
        <v>32</v>
      </c>
      <c r="H383" s="4">
        <v>6</v>
      </c>
      <c r="I383" s="4">
        <v>5</v>
      </c>
      <c r="J383" s="1">
        <v>45423</v>
      </c>
      <c r="K383" s="2">
        <v>2.7695601851851853E-2</v>
      </c>
      <c r="M383" s="4" t="str">
        <f t="shared" si="15"/>
        <v>HIGH</v>
      </c>
      <c r="N383" s="4" t="str" cm="1">
        <f t="array" ref="N383">_xlfn.IFS(C383&gt;35,"HIGH",C383&gt;25,"MIDDLE",TRUE,"LOW")</f>
        <v>HIGH</v>
      </c>
      <c r="O383" s="4" t="str">
        <f t="shared" si="16"/>
        <v>PREMINUM MORNING</v>
      </c>
      <c r="P383" s="4" t="str">
        <f t="shared" si="17"/>
        <v>PREMINUM MORNING</v>
      </c>
    </row>
    <row r="384" spans="1:16" x14ac:dyDescent="0.3">
      <c r="A384" s="4">
        <v>17</v>
      </c>
      <c r="B384" t="s">
        <v>11</v>
      </c>
      <c r="C384" s="4">
        <v>32.82</v>
      </c>
      <c r="D384" t="s">
        <v>19</v>
      </c>
      <c r="E384" t="s">
        <v>20</v>
      </c>
      <c r="F384" s="4" t="s">
        <v>22</v>
      </c>
      <c r="G384" s="4" t="s">
        <v>32</v>
      </c>
      <c r="H384" s="4">
        <v>6</v>
      </c>
      <c r="I384" s="4">
        <v>5</v>
      </c>
      <c r="J384" s="1">
        <v>45423</v>
      </c>
      <c r="K384" s="2">
        <v>1.4240740740740741E-2</v>
      </c>
      <c r="M384" s="4" t="str">
        <f t="shared" si="15"/>
        <v>LOW</v>
      </c>
      <c r="N384" s="4" t="str" cm="1">
        <f t="array" ref="N384">_xlfn.IFS(C384&gt;35,"HIGH",C384&gt;25,"MIDDLE",TRUE,"LOW")</f>
        <v>MIDDLE</v>
      </c>
      <c r="O384" s="4" t="str">
        <f t="shared" si="16"/>
        <v>OTHERS</v>
      </c>
      <c r="P384" s="4" t="str">
        <f t="shared" si="17"/>
        <v>OTHERS</v>
      </c>
    </row>
    <row r="385" spans="1:16" x14ac:dyDescent="0.3">
      <c r="A385" s="4">
        <v>17</v>
      </c>
      <c r="B385" t="s">
        <v>11</v>
      </c>
      <c r="C385" s="4">
        <v>37.72</v>
      </c>
      <c r="D385" t="s">
        <v>21</v>
      </c>
      <c r="E385" t="s">
        <v>20</v>
      </c>
      <c r="F385" s="4" t="s">
        <v>22</v>
      </c>
      <c r="G385" s="4" t="s">
        <v>32</v>
      </c>
      <c r="H385" s="4">
        <v>6</v>
      </c>
      <c r="I385" s="4">
        <v>5</v>
      </c>
      <c r="J385" s="1">
        <v>45423</v>
      </c>
      <c r="K385" s="2">
        <v>1.5232638888888888E-2</v>
      </c>
      <c r="M385" s="4" t="str">
        <f t="shared" si="15"/>
        <v>HIGH</v>
      </c>
      <c r="N385" s="4" t="str" cm="1">
        <f t="array" ref="N385">_xlfn.IFS(C385&gt;35,"HIGH",C385&gt;25,"MIDDLE",TRUE,"LOW")</f>
        <v>HIGH</v>
      </c>
      <c r="O385" s="4" t="str">
        <f t="shared" si="16"/>
        <v>OTHERS</v>
      </c>
      <c r="P385" s="4" t="str">
        <f t="shared" si="17"/>
        <v>PREMINUM MORNING</v>
      </c>
    </row>
    <row r="386" spans="1:16" x14ac:dyDescent="0.3">
      <c r="A386" s="4">
        <v>17</v>
      </c>
      <c r="B386" t="s">
        <v>11</v>
      </c>
      <c r="C386" s="4">
        <v>37.72</v>
      </c>
      <c r="D386" t="s">
        <v>29</v>
      </c>
      <c r="E386" t="s">
        <v>20</v>
      </c>
      <c r="F386" s="4" t="s">
        <v>22</v>
      </c>
      <c r="G386" s="4" t="s">
        <v>32</v>
      </c>
      <c r="H386" s="4">
        <v>6</v>
      </c>
      <c r="I386" s="4">
        <v>5</v>
      </c>
      <c r="J386" s="1">
        <v>45423</v>
      </c>
      <c r="K386" s="2">
        <v>1.6635416666666666E-2</v>
      </c>
      <c r="M386" s="4" t="str">
        <f t="shared" si="15"/>
        <v>HIGH</v>
      </c>
      <c r="N386" s="4" t="str" cm="1">
        <f t="array" ref="N386">_xlfn.IFS(C386&gt;35,"HIGH",C386&gt;25,"MIDDLE",TRUE,"LOW")</f>
        <v>HIGH</v>
      </c>
      <c r="O386" s="4" t="str">
        <f t="shared" si="16"/>
        <v>OTHERS</v>
      </c>
      <c r="P386" s="4" t="str">
        <f t="shared" si="17"/>
        <v>PREMINUM MORNING</v>
      </c>
    </row>
    <row r="387" spans="1:16" x14ac:dyDescent="0.3">
      <c r="A387" s="4">
        <v>17</v>
      </c>
      <c r="B387" t="s">
        <v>11</v>
      </c>
      <c r="C387" s="4">
        <v>32.82</v>
      </c>
      <c r="D387" t="s">
        <v>19</v>
      </c>
      <c r="E387" t="s">
        <v>20</v>
      </c>
      <c r="F387" s="4" t="s">
        <v>22</v>
      </c>
      <c r="G387" s="4" t="s">
        <v>32</v>
      </c>
      <c r="H387" s="4">
        <v>6</v>
      </c>
      <c r="I387" s="4">
        <v>5</v>
      </c>
      <c r="J387" s="1">
        <v>45423</v>
      </c>
      <c r="K387" s="2">
        <v>2.007060185185185E-2</v>
      </c>
      <c r="M387" s="4" t="str">
        <f t="shared" ref="M387:M450" si="18">IF(C387&gt;35,"HIGH","LOW")</f>
        <v>LOW</v>
      </c>
      <c r="N387" s="4" t="str" cm="1">
        <f t="array" ref="N387">_xlfn.IFS(C387&gt;35,"HIGH",C387&gt;25,"MIDDLE",TRUE,"LOW")</f>
        <v>MIDDLE</v>
      </c>
      <c r="O387" s="4" t="str">
        <f t="shared" ref="O387:O450" si="19">IF(AND(C387&gt;35,E387="MORNING"),"PREMINUM MORNING","OTHERS")</f>
        <v>OTHERS</v>
      </c>
      <c r="P387" s="4" t="str">
        <f t="shared" ref="P387:P450" si="20">IF(OR(C387&gt;35,E387="MORNING"),"PREMINUM MORNING","OTHERS")</f>
        <v>OTHERS</v>
      </c>
    </row>
    <row r="388" spans="1:16" x14ac:dyDescent="0.3">
      <c r="A388" s="4">
        <v>18</v>
      </c>
      <c r="B388" t="s">
        <v>11</v>
      </c>
      <c r="C388" s="4">
        <v>37.72</v>
      </c>
      <c r="D388" t="s">
        <v>29</v>
      </c>
      <c r="E388" t="s">
        <v>20</v>
      </c>
      <c r="F388" s="4" t="s">
        <v>22</v>
      </c>
      <c r="G388" s="4" t="s">
        <v>32</v>
      </c>
      <c r="H388" s="4">
        <v>6</v>
      </c>
      <c r="I388" s="4">
        <v>5</v>
      </c>
      <c r="J388" s="1">
        <v>45423</v>
      </c>
      <c r="K388" s="2">
        <v>2.4771990740740744E-2</v>
      </c>
      <c r="M388" s="4" t="str">
        <f t="shared" si="18"/>
        <v>HIGH</v>
      </c>
      <c r="N388" s="4" t="str" cm="1">
        <f t="array" ref="N388">_xlfn.IFS(C388&gt;35,"HIGH",C388&gt;25,"MIDDLE",TRUE,"LOW")</f>
        <v>HIGH</v>
      </c>
      <c r="O388" s="4" t="str">
        <f t="shared" si="19"/>
        <v>OTHERS</v>
      </c>
      <c r="P388" s="4" t="str">
        <f t="shared" si="20"/>
        <v>PREMINUM MORNING</v>
      </c>
    </row>
    <row r="389" spans="1:16" x14ac:dyDescent="0.3">
      <c r="A389" s="4">
        <v>19</v>
      </c>
      <c r="B389" t="s">
        <v>11</v>
      </c>
      <c r="C389" s="4">
        <v>37.72</v>
      </c>
      <c r="D389" t="s">
        <v>12</v>
      </c>
      <c r="E389" t="s">
        <v>20</v>
      </c>
      <c r="F389" s="4" t="s">
        <v>22</v>
      </c>
      <c r="G389" s="4" t="s">
        <v>32</v>
      </c>
      <c r="H389" s="4">
        <v>6</v>
      </c>
      <c r="I389" s="4">
        <v>5</v>
      </c>
      <c r="J389" s="1">
        <v>45423</v>
      </c>
      <c r="K389" s="2">
        <v>2.6575231481481481E-2</v>
      </c>
      <c r="M389" s="4" t="str">
        <f t="shared" si="18"/>
        <v>HIGH</v>
      </c>
      <c r="N389" s="4" t="str" cm="1">
        <f t="array" ref="N389">_xlfn.IFS(C389&gt;35,"HIGH",C389&gt;25,"MIDDLE",TRUE,"LOW")</f>
        <v>HIGH</v>
      </c>
      <c r="O389" s="4" t="str">
        <f t="shared" si="19"/>
        <v>OTHERS</v>
      </c>
      <c r="P389" s="4" t="str">
        <f t="shared" si="20"/>
        <v>PREMINUM MORNING</v>
      </c>
    </row>
    <row r="390" spans="1:16" x14ac:dyDescent="0.3">
      <c r="A390" s="4">
        <v>10</v>
      </c>
      <c r="B390" t="s">
        <v>11</v>
      </c>
      <c r="C390" s="4">
        <v>37.72</v>
      </c>
      <c r="D390" t="s">
        <v>12</v>
      </c>
      <c r="E390" t="s">
        <v>13</v>
      </c>
      <c r="F390" s="4" t="s">
        <v>23</v>
      </c>
      <c r="G390" s="4" t="s">
        <v>32</v>
      </c>
      <c r="H390" s="4">
        <v>7</v>
      </c>
      <c r="I390" s="4">
        <v>5</v>
      </c>
      <c r="J390" s="1">
        <v>45424</v>
      </c>
      <c r="K390" s="2">
        <v>1.4380787037037037E-2</v>
      </c>
      <c r="M390" s="4" t="str">
        <f t="shared" si="18"/>
        <v>HIGH</v>
      </c>
      <c r="N390" s="4" t="str" cm="1">
        <f t="array" ref="N390">_xlfn.IFS(C390&gt;35,"HIGH",C390&gt;25,"MIDDLE",TRUE,"LOW")</f>
        <v>HIGH</v>
      </c>
      <c r="O390" s="4" t="str">
        <f t="shared" si="19"/>
        <v>PREMINUM MORNING</v>
      </c>
      <c r="P390" s="4" t="str">
        <f t="shared" si="20"/>
        <v>PREMINUM MORNING</v>
      </c>
    </row>
    <row r="391" spans="1:16" x14ac:dyDescent="0.3">
      <c r="A391" s="4">
        <v>13</v>
      </c>
      <c r="B391" t="s">
        <v>11</v>
      </c>
      <c r="C391" s="4">
        <v>37.72</v>
      </c>
      <c r="D391" t="s">
        <v>12</v>
      </c>
      <c r="E391" t="s">
        <v>17</v>
      </c>
      <c r="F391" s="4" t="s">
        <v>23</v>
      </c>
      <c r="G391" s="4" t="s">
        <v>32</v>
      </c>
      <c r="H391" s="4">
        <v>7</v>
      </c>
      <c r="I391" s="4">
        <v>5</v>
      </c>
      <c r="J391" s="1">
        <v>45424</v>
      </c>
      <c r="K391" s="2">
        <v>1.6707175925925927E-2</v>
      </c>
      <c r="M391" s="4" t="str">
        <f t="shared" si="18"/>
        <v>HIGH</v>
      </c>
      <c r="N391" s="4" t="str" cm="1">
        <f t="array" ref="N391">_xlfn.IFS(C391&gt;35,"HIGH",C391&gt;25,"MIDDLE",TRUE,"LOW")</f>
        <v>HIGH</v>
      </c>
      <c r="O391" s="4" t="str">
        <f t="shared" si="19"/>
        <v>OTHERS</v>
      </c>
      <c r="P391" s="4" t="str">
        <f t="shared" si="20"/>
        <v>PREMINUM MORNING</v>
      </c>
    </row>
    <row r="392" spans="1:16" x14ac:dyDescent="0.3">
      <c r="A392" s="4">
        <v>13</v>
      </c>
      <c r="B392" t="s">
        <v>11</v>
      </c>
      <c r="C392" s="4">
        <v>27.92</v>
      </c>
      <c r="D392" t="s">
        <v>18</v>
      </c>
      <c r="E392" t="s">
        <v>17</v>
      </c>
      <c r="F392" s="4" t="s">
        <v>23</v>
      </c>
      <c r="G392" s="4" t="s">
        <v>32</v>
      </c>
      <c r="H392" s="4">
        <v>7</v>
      </c>
      <c r="I392" s="4">
        <v>5</v>
      </c>
      <c r="J392" s="1">
        <v>45424</v>
      </c>
      <c r="K392" s="2">
        <v>1.9201388888888889E-2</v>
      </c>
      <c r="M392" s="4" t="str">
        <f t="shared" si="18"/>
        <v>LOW</v>
      </c>
      <c r="N392" s="4" t="str" cm="1">
        <f t="array" ref="N392">_xlfn.IFS(C392&gt;35,"HIGH",C392&gt;25,"MIDDLE",TRUE,"LOW")</f>
        <v>MIDDLE</v>
      </c>
      <c r="O392" s="4" t="str">
        <f t="shared" si="19"/>
        <v>OTHERS</v>
      </c>
      <c r="P392" s="4" t="str">
        <f t="shared" si="20"/>
        <v>OTHERS</v>
      </c>
    </row>
    <row r="393" spans="1:16" x14ac:dyDescent="0.3">
      <c r="A393" s="4">
        <v>15</v>
      </c>
      <c r="B393" t="s">
        <v>11</v>
      </c>
      <c r="C393" s="4">
        <v>37.72</v>
      </c>
      <c r="D393" t="s">
        <v>12</v>
      </c>
      <c r="E393" t="s">
        <v>17</v>
      </c>
      <c r="F393" s="4" t="s">
        <v>23</v>
      </c>
      <c r="G393" s="4" t="s">
        <v>32</v>
      </c>
      <c r="H393" s="4">
        <v>7</v>
      </c>
      <c r="I393" s="4">
        <v>5</v>
      </c>
      <c r="J393" s="1">
        <v>45424</v>
      </c>
      <c r="K393" s="2">
        <v>1.1340277777777777E-2</v>
      </c>
      <c r="M393" s="4" t="str">
        <f t="shared" si="18"/>
        <v>HIGH</v>
      </c>
      <c r="N393" s="4" t="str" cm="1">
        <f t="array" ref="N393">_xlfn.IFS(C393&gt;35,"HIGH",C393&gt;25,"MIDDLE",TRUE,"LOW")</f>
        <v>HIGH</v>
      </c>
      <c r="O393" s="4" t="str">
        <f t="shared" si="19"/>
        <v>OTHERS</v>
      </c>
      <c r="P393" s="4" t="str">
        <f t="shared" si="20"/>
        <v>PREMINUM MORNING</v>
      </c>
    </row>
    <row r="394" spans="1:16" x14ac:dyDescent="0.3">
      <c r="A394" s="4">
        <v>15</v>
      </c>
      <c r="B394" t="s">
        <v>11</v>
      </c>
      <c r="C394" s="4">
        <v>32.82</v>
      </c>
      <c r="D394" t="s">
        <v>19</v>
      </c>
      <c r="E394" t="s">
        <v>17</v>
      </c>
      <c r="F394" s="4" t="s">
        <v>23</v>
      </c>
      <c r="G394" s="4" t="s">
        <v>32</v>
      </c>
      <c r="H394" s="4">
        <v>7</v>
      </c>
      <c r="I394" s="4">
        <v>5</v>
      </c>
      <c r="J394" s="1">
        <v>45424</v>
      </c>
      <c r="K394" s="2">
        <v>2.6416666666666668E-2</v>
      </c>
      <c r="M394" s="4" t="str">
        <f t="shared" si="18"/>
        <v>LOW</v>
      </c>
      <c r="N394" s="4" t="str" cm="1">
        <f t="array" ref="N394">_xlfn.IFS(C394&gt;35,"HIGH",C394&gt;25,"MIDDLE",TRUE,"LOW")</f>
        <v>MIDDLE</v>
      </c>
      <c r="O394" s="4" t="str">
        <f t="shared" si="19"/>
        <v>OTHERS</v>
      </c>
      <c r="P394" s="4" t="str">
        <f t="shared" si="20"/>
        <v>OTHERS</v>
      </c>
    </row>
    <row r="395" spans="1:16" x14ac:dyDescent="0.3">
      <c r="A395" s="4">
        <v>15</v>
      </c>
      <c r="B395" t="s">
        <v>11</v>
      </c>
      <c r="C395" s="4">
        <v>32.82</v>
      </c>
      <c r="D395" t="s">
        <v>19</v>
      </c>
      <c r="E395" t="s">
        <v>17</v>
      </c>
      <c r="F395" s="4" t="s">
        <v>23</v>
      </c>
      <c r="G395" s="4" t="s">
        <v>32</v>
      </c>
      <c r="H395" s="4">
        <v>7</v>
      </c>
      <c r="I395" s="4">
        <v>5</v>
      </c>
      <c r="J395" s="1">
        <v>45424</v>
      </c>
      <c r="K395" s="2">
        <v>3.6283564814814817E-2</v>
      </c>
      <c r="M395" s="4" t="str">
        <f t="shared" si="18"/>
        <v>LOW</v>
      </c>
      <c r="N395" s="4" t="str" cm="1">
        <f t="array" ref="N395">_xlfn.IFS(C395&gt;35,"HIGH",C395&gt;25,"MIDDLE",TRUE,"LOW")</f>
        <v>MIDDLE</v>
      </c>
      <c r="O395" s="4" t="str">
        <f t="shared" si="19"/>
        <v>OTHERS</v>
      </c>
      <c r="P395" s="4" t="str">
        <f t="shared" si="20"/>
        <v>OTHERS</v>
      </c>
    </row>
    <row r="396" spans="1:16" x14ac:dyDescent="0.3">
      <c r="A396" s="4">
        <v>16</v>
      </c>
      <c r="B396" t="s">
        <v>11</v>
      </c>
      <c r="C396" s="4">
        <v>32.82</v>
      </c>
      <c r="D396" t="s">
        <v>19</v>
      </c>
      <c r="E396" t="s">
        <v>17</v>
      </c>
      <c r="F396" s="4" t="s">
        <v>23</v>
      </c>
      <c r="G396" s="4" t="s">
        <v>32</v>
      </c>
      <c r="H396" s="4">
        <v>7</v>
      </c>
      <c r="I396" s="4">
        <v>5</v>
      </c>
      <c r="J396" s="1">
        <v>45424</v>
      </c>
      <c r="K396" s="2">
        <v>3.0219907407407409E-3</v>
      </c>
      <c r="M396" s="4" t="str">
        <f t="shared" si="18"/>
        <v>LOW</v>
      </c>
      <c r="N396" s="4" t="str" cm="1">
        <f t="array" ref="N396">_xlfn.IFS(C396&gt;35,"HIGH",C396&gt;25,"MIDDLE",TRUE,"LOW")</f>
        <v>MIDDLE</v>
      </c>
      <c r="O396" s="4" t="str">
        <f t="shared" si="19"/>
        <v>OTHERS</v>
      </c>
      <c r="P396" s="4" t="str">
        <f t="shared" si="20"/>
        <v>OTHERS</v>
      </c>
    </row>
    <row r="397" spans="1:16" x14ac:dyDescent="0.3">
      <c r="A397" s="4">
        <v>19</v>
      </c>
      <c r="B397" t="s">
        <v>11</v>
      </c>
      <c r="C397" s="4">
        <v>32.82</v>
      </c>
      <c r="D397" t="s">
        <v>19</v>
      </c>
      <c r="E397" t="s">
        <v>20</v>
      </c>
      <c r="F397" s="4" t="s">
        <v>23</v>
      </c>
      <c r="G397" s="4" t="s">
        <v>32</v>
      </c>
      <c r="H397" s="4">
        <v>7</v>
      </c>
      <c r="I397" s="4">
        <v>5</v>
      </c>
      <c r="J397" s="1">
        <v>45424</v>
      </c>
      <c r="K397" s="2">
        <v>2.8826388888888888E-2</v>
      </c>
      <c r="M397" s="4" t="str">
        <f t="shared" si="18"/>
        <v>LOW</v>
      </c>
      <c r="N397" s="4" t="str" cm="1">
        <f t="array" ref="N397">_xlfn.IFS(C397&gt;35,"HIGH",C397&gt;25,"MIDDLE",TRUE,"LOW")</f>
        <v>MIDDLE</v>
      </c>
      <c r="O397" s="4" t="str">
        <f t="shared" si="19"/>
        <v>OTHERS</v>
      </c>
      <c r="P397" s="4" t="str">
        <f t="shared" si="20"/>
        <v>OTHERS</v>
      </c>
    </row>
    <row r="398" spans="1:16" x14ac:dyDescent="0.3">
      <c r="A398" s="4">
        <v>11</v>
      </c>
      <c r="B398" t="s">
        <v>11</v>
      </c>
      <c r="C398" s="4">
        <v>32.82</v>
      </c>
      <c r="D398" t="s">
        <v>19</v>
      </c>
      <c r="E398" t="s">
        <v>13</v>
      </c>
      <c r="F398" s="4" t="s">
        <v>25</v>
      </c>
      <c r="G398" s="4" t="s">
        <v>32</v>
      </c>
      <c r="H398" s="4">
        <v>1</v>
      </c>
      <c r="I398" s="4">
        <v>5</v>
      </c>
      <c r="J398" s="1">
        <v>45425</v>
      </c>
      <c r="K398" s="2">
        <v>2.7002314814814814E-3</v>
      </c>
      <c r="M398" s="4" t="str">
        <f t="shared" si="18"/>
        <v>LOW</v>
      </c>
      <c r="N398" s="4" t="str" cm="1">
        <f t="array" ref="N398">_xlfn.IFS(C398&gt;35,"HIGH",C398&gt;25,"MIDDLE",TRUE,"LOW")</f>
        <v>MIDDLE</v>
      </c>
      <c r="O398" s="4" t="str">
        <f t="shared" si="19"/>
        <v>OTHERS</v>
      </c>
      <c r="P398" s="4" t="str">
        <f t="shared" si="20"/>
        <v>PREMINUM MORNING</v>
      </c>
    </row>
    <row r="399" spans="1:16" x14ac:dyDescent="0.3">
      <c r="A399" s="4">
        <v>8</v>
      </c>
      <c r="B399" t="s">
        <v>11</v>
      </c>
      <c r="C399" s="4">
        <v>27.92</v>
      </c>
      <c r="D399" t="s">
        <v>18</v>
      </c>
      <c r="E399" t="s">
        <v>13</v>
      </c>
      <c r="F399" s="4" t="s">
        <v>27</v>
      </c>
      <c r="G399" s="4" t="s">
        <v>32</v>
      </c>
      <c r="H399" s="4">
        <v>2</v>
      </c>
      <c r="I399" s="4">
        <v>5</v>
      </c>
      <c r="J399" s="1">
        <v>45426</v>
      </c>
      <c r="K399" s="2">
        <v>2.6557870370370371E-2</v>
      </c>
      <c r="M399" s="4" t="str">
        <f t="shared" si="18"/>
        <v>LOW</v>
      </c>
      <c r="N399" s="4" t="str" cm="1">
        <f t="array" ref="N399">_xlfn.IFS(C399&gt;35,"HIGH",C399&gt;25,"MIDDLE",TRUE,"LOW")</f>
        <v>MIDDLE</v>
      </c>
      <c r="O399" s="4" t="str">
        <f t="shared" si="19"/>
        <v>OTHERS</v>
      </c>
      <c r="P399" s="4" t="str">
        <f t="shared" si="20"/>
        <v>PREMINUM MORNING</v>
      </c>
    </row>
    <row r="400" spans="1:16" x14ac:dyDescent="0.3">
      <c r="A400" s="4">
        <v>8</v>
      </c>
      <c r="B400" t="s">
        <v>11</v>
      </c>
      <c r="C400" s="4">
        <v>27.92</v>
      </c>
      <c r="D400" t="s">
        <v>18</v>
      </c>
      <c r="E400" t="s">
        <v>13</v>
      </c>
      <c r="F400" s="4" t="s">
        <v>27</v>
      </c>
      <c r="G400" s="4" t="s">
        <v>32</v>
      </c>
      <c r="H400" s="4">
        <v>2</v>
      </c>
      <c r="I400" s="4">
        <v>5</v>
      </c>
      <c r="J400" s="1">
        <v>45426</v>
      </c>
      <c r="K400" s="2">
        <v>2.7378472222222221E-2</v>
      </c>
      <c r="M400" s="4" t="str">
        <f t="shared" si="18"/>
        <v>LOW</v>
      </c>
      <c r="N400" s="4" t="str" cm="1">
        <f t="array" ref="N400">_xlfn.IFS(C400&gt;35,"HIGH",C400&gt;25,"MIDDLE",TRUE,"LOW")</f>
        <v>MIDDLE</v>
      </c>
      <c r="O400" s="4" t="str">
        <f t="shared" si="19"/>
        <v>OTHERS</v>
      </c>
      <c r="P400" s="4" t="str">
        <f t="shared" si="20"/>
        <v>PREMINUM MORNING</v>
      </c>
    </row>
    <row r="401" spans="1:16" x14ac:dyDescent="0.3">
      <c r="A401" s="4">
        <v>8</v>
      </c>
      <c r="B401" t="s">
        <v>11</v>
      </c>
      <c r="C401" s="4">
        <v>27.92</v>
      </c>
      <c r="D401" t="s">
        <v>18</v>
      </c>
      <c r="E401" t="s">
        <v>13</v>
      </c>
      <c r="F401" s="4" t="s">
        <v>27</v>
      </c>
      <c r="G401" s="4" t="s">
        <v>32</v>
      </c>
      <c r="H401" s="4">
        <v>2</v>
      </c>
      <c r="I401" s="4">
        <v>5</v>
      </c>
      <c r="J401" s="1">
        <v>45426</v>
      </c>
      <c r="K401" s="2">
        <v>2.7980324074074074E-2</v>
      </c>
      <c r="M401" s="4" t="str">
        <f t="shared" si="18"/>
        <v>LOW</v>
      </c>
      <c r="N401" s="4" t="str" cm="1">
        <f t="array" ref="N401">_xlfn.IFS(C401&gt;35,"HIGH",C401&gt;25,"MIDDLE",TRUE,"LOW")</f>
        <v>MIDDLE</v>
      </c>
      <c r="O401" s="4" t="str">
        <f t="shared" si="19"/>
        <v>OTHERS</v>
      </c>
      <c r="P401" s="4" t="str">
        <f t="shared" si="20"/>
        <v>PREMINUM MORNING</v>
      </c>
    </row>
    <row r="402" spans="1:16" x14ac:dyDescent="0.3">
      <c r="A402" s="4">
        <v>10</v>
      </c>
      <c r="B402" t="s">
        <v>11</v>
      </c>
      <c r="C402" s="4">
        <v>37.72</v>
      </c>
      <c r="D402" t="s">
        <v>29</v>
      </c>
      <c r="E402" t="s">
        <v>13</v>
      </c>
      <c r="F402" s="4" t="s">
        <v>27</v>
      </c>
      <c r="G402" s="4" t="s">
        <v>32</v>
      </c>
      <c r="H402" s="4">
        <v>2</v>
      </c>
      <c r="I402" s="4">
        <v>5</v>
      </c>
      <c r="J402" s="1">
        <v>45426</v>
      </c>
      <c r="K402" s="2">
        <v>1.3462962962962963E-2</v>
      </c>
      <c r="M402" s="4" t="str">
        <f t="shared" si="18"/>
        <v>HIGH</v>
      </c>
      <c r="N402" s="4" t="str" cm="1">
        <f t="array" ref="N402">_xlfn.IFS(C402&gt;35,"HIGH",C402&gt;25,"MIDDLE",TRUE,"LOW")</f>
        <v>HIGH</v>
      </c>
      <c r="O402" s="4" t="str">
        <f t="shared" si="19"/>
        <v>PREMINUM MORNING</v>
      </c>
      <c r="P402" s="4" t="str">
        <f t="shared" si="20"/>
        <v>PREMINUM MORNING</v>
      </c>
    </row>
    <row r="403" spans="1:16" x14ac:dyDescent="0.3">
      <c r="A403" s="4">
        <v>11</v>
      </c>
      <c r="B403" t="s">
        <v>11</v>
      </c>
      <c r="C403" s="4">
        <v>37.72</v>
      </c>
      <c r="D403" t="s">
        <v>12</v>
      </c>
      <c r="E403" t="s">
        <v>13</v>
      </c>
      <c r="F403" s="4" t="s">
        <v>27</v>
      </c>
      <c r="G403" s="4" t="s">
        <v>32</v>
      </c>
      <c r="H403" s="4">
        <v>2</v>
      </c>
      <c r="I403" s="4">
        <v>5</v>
      </c>
      <c r="J403" s="1">
        <v>45426</v>
      </c>
      <c r="K403" s="2">
        <v>2.2562500000000003E-2</v>
      </c>
      <c r="M403" s="4" t="str">
        <f t="shared" si="18"/>
        <v>HIGH</v>
      </c>
      <c r="N403" s="4" t="str" cm="1">
        <f t="array" ref="N403">_xlfn.IFS(C403&gt;35,"HIGH",C403&gt;25,"MIDDLE",TRUE,"LOW")</f>
        <v>HIGH</v>
      </c>
      <c r="O403" s="4" t="str">
        <f t="shared" si="19"/>
        <v>PREMINUM MORNING</v>
      </c>
      <c r="P403" s="4" t="str">
        <f t="shared" si="20"/>
        <v>PREMINUM MORNING</v>
      </c>
    </row>
    <row r="404" spans="1:16" x14ac:dyDescent="0.3">
      <c r="A404" s="4">
        <v>11</v>
      </c>
      <c r="B404" t="s">
        <v>11</v>
      </c>
      <c r="C404" s="4">
        <v>37.72</v>
      </c>
      <c r="D404" t="s">
        <v>29</v>
      </c>
      <c r="E404" t="s">
        <v>13</v>
      </c>
      <c r="F404" s="4" t="s">
        <v>27</v>
      </c>
      <c r="G404" s="4" t="s">
        <v>32</v>
      </c>
      <c r="H404" s="4">
        <v>2</v>
      </c>
      <c r="I404" s="4">
        <v>5</v>
      </c>
      <c r="J404" s="1">
        <v>45426</v>
      </c>
      <c r="K404" s="2">
        <v>2.3760416666666669E-2</v>
      </c>
      <c r="M404" s="4" t="str">
        <f t="shared" si="18"/>
        <v>HIGH</v>
      </c>
      <c r="N404" s="4" t="str" cm="1">
        <f t="array" ref="N404">_xlfn.IFS(C404&gt;35,"HIGH",C404&gt;25,"MIDDLE",TRUE,"LOW")</f>
        <v>HIGH</v>
      </c>
      <c r="O404" s="4" t="str">
        <f t="shared" si="19"/>
        <v>PREMINUM MORNING</v>
      </c>
      <c r="P404" s="4" t="str">
        <f t="shared" si="20"/>
        <v>PREMINUM MORNING</v>
      </c>
    </row>
    <row r="405" spans="1:16" x14ac:dyDescent="0.3">
      <c r="A405" s="4">
        <v>14</v>
      </c>
      <c r="B405" t="s">
        <v>11</v>
      </c>
      <c r="C405" s="4">
        <v>37.72</v>
      </c>
      <c r="D405" t="s">
        <v>29</v>
      </c>
      <c r="E405" t="s">
        <v>17</v>
      </c>
      <c r="F405" s="4" t="s">
        <v>27</v>
      </c>
      <c r="G405" s="4" t="s">
        <v>32</v>
      </c>
      <c r="H405" s="4">
        <v>2</v>
      </c>
      <c r="I405" s="4">
        <v>5</v>
      </c>
      <c r="J405" s="1">
        <v>45426</v>
      </c>
      <c r="K405" s="2">
        <v>3.4097222222222224E-3</v>
      </c>
      <c r="M405" s="4" t="str">
        <f t="shared" si="18"/>
        <v>HIGH</v>
      </c>
      <c r="N405" s="4" t="str" cm="1">
        <f t="array" ref="N405">_xlfn.IFS(C405&gt;35,"HIGH",C405&gt;25,"MIDDLE",TRUE,"LOW")</f>
        <v>HIGH</v>
      </c>
      <c r="O405" s="4" t="str">
        <f t="shared" si="19"/>
        <v>OTHERS</v>
      </c>
      <c r="P405" s="4" t="str">
        <f t="shared" si="20"/>
        <v>PREMINUM MORNING</v>
      </c>
    </row>
    <row r="406" spans="1:16" x14ac:dyDescent="0.3">
      <c r="A406" s="4">
        <v>14</v>
      </c>
      <c r="B406" t="s">
        <v>11</v>
      </c>
      <c r="C406" s="4">
        <v>32.82</v>
      </c>
      <c r="D406" t="s">
        <v>19</v>
      </c>
      <c r="E406" t="s">
        <v>17</v>
      </c>
      <c r="F406" s="4" t="s">
        <v>27</v>
      </c>
      <c r="G406" s="4" t="s">
        <v>32</v>
      </c>
      <c r="H406" s="4">
        <v>2</v>
      </c>
      <c r="I406" s="4">
        <v>5</v>
      </c>
      <c r="J406" s="1">
        <v>45426</v>
      </c>
      <c r="K406" s="2">
        <v>4.1712962962962962E-3</v>
      </c>
      <c r="M406" s="4" t="str">
        <f t="shared" si="18"/>
        <v>LOW</v>
      </c>
      <c r="N406" s="4" t="str" cm="1">
        <f t="array" ref="N406">_xlfn.IFS(C406&gt;35,"HIGH",C406&gt;25,"MIDDLE",TRUE,"LOW")</f>
        <v>MIDDLE</v>
      </c>
      <c r="O406" s="4" t="str">
        <f t="shared" si="19"/>
        <v>OTHERS</v>
      </c>
      <c r="P406" s="4" t="str">
        <f t="shared" si="20"/>
        <v>OTHERS</v>
      </c>
    </row>
    <row r="407" spans="1:16" x14ac:dyDescent="0.3">
      <c r="A407" s="4">
        <v>15</v>
      </c>
      <c r="B407" t="s">
        <v>11</v>
      </c>
      <c r="C407" s="4">
        <v>27.92</v>
      </c>
      <c r="D407" t="s">
        <v>18</v>
      </c>
      <c r="E407" t="s">
        <v>17</v>
      </c>
      <c r="F407" s="4" t="s">
        <v>27</v>
      </c>
      <c r="G407" s="4" t="s">
        <v>32</v>
      </c>
      <c r="H407" s="4">
        <v>2</v>
      </c>
      <c r="I407" s="4">
        <v>5</v>
      </c>
      <c r="J407" s="1">
        <v>45426</v>
      </c>
      <c r="K407" s="2">
        <v>1.3287037037037037E-3</v>
      </c>
      <c r="M407" s="4" t="str">
        <f t="shared" si="18"/>
        <v>LOW</v>
      </c>
      <c r="N407" s="4" t="str" cm="1">
        <f t="array" ref="N407">_xlfn.IFS(C407&gt;35,"HIGH",C407&gt;25,"MIDDLE",TRUE,"LOW")</f>
        <v>MIDDLE</v>
      </c>
      <c r="O407" s="4" t="str">
        <f t="shared" si="19"/>
        <v>OTHERS</v>
      </c>
      <c r="P407" s="4" t="str">
        <f t="shared" si="20"/>
        <v>OTHERS</v>
      </c>
    </row>
    <row r="408" spans="1:16" x14ac:dyDescent="0.3">
      <c r="A408" s="4">
        <v>16</v>
      </c>
      <c r="B408" t="s">
        <v>11</v>
      </c>
      <c r="C408" s="4">
        <v>32.82</v>
      </c>
      <c r="D408" t="s">
        <v>19</v>
      </c>
      <c r="E408" t="s">
        <v>17</v>
      </c>
      <c r="F408" s="4" t="s">
        <v>27</v>
      </c>
      <c r="G408" s="4" t="s">
        <v>32</v>
      </c>
      <c r="H408" s="4">
        <v>2</v>
      </c>
      <c r="I408" s="4">
        <v>5</v>
      </c>
      <c r="J408" s="1">
        <v>45426</v>
      </c>
      <c r="K408" s="2">
        <v>4.0245370370370369E-2</v>
      </c>
      <c r="M408" s="4" t="str">
        <f t="shared" si="18"/>
        <v>LOW</v>
      </c>
      <c r="N408" s="4" t="str" cm="1">
        <f t="array" ref="N408">_xlfn.IFS(C408&gt;35,"HIGH",C408&gt;25,"MIDDLE",TRUE,"LOW")</f>
        <v>MIDDLE</v>
      </c>
      <c r="O408" s="4" t="str">
        <f t="shared" si="19"/>
        <v>OTHERS</v>
      </c>
      <c r="P408" s="4" t="str">
        <f t="shared" si="20"/>
        <v>OTHERS</v>
      </c>
    </row>
    <row r="409" spans="1:16" x14ac:dyDescent="0.3">
      <c r="A409" s="4">
        <v>16</v>
      </c>
      <c r="B409" t="s">
        <v>11</v>
      </c>
      <c r="C409" s="4">
        <v>37.72</v>
      </c>
      <c r="D409" t="s">
        <v>29</v>
      </c>
      <c r="E409" t="s">
        <v>17</v>
      </c>
      <c r="F409" s="4" t="s">
        <v>27</v>
      </c>
      <c r="G409" s="4" t="s">
        <v>32</v>
      </c>
      <c r="H409" s="4">
        <v>2</v>
      </c>
      <c r="I409" s="4">
        <v>5</v>
      </c>
      <c r="J409" s="1">
        <v>45426</v>
      </c>
      <c r="K409" s="2">
        <v>4.1090277777777774E-2</v>
      </c>
      <c r="M409" s="4" t="str">
        <f t="shared" si="18"/>
        <v>HIGH</v>
      </c>
      <c r="N409" s="4" t="str" cm="1">
        <f t="array" ref="N409">_xlfn.IFS(C409&gt;35,"HIGH",C409&gt;25,"MIDDLE",TRUE,"LOW")</f>
        <v>HIGH</v>
      </c>
      <c r="O409" s="4" t="str">
        <f t="shared" si="19"/>
        <v>OTHERS</v>
      </c>
      <c r="P409" s="4" t="str">
        <f t="shared" si="20"/>
        <v>PREMINUM MORNING</v>
      </c>
    </row>
    <row r="410" spans="1:16" x14ac:dyDescent="0.3">
      <c r="A410" s="4">
        <v>22</v>
      </c>
      <c r="B410" t="s">
        <v>11</v>
      </c>
      <c r="C410" s="4">
        <v>37.72</v>
      </c>
      <c r="D410" t="s">
        <v>16</v>
      </c>
      <c r="E410" t="s">
        <v>20</v>
      </c>
      <c r="F410" s="4" t="s">
        <v>27</v>
      </c>
      <c r="G410" s="4" t="s">
        <v>32</v>
      </c>
      <c r="H410" s="4">
        <v>2</v>
      </c>
      <c r="I410" s="4">
        <v>5</v>
      </c>
      <c r="J410" s="1">
        <v>45426</v>
      </c>
      <c r="K410" s="2">
        <v>3.5708333333333328E-2</v>
      </c>
      <c r="M410" s="4" t="str">
        <f t="shared" si="18"/>
        <v>HIGH</v>
      </c>
      <c r="N410" s="4" t="str" cm="1">
        <f t="array" ref="N410">_xlfn.IFS(C410&gt;35,"HIGH",C410&gt;25,"MIDDLE",TRUE,"LOW")</f>
        <v>HIGH</v>
      </c>
      <c r="O410" s="4" t="str">
        <f t="shared" si="19"/>
        <v>OTHERS</v>
      </c>
      <c r="P410" s="4" t="str">
        <f t="shared" si="20"/>
        <v>PREMINUM MORNING</v>
      </c>
    </row>
    <row r="411" spans="1:16" x14ac:dyDescent="0.3">
      <c r="A411" s="4">
        <v>8</v>
      </c>
      <c r="B411" t="s">
        <v>11</v>
      </c>
      <c r="C411" s="4">
        <v>37.72</v>
      </c>
      <c r="D411" t="s">
        <v>12</v>
      </c>
      <c r="E411" t="s">
        <v>13</v>
      </c>
      <c r="F411" s="4" t="s">
        <v>28</v>
      </c>
      <c r="G411" s="4" t="s">
        <v>32</v>
      </c>
      <c r="H411" s="4">
        <v>3</v>
      </c>
      <c r="I411" s="4">
        <v>5</v>
      </c>
      <c r="J411" s="1">
        <v>45427</v>
      </c>
      <c r="K411" s="2">
        <v>2.7843749999999997E-2</v>
      </c>
      <c r="M411" s="4" t="str">
        <f t="shared" si="18"/>
        <v>HIGH</v>
      </c>
      <c r="N411" s="4" t="str" cm="1">
        <f t="array" ref="N411">_xlfn.IFS(C411&gt;35,"HIGH",C411&gt;25,"MIDDLE",TRUE,"LOW")</f>
        <v>HIGH</v>
      </c>
      <c r="O411" s="4" t="str">
        <f t="shared" si="19"/>
        <v>PREMINUM MORNING</v>
      </c>
      <c r="P411" s="4" t="str">
        <f t="shared" si="20"/>
        <v>PREMINUM MORNING</v>
      </c>
    </row>
    <row r="412" spans="1:16" x14ac:dyDescent="0.3">
      <c r="A412" s="4">
        <v>11</v>
      </c>
      <c r="B412" t="s">
        <v>11</v>
      </c>
      <c r="C412" s="4">
        <v>23.02</v>
      </c>
      <c r="D412" t="s">
        <v>26</v>
      </c>
      <c r="E412" t="s">
        <v>13</v>
      </c>
      <c r="F412" s="4" t="s">
        <v>28</v>
      </c>
      <c r="G412" s="4" t="s">
        <v>32</v>
      </c>
      <c r="H412" s="4">
        <v>3</v>
      </c>
      <c r="I412" s="4">
        <v>5</v>
      </c>
      <c r="J412" s="1">
        <v>45427</v>
      </c>
      <c r="K412" s="2">
        <v>9.9467592592592594E-3</v>
      </c>
      <c r="M412" s="4" t="str">
        <f t="shared" si="18"/>
        <v>LOW</v>
      </c>
      <c r="N412" s="4" t="str" cm="1">
        <f t="array" ref="N412">_xlfn.IFS(C412&gt;35,"HIGH",C412&gt;25,"MIDDLE",TRUE,"LOW")</f>
        <v>LOW</v>
      </c>
      <c r="O412" s="4" t="str">
        <f t="shared" si="19"/>
        <v>OTHERS</v>
      </c>
      <c r="P412" s="4" t="str">
        <f t="shared" si="20"/>
        <v>PREMINUM MORNING</v>
      </c>
    </row>
    <row r="413" spans="1:16" x14ac:dyDescent="0.3">
      <c r="A413" s="4">
        <v>11</v>
      </c>
      <c r="B413" t="s">
        <v>11</v>
      </c>
      <c r="C413" s="4">
        <v>27.92</v>
      </c>
      <c r="D413" t="s">
        <v>18</v>
      </c>
      <c r="E413" t="s">
        <v>13</v>
      </c>
      <c r="F413" s="4" t="s">
        <v>28</v>
      </c>
      <c r="G413" s="4" t="s">
        <v>32</v>
      </c>
      <c r="H413" s="4">
        <v>3</v>
      </c>
      <c r="I413" s="4">
        <v>5</v>
      </c>
      <c r="J413" s="1">
        <v>45427</v>
      </c>
      <c r="K413" s="2">
        <v>1.3310185185185185E-2</v>
      </c>
      <c r="M413" s="4" t="str">
        <f t="shared" si="18"/>
        <v>LOW</v>
      </c>
      <c r="N413" s="4" t="str" cm="1">
        <f t="array" ref="N413">_xlfn.IFS(C413&gt;35,"HIGH",C413&gt;25,"MIDDLE",TRUE,"LOW")</f>
        <v>MIDDLE</v>
      </c>
      <c r="O413" s="4" t="str">
        <f t="shared" si="19"/>
        <v>OTHERS</v>
      </c>
      <c r="P413" s="4" t="str">
        <f t="shared" si="20"/>
        <v>PREMINUM MORNING</v>
      </c>
    </row>
    <row r="414" spans="1:16" x14ac:dyDescent="0.3">
      <c r="A414" s="4">
        <v>13</v>
      </c>
      <c r="B414" t="s">
        <v>11</v>
      </c>
      <c r="C414" s="4">
        <v>27.92</v>
      </c>
      <c r="D414" t="s">
        <v>18</v>
      </c>
      <c r="E414" t="s">
        <v>17</v>
      </c>
      <c r="F414" s="4" t="s">
        <v>28</v>
      </c>
      <c r="G414" s="4" t="s">
        <v>32</v>
      </c>
      <c r="H414" s="4">
        <v>3</v>
      </c>
      <c r="I414" s="4">
        <v>5</v>
      </c>
      <c r="J414" s="1">
        <v>45427</v>
      </c>
      <c r="K414" s="2">
        <v>2.4017361111111111E-2</v>
      </c>
      <c r="M414" s="4" t="str">
        <f t="shared" si="18"/>
        <v>LOW</v>
      </c>
      <c r="N414" s="4" t="str" cm="1">
        <f t="array" ref="N414">_xlfn.IFS(C414&gt;35,"HIGH",C414&gt;25,"MIDDLE",TRUE,"LOW")</f>
        <v>MIDDLE</v>
      </c>
      <c r="O414" s="4" t="str">
        <f t="shared" si="19"/>
        <v>OTHERS</v>
      </c>
      <c r="P414" s="4" t="str">
        <f t="shared" si="20"/>
        <v>OTHERS</v>
      </c>
    </row>
    <row r="415" spans="1:16" x14ac:dyDescent="0.3">
      <c r="A415" s="4">
        <v>13</v>
      </c>
      <c r="B415" t="s">
        <v>11</v>
      </c>
      <c r="C415" s="4">
        <v>27.92</v>
      </c>
      <c r="D415" t="s">
        <v>18</v>
      </c>
      <c r="E415" t="s">
        <v>17</v>
      </c>
      <c r="F415" s="4" t="s">
        <v>28</v>
      </c>
      <c r="G415" s="4" t="s">
        <v>32</v>
      </c>
      <c r="H415" s="4">
        <v>3</v>
      </c>
      <c r="I415" s="4">
        <v>5</v>
      </c>
      <c r="J415" s="1">
        <v>45427</v>
      </c>
      <c r="K415" s="2">
        <v>2.4643518518518516E-2</v>
      </c>
      <c r="M415" s="4" t="str">
        <f t="shared" si="18"/>
        <v>LOW</v>
      </c>
      <c r="N415" s="4" t="str" cm="1">
        <f t="array" ref="N415">_xlfn.IFS(C415&gt;35,"HIGH",C415&gt;25,"MIDDLE",TRUE,"LOW")</f>
        <v>MIDDLE</v>
      </c>
      <c r="O415" s="4" t="str">
        <f t="shared" si="19"/>
        <v>OTHERS</v>
      </c>
      <c r="P415" s="4" t="str">
        <f t="shared" si="20"/>
        <v>OTHERS</v>
      </c>
    </row>
    <row r="416" spans="1:16" x14ac:dyDescent="0.3">
      <c r="A416" s="4">
        <v>13</v>
      </c>
      <c r="B416" t="s">
        <v>11</v>
      </c>
      <c r="C416" s="4">
        <v>27.92</v>
      </c>
      <c r="D416" t="s">
        <v>18</v>
      </c>
      <c r="E416" t="s">
        <v>17</v>
      </c>
      <c r="F416" s="4" t="s">
        <v>28</v>
      </c>
      <c r="G416" s="4" t="s">
        <v>32</v>
      </c>
      <c r="H416" s="4">
        <v>3</v>
      </c>
      <c r="I416" s="4">
        <v>5</v>
      </c>
      <c r="J416" s="1">
        <v>45427</v>
      </c>
      <c r="K416" s="2">
        <v>2.5315972222222226E-2</v>
      </c>
      <c r="M416" s="4" t="str">
        <f t="shared" si="18"/>
        <v>LOW</v>
      </c>
      <c r="N416" s="4" t="str" cm="1">
        <f t="array" ref="N416">_xlfn.IFS(C416&gt;35,"HIGH",C416&gt;25,"MIDDLE",TRUE,"LOW")</f>
        <v>MIDDLE</v>
      </c>
      <c r="O416" s="4" t="str">
        <f t="shared" si="19"/>
        <v>OTHERS</v>
      </c>
      <c r="P416" s="4" t="str">
        <f t="shared" si="20"/>
        <v>OTHERS</v>
      </c>
    </row>
    <row r="417" spans="1:16" x14ac:dyDescent="0.3">
      <c r="A417" s="4">
        <v>13</v>
      </c>
      <c r="B417" t="s">
        <v>11</v>
      </c>
      <c r="C417" s="4">
        <v>32.82</v>
      </c>
      <c r="D417" t="s">
        <v>19</v>
      </c>
      <c r="E417" t="s">
        <v>17</v>
      </c>
      <c r="F417" s="4" t="s">
        <v>28</v>
      </c>
      <c r="G417" s="4" t="s">
        <v>32</v>
      </c>
      <c r="H417" s="4">
        <v>3</v>
      </c>
      <c r="I417" s="4">
        <v>5</v>
      </c>
      <c r="J417" s="1">
        <v>45427</v>
      </c>
      <c r="K417" s="2">
        <v>3.8530092592592595E-2</v>
      </c>
      <c r="M417" s="4" t="str">
        <f t="shared" si="18"/>
        <v>LOW</v>
      </c>
      <c r="N417" s="4" t="str" cm="1">
        <f t="array" ref="N417">_xlfn.IFS(C417&gt;35,"HIGH",C417&gt;25,"MIDDLE",TRUE,"LOW")</f>
        <v>MIDDLE</v>
      </c>
      <c r="O417" s="4" t="str">
        <f t="shared" si="19"/>
        <v>OTHERS</v>
      </c>
      <c r="P417" s="4" t="str">
        <f t="shared" si="20"/>
        <v>OTHERS</v>
      </c>
    </row>
    <row r="418" spans="1:16" x14ac:dyDescent="0.3">
      <c r="A418" s="4">
        <v>14</v>
      </c>
      <c r="B418" t="s">
        <v>11</v>
      </c>
      <c r="C418" s="4">
        <v>27.92</v>
      </c>
      <c r="D418" t="s">
        <v>24</v>
      </c>
      <c r="E418" t="s">
        <v>17</v>
      </c>
      <c r="F418" s="4" t="s">
        <v>28</v>
      </c>
      <c r="G418" s="4" t="s">
        <v>32</v>
      </c>
      <c r="H418" s="4">
        <v>3</v>
      </c>
      <c r="I418" s="4">
        <v>5</v>
      </c>
      <c r="J418" s="1">
        <v>45427</v>
      </c>
      <c r="K418" s="2">
        <v>2.6994212962962966E-2</v>
      </c>
      <c r="M418" s="4" t="str">
        <f t="shared" si="18"/>
        <v>LOW</v>
      </c>
      <c r="N418" s="4" t="str" cm="1">
        <f t="array" ref="N418">_xlfn.IFS(C418&gt;35,"HIGH",C418&gt;25,"MIDDLE",TRUE,"LOW")</f>
        <v>MIDDLE</v>
      </c>
      <c r="O418" s="4" t="str">
        <f t="shared" si="19"/>
        <v>OTHERS</v>
      </c>
      <c r="P418" s="4" t="str">
        <f t="shared" si="20"/>
        <v>OTHERS</v>
      </c>
    </row>
    <row r="419" spans="1:16" x14ac:dyDescent="0.3">
      <c r="A419" s="4">
        <v>14</v>
      </c>
      <c r="B419" t="s">
        <v>11</v>
      </c>
      <c r="C419" s="4">
        <v>27.92</v>
      </c>
      <c r="D419" t="s">
        <v>24</v>
      </c>
      <c r="E419" t="s">
        <v>17</v>
      </c>
      <c r="F419" s="4" t="s">
        <v>28</v>
      </c>
      <c r="G419" s="4" t="s">
        <v>32</v>
      </c>
      <c r="H419" s="4">
        <v>3</v>
      </c>
      <c r="I419" s="4">
        <v>5</v>
      </c>
      <c r="J419" s="1">
        <v>45427</v>
      </c>
      <c r="K419" s="2">
        <v>2.7597222222222224E-2</v>
      </c>
      <c r="M419" s="4" t="str">
        <f t="shared" si="18"/>
        <v>LOW</v>
      </c>
      <c r="N419" s="4" t="str" cm="1">
        <f t="array" ref="N419">_xlfn.IFS(C419&gt;35,"HIGH",C419&gt;25,"MIDDLE",TRUE,"LOW")</f>
        <v>MIDDLE</v>
      </c>
      <c r="O419" s="4" t="str">
        <f t="shared" si="19"/>
        <v>OTHERS</v>
      </c>
      <c r="P419" s="4" t="str">
        <f t="shared" si="20"/>
        <v>OTHERS</v>
      </c>
    </row>
    <row r="420" spans="1:16" x14ac:dyDescent="0.3">
      <c r="A420" s="4">
        <v>17</v>
      </c>
      <c r="B420" t="s">
        <v>11</v>
      </c>
      <c r="C420" s="4">
        <v>23.02</v>
      </c>
      <c r="D420" t="s">
        <v>26</v>
      </c>
      <c r="E420" t="s">
        <v>20</v>
      </c>
      <c r="F420" s="4" t="s">
        <v>28</v>
      </c>
      <c r="G420" s="4" t="s">
        <v>32</v>
      </c>
      <c r="H420" s="4">
        <v>3</v>
      </c>
      <c r="I420" s="4">
        <v>5</v>
      </c>
      <c r="J420" s="1">
        <v>45427</v>
      </c>
      <c r="K420" s="2">
        <v>2.0122685185185184E-2</v>
      </c>
      <c r="M420" s="4" t="str">
        <f t="shared" si="18"/>
        <v>LOW</v>
      </c>
      <c r="N420" s="4" t="str" cm="1">
        <f t="array" ref="N420">_xlfn.IFS(C420&gt;35,"HIGH",C420&gt;25,"MIDDLE",TRUE,"LOW")</f>
        <v>LOW</v>
      </c>
      <c r="O420" s="4" t="str">
        <f t="shared" si="19"/>
        <v>OTHERS</v>
      </c>
      <c r="P420" s="4" t="str">
        <f t="shared" si="20"/>
        <v>OTHERS</v>
      </c>
    </row>
    <row r="421" spans="1:16" x14ac:dyDescent="0.3">
      <c r="A421" s="4">
        <v>20</v>
      </c>
      <c r="B421" t="s">
        <v>11</v>
      </c>
      <c r="C421" s="4">
        <v>37.72</v>
      </c>
      <c r="D421" t="s">
        <v>29</v>
      </c>
      <c r="E421" t="s">
        <v>20</v>
      </c>
      <c r="F421" s="4" t="s">
        <v>28</v>
      </c>
      <c r="G421" s="4" t="s">
        <v>32</v>
      </c>
      <c r="H421" s="4">
        <v>3</v>
      </c>
      <c r="I421" s="4">
        <v>5</v>
      </c>
      <c r="J421" s="1">
        <v>45427</v>
      </c>
      <c r="K421" s="2">
        <v>1.4291666666666666E-2</v>
      </c>
      <c r="M421" s="4" t="str">
        <f t="shared" si="18"/>
        <v>HIGH</v>
      </c>
      <c r="N421" s="4" t="str" cm="1">
        <f t="array" ref="N421">_xlfn.IFS(C421&gt;35,"HIGH",C421&gt;25,"MIDDLE",TRUE,"LOW")</f>
        <v>HIGH</v>
      </c>
      <c r="O421" s="4" t="str">
        <f t="shared" si="19"/>
        <v>OTHERS</v>
      </c>
      <c r="P421" s="4" t="str">
        <f t="shared" si="20"/>
        <v>PREMINUM MORNING</v>
      </c>
    </row>
    <row r="422" spans="1:16" x14ac:dyDescent="0.3">
      <c r="A422" s="4">
        <v>10</v>
      </c>
      <c r="B422" t="s">
        <v>11</v>
      </c>
      <c r="C422" s="4">
        <v>32.82</v>
      </c>
      <c r="D422" t="s">
        <v>19</v>
      </c>
      <c r="E422" t="s">
        <v>13</v>
      </c>
      <c r="F422" s="4" t="s">
        <v>30</v>
      </c>
      <c r="G422" s="4" t="s">
        <v>32</v>
      </c>
      <c r="H422" s="4">
        <v>4</v>
      </c>
      <c r="I422" s="4">
        <v>5</v>
      </c>
      <c r="J422" s="1">
        <v>45428</v>
      </c>
      <c r="K422" s="2">
        <v>2.6880787037037036E-2</v>
      </c>
      <c r="M422" s="4" t="str">
        <f t="shared" si="18"/>
        <v>LOW</v>
      </c>
      <c r="N422" s="4" t="str" cm="1">
        <f t="array" ref="N422">_xlfn.IFS(C422&gt;35,"HIGH",C422&gt;25,"MIDDLE",TRUE,"LOW")</f>
        <v>MIDDLE</v>
      </c>
      <c r="O422" s="4" t="str">
        <f t="shared" si="19"/>
        <v>OTHERS</v>
      </c>
      <c r="P422" s="4" t="str">
        <f t="shared" si="20"/>
        <v>PREMINUM MORNING</v>
      </c>
    </row>
    <row r="423" spans="1:16" x14ac:dyDescent="0.3">
      <c r="A423" s="4">
        <v>10</v>
      </c>
      <c r="B423" t="s">
        <v>11</v>
      </c>
      <c r="C423" s="4">
        <v>32.82</v>
      </c>
      <c r="D423" t="s">
        <v>19</v>
      </c>
      <c r="E423" t="s">
        <v>13</v>
      </c>
      <c r="F423" s="4" t="s">
        <v>30</v>
      </c>
      <c r="G423" s="4" t="s">
        <v>32</v>
      </c>
      <c r="H423" s="4">
        <v>4</v>
      </c>
      <c r="I423" s="4">
        <v>5</v>
      </c>
      <c r="J423" s="1">
        <v>45428</v>
      </c>
      <c r="K423" s="2">
        <v>2.7655092592592592E-2</v>
      </c>
      <c r="M423" s="4" t="str">
        <f t="shared" si="18"/>
        <v>LOW</v>
      </c>
      <c r="N423" s="4" t="str" cm="1">
        <f t="array" ref="N423">_xlfn.IFS(C423&gt;35,"HIGH",C423&gt;25,"MIDDLE",TRUE,"LOW")</f>
        <v>MIDDLE</v>
      </c>
      <c r="O423" s="4" t="str">
        <f t="shared" si="19"/>
        <v>OTHERS</v>
      </c>
      <c r="P423" s="4" t="str">
        <f t="shared" si="20"/>
        <v>PREMINUM MORNING</v>
      </c>
    </row>
    <row r="424" spans="1:16" x14ac:dyDescent="0.3">
      <c r="A424" s="4">
        <v>12</v>
      </c>
      <c r="B424" t="s">
        <v>11</v>
      </c>
      <c r="C424" s="4">
        <v>32.82</v>
      </c>
      <c r="D424" t="s">
        <v>19</v>
      </c>
      <c r="E424" t="s">
        <v>17</v>
      </c>
      <c r="F424" s="4" t="s">
        <v>30</v>
      </c>
      <c r="G424" s="4" t="s">
        <v>32</v>
      </c>
      <c r="H424" s="4">
        <v>4</v>
      </c>
      <c r="I424" s="4">
        <v>5</v>
      </c>
      <c r="J424" s="1">
        <v>45428</v>
      </c>
      <c r="K424" s="2">
        <v>9.7233796296296304E-3</v>
      </c>
      <c r="M424" s="4" t="str">
        <f t="shared" si="18"/>
        <v>LOW</v>
      </c>
      <c r="N424" s="4" t="str" cm="1">
        <f t="array" ref="N424">_xlfn.IFS(C424&gt;35,"HIGH",C424&gt;25,"MIDDLE",TRUE,"LOW")</f>
        <v>MIDDLE</v>
      </c>
      <c r="O424" s="4" t="str">
        <f t="shared" si="19"/>
        <v>OTHERS</v>
      </c>
      <c r="P424" s="4" t="str">
        <f t="shared" si="20"/>
        <v>OTHERS</v>
      </c>
    </row>
    <row r="425" spans="1:16" x14ac:dyDescent="0.3">
      <c r="A425" s="4">
        <v>15</v>
      </c>
      <c r="B425" t="s">
        <v>11</v>
      </c>
      <c r="C425" s="4">
        <v>37.72</v>
      </c>
      <c r="D425" t="s">
        <v>16</v>
      </c>
      <c r="E425" t="s">
        <v>17</v>
      </c>
      <c r="F425" s="4" t="s">
        <v>30</v>
      </c>
      <c r="G425" s="4" t="s">
        <v>32</v>
      </c>
      <c r="H425" s="4">
        <v>4</v>
      </c>
      <c r="I425" s="4">
        <v>5</v>
      </c>
      <c r="J425" s="1">
        <v>45428</v>
      </c>
      <c r="K425" s="2">
        <v>1.0605324074074074E-2</v>
      </c>
      <c r="M425" s="4" t="str">
        <f t="shared" si="18"/>
        <v>HIGH</v>
      </c>
      <c r="N425" s="4" t="str" cm="1">
        <f t="array" ref="N425">_xlfn.IFS(C425&gt;35,"HIGH",C425&gt;25,"MIDDLE",TRUE,"LOW")</f>
        <v>HIGH</v>
      </c>
      <c r="O425" s="4" t="str">
        <f t="shared" si="19"/>
        <v>OTHERS</v>
      </c>
      <c r="P425" s="4" t="str">
        <f t="shared" si="20"/>
        <v>PREMINUM MORNING</v>
      </c>
    </row>
    <row r="426" spans="1:16" x14ac:dyDescent="0.3">
      <c r="A426" s="4">
        <v>17</v>
      </c>
      <c r="B426" t="s">
        <v>11</v>
      </c>
      <c r="C426" s="4">
        <v>37.72</v>
      </c>
      <c r="D426" t="s">
        <v>12</v>
      </c>
      <c r="E426" t="s">
        <v>20</v>
      </c>
      <c r="F426" s="4" t="s">
        <v>30</v>
      </c>
      <c r="G426" s="4" t="s">
        <v>32</v>
      </c>
      <c r="H426" s="4">
        <v>4</v>
      </c>
      <c r="I426" s="4">
        <v>5</v>
      </c>
      <c r="J426" s="1">
        <v>45428</v>
      </c>
      <c r="K426" s="2">
        <v>3.0920138888888889E-2</v>
      </c>
      <c r="M426" s="4" t="str">
        <f t="shared" si="18"/>
        <v>HIGH</v>
      </c>
      <c r="N426" s="4" t="str" cm="1">
        <f t="array" ref="N426">_xlfn.IFS(C426&gt;35,"HIGH",C426&gt;25,"MIDDLE",TRUE,"LOW")</f>
        <v>HIGH</v>
      </c>
      <c r="O426" s="4" t="str">
        <f t="shared" si="19"/>
        <v>OTHERS</v>
      </c>
      <c r="P426" s="4" t="str">
        <f t="shared" si="20"/>
        <v>PREMINUM MORNING</v>
      </c>
    </row>
    <row r="427" spans="1:16" x14ac:dyDescent="0.3">
      <c r="A427" s="4">
        <v>18</v>
      </c>
      <c r="B427" t="s">
        <v>11</v>
      </c>
      <c r="C427" s="4">
        <v>37.72</v>
      </c>
      <c r="D427" t="s">
        <v>16</v>
      </c>
      <c r="E427" t="s">
        <v>20</v>
      </c>
      <c r="F427" s="4" t="s">
        <v>30</v>
      </c>
      <c r="G427" s="4" t="s">
        <v>32</v>
      </c>
      <c r="H427" s="4">
        <v>4</v>
      </c>
      <c r="I427" s="4">
        <v>5</v>
      </c>
      <c r="J427" s="1">
        <v>45428</v>
      </c>
      <c r="K427" s="2">
        <v>8.9918981481481482E-3</v>
      </c>
      <c r="M427" s="4" t="str">
        <f t="shared" si="18"/>
        <v>HIGH</v>
      </c>
      <c r="N427" s="4" t="str" cm="1">
        <f t="array" ref="N427">_xlfn.IFS(C427&gt;35,"HIGH",C427&gt;25,"MIDDLE",TRUE,"LOW")</f>
        <v>HIGH</v>
      </c>
      <c r="O427" s="4" t="str">
        <f t="shared" si="19"/>
        <v>OTHERS</v>
      </c>
      <c r="P427" s="4" t="str">
        <f t="shared" si="20"/>
        <v>PREMINUM MORNING</v>
      </c>
    </row>
    <row r="428" spans="1:16" x14ac:dyDescent="0.3">
      <c r="A428" s="4">
        <v>18</v>
      </c>
      <c r="B428" t="s">
        <v>11</v>
      </c>
      <c r="C428" s="4">
        <v>37.72</v>
      </c>
      <c r="D428" t="s">
        <v>12</v>
      </c>
      <c r="E428" t="s">
        <v>20</v>
      </c>
      <c r="F428" s="4" t="s">
        <v>30</v>
      </c>
      <c r="G428" s="4" t="s">
        <v>32</v>
      </c>
      <c r="H428" s="4">
        <v>4</v>
      </c>
      <c r="I428" s="4">
        <v>5</v>
      </c>
      <c r="J428" s="1">
        <v>45428</v>
      </c>
      <c r="K428" s="2">
        <v>9.7013888888888896E-3</v>
      </c>
      <c r="M428" s="4" t="str">
        <f t="shared" si="18"/>
        <v>HIGH</v>
      </c>
      <c r="N428" s="4" t="str" cm="1">
        <f t="array" ref="N428">_xlfn.IFS(C428&gt;35,"HIGH",C428&gt;25,"MIDDLE",TRUE,"LOW")</f>
        <v>HIGH</v>
      </c>
      <c r="O428" s="4" t="str">
        <f t="shared" si="19"/>
        <v>OTHERS</v>
      </c>
      <c r="P428" s="4" t="str">
        <f t="shared" si="20"/>
        <v>PREMINUM MORNING</v>
      </c>
    </row>
    <row r="429" spans="1:16" x14ac:dyDescent="0.3">
      <c r="A429" s="4">
        <v>9</v>
      </c>
      <c r="B429" t="s">
        <v>11</v>
      </c>
      <c r="C429" s="4">
        <v>27.92</v>
      </c>
      <c r="D429" t="s">
        <v>18</v>
      </c>
      <c r="E429" t="s">
        <v>13</v>
      </c>
      <c r="F429" s="4" t="s">
        <v>14</v>
      </c>
      <c r="G429" s="4" t="s">
        <v>32</v>
      </c>
      <c r="H429" s="4">
        <v>5</v>
      </c>
      <c r="I429" s="4">
        <v>5</v>
      </c>
      <c r="J429" s="1">
        <v>45429</v>
      </c>
      <c r="K429" s="2">
        <v>5.6134259259259256E-4</v>
      </c>
      <c r="M429" s="4" t="str">
        <f t="shared" si="18"/>
        <v>LOW</v>
      </c>
      <c r="N429" s="4" t="str" cm="1">
        <f t="array" ref="N429">_xlfn.IFS(C429&gt;35,"HIGH",C429&gt;25,"MIDDLE",TRUE,"LOW")</f>
        <v>MIDDLE</v>
      </c>
      <c r="O429" s="4" t="str">
        <f t="shared" si="19"/>
        <v>OTHERS</v>
      </c>
      <c r="P429" s="4" t="str">
        <f t="shared" si="20"/>
        <v>PREMINUM MORNING</v>
      </c>
    </row>
    <row r="430" spans="1:16" x14ac:dyDescent="0.3">
      <c r="A430" s="4">
        <v>11</v>
      </c>
      <c r="B430" t="s">
        <v>11</v>
      </c>
      <c r="C430" s="4">
        <v>32.82</v>
      </c>
      <c r="D430" t="s">
        <v>19</v>
      </c>
      <c r="E430" t="s">
        <v>13</v>
      </c>
      <c r="F430" s="4" t="s">
        <v>14</v>
      </c>
      <c r="G430" s="4" t="s">
        <v>32</v>
      </c>
      <c r="H430" s="4">
        <v>5</v>
      </c>
      <c r="I430" s="4">
        <v>5</v>
      </c>
      <c r="J430" s="1">
        <v>45429</v>
      </c>
      <c r="K430" s="2">
        <v>2.1152777777777777E-2</v>
      </c>
      <c r="M430" s="4" t="str">
        <f t="shared" si="18"/>
        <v>LOW</v>
      </c>
      <c r="N430" s="4" t="str" cm="1">
        <f t="array" ref="N430">_xlfn.IFS(C430&gt;35,"HIGH",C430&gt;25,"MIDDLE",TRUE,"LOW")</f>
        <v>MIDDLE</v>
      </c>
      <c r="O430" s="4" t="str">
        <f t="shared" si="19"/>
        <v>OTHERS</v>
      </c>
      <c r="P430" s="4" t="str">
        <f t="shared" si="20"/>
        <v>PREMINUM MORNING</v>
      </c>
    </row>
    <row r="431" spans="1:16" x14ac:dyDescent="0.3">
      <c r="A431" s="4">
        <v>19</v>
      </c>
      <c r="B431" t="s">
        <v>11</v>
      </c>
      <c r="C431" s="4">
        <v>32.82</v>
      </c>
      <c r="D431" t="s">
        <v>19</v>
      </c>
      <c r="E431" t="s">
        <v>20</v>
      </c>
      <c r="F431" s="4" t="s">
        <v>14</v>
      </c>
      <c r="G431" s="4" t="s">
        <v>32</v>
      </c>
      <c r="H431" s="4">
        <v>5</v>
      </c>
      <c r="I431" s="4">
        <v>5</v>
      </c>
      <c r="J431" s="1">
        <v>45429</v>
      </c>
      <c r="K431" s="2">
        <v>3.8408564814814812E-2</v>
      </c>
      <c r="M431" s="4" t="str">
        <f t="shared" si="18"/>
        <v>LOW</v>
      </c>
      <c r="N431" s="4" t="str" cm="1">
        <f t="array" ref="N431">_xlfn.IFS(C431&gt;35,"HIGH",C431&gt;25,"MIDDLE",TRUE,"LOW")</f>
        <v>MIDDLE</v>
      </c>
      <c r="O431" s="4" t="str">
        <f t="shared" si="19"/>
        <v>OTHERS</v>
      </c>
      <c r="P431" s="4" t="str">
        <f t="shared" si="20"/>
        <v>OTHERS</v>
      </c>
    </row>
    <row r="432" spans="1:16" x14ac:dyDescent="0.3">
      <c r="A432" s="4">
        <v>19</v>
      </c>
      <c r="B432" t="s">
        <v>11</v>
      </c>
      <c r="C432" s="4">
        <v>37.72</v>
      </c>
      <c r="D432" t="s">
        <v>29</v>
      </c>
      <c r="E432" t="s">
        <v>20</v>
      </c>
      <c r="F432" s="4" t="s">
        <v>14</v>
      </c>
      <c r="G432" s="4" t="s">
        <v>32</v>
      </c>
      <c r="H432" s="4">
        <v>5</v>
      </c>
      <c r="I432" s="4">
        <v>5</v>
      </c>
      <c r="J432" s="1">
        <v>45429</v>
      </c>
      <c r="K432" s="2">
        <v>3.9430555555555559E-2</v>
      </c>
      <c r="M432" s="4" t="str">
        <f t="shared" si="18"/>
        <v>HIGH</v>
      </c>
      <c r="N432" s="4" t="str" cm="1">
        <f t="array" ref="N432">_xlfn.IFS(C432&gt;35,"HIGH",C432&gt;25,"MIDDLE",TRUE,"LOW")</f>
        <v>HIGH</v>
      </c>
      <c r="O432" s="4" t="str">
        <f t="shared" si="19"/>
        <v>OTHERS</v>
      </c>
      <c r="P432" s="4" t="str">
        <f t="shared" si="20"/>
        <v>PREMINUM MORNING</v>
      </c>
    </row>
    <row r="433" spans="1:16" x14ac:dyDescent="0.3">
      <c r="A433" s="4">
        <v>20</v>
      </c>
      <c r="B433" t="s">
        <v>11</v>
      </c>
      <c r="C433" s="4">
        <v>37.72</v>
      </c>
      <c r="D433" t="s">
        <v>29</v>
      </c>
      <c r="E433" t="s">
        <v>20</v>
      </c>
      <c r="F433" s="4" t="s">
        <v>14</v>
      </c>
      <c r="G433" s="4" t="s">
        <v>32</v>
      </c>
      <c r="H433" s="4">
        <v>5</v>
      </c>
      <c r="I433" s="4">
        <v>5</v>
      </c>
      <c r="J433" s="1">
        <v>45429</v>
      </c>
      <c r="K433" s="2">
        <v>2.6306712962962962E-2</v>
      </c>
      <c r="M433" s="4" t="str">
        <f t="shared" si="18"/>
        <v>HIGH</v>
      </c>
      <c r="N433" s="4" t="str" cm="1">
        <f t="array" ref="N433">_xlfn.IFS(C433&gt;35,"HIGH",C433&gt;25,"MIDDLE",TRUE,"LOW")</f>
        <v>HIGH</v>
      </c>
      <c r="O433" s="4" t="str">
        <f t="shared" si="19"/>
        <v>OTHERS</v>
      </c>
      <c r="P433" s="4" t="str">
        <f t="shared" si="20"/>
        <v>PREMINUM MORNING</v>
      </c>
    </row>
    <row r="434" spans="1:16" x14ac:dyDescent="0.3">
      <c r="A434" s="4">
        <v>22</v>
      </c>
      <c r="B434" t="s">
        <v>11</v>
      </c>
      <c r="C434" s="4">
        <v>27.92</v>
      </c>
      <c r="D434" t="s">
        <v>18</v>
      </c>
      <c r="E434" t="s">
        <v>20</v>
      </c>
      <c r="F434" s="4" t="s">
        <v>14</v>
      </c>
      <c r="G434" s="4" t="s">
        <v>32</v>
      </c>
      <c r="H434" s="4">
        <v>5</v>
      </c>
      <c r="I434" s="4">
        <v>5</v>
      </c>
      <c r="J434" s="1">
        <v>45429</v>
      </c>
      <c r="K434" s="2">
        <v>2.4199074074074078E-2</v>
      </c>
      <c r="M434" s="4" t="str">
        <f t="shared" si="18"/>
        <v>LOW</v>
      </c>
      <c r="N434" s="4" t="str" cm="1">
        <f t="array" ref="N434">_xlfn.IFS(C434&gt;35,"HIGH",C434&gt;25,"MIDDLE",TRUE,"LOW")</f>
        <v>MIDDLE</v>
      </c>
      <c r="O434" s="4" t="str">
        <f t="shared" si="19"/>
        <v>OTHERS</v>
      </c>
      <c r="P434" s="4" t="str">
        <f t="shared" si="20"/>
        <v>OTHERS</v>
      </c>
    </row>
    <row r="435" spans="1:16" x14ac:dyDescent="0.3">
      <c r="A435" s="4">
        <v>22</v>
      </c>
      <c r="B435" t="s">
        <v>11</v>
      </c>
      <c r="C435" s="4">
        <v>37.72</v>
      </c>
      <c r="D435" t="s">
        <v>12</v>
      </c>
      <c r="E435" t="s">
        <v>20</v>
      </c>
      <c r="F435" s="4" t="s">
        <v>14</v>
      </c>
      <c r="G435" s="4" t="s">
        <v>32</v>
      </c>
      <c r="H435" s="4">
        <v>5</v>
      </c>
      <c r="I435" s="4">
        <v>5</v>
      </c>
      <c r="J435" s="1">
        <v>45429</v>
      </c>
      <c r="K435" s="2">
        <v>2.5386574074074075E-2</v>
      </c>
      <c r="M435" s="4" t="str">
        <f t="shared" si="18"/>
        <v>HIGH</v>
      </c>
      <c r="N435" s="4" t="str" cm="1">
        <f t="array" ref="N435">_xlfn.IFS(C435&gt;35,"HIGH",C435&gt;25,"MIDDLE",TRUE,"LOW")</f>
        <v>HIGH</v>
      </c>
      <c r="O435" s="4" t="str">
        <f t="shared" si="19"/>
        <v>OTHERS</v>
      </c>
      <c r="P435" s="4" t="str">
        <f t="shared" si="20"/>
        <v>PREMINUM MORNING</v>
      </c>
    </row>
    <row r="436" spans="1:16" x14ac:dyDescent="0.3">
      <c r="A436" s="4">
        <v>22</v>
      </c>
      <c r="B436" t="s">
        <v>11</v>
      </c>
      <c r="C436" s="4">
        <v>37.72</v>
      </c>
      <c r="D436" t="s">
        <v>12</v>
      </c>
      <c r="E436" t="s">
        <v>20</v>
      </c>
      <c r="F436" s="4" t="s">
        <v>14</v>
      </c>
      <c r="G436" s="4" t="s">
        <v>32</v>
      </c>
      <c r="H436" s="4">
        <v>5</v>
      </c>
      <c r="I436" s="4">
        <v>5</v>
      </c>
      <c r="J436" s="1">
        <v>45429</v>
      </c>
      <c r="K436" s="2">
        <v>2.6189814814814819E-2</v>
      </c>
      <c r="M436" s="4" t="str">
        <f t="shared" si="18"/>
        <v>HIGH</v>
      </c>
      <c r="N436" s="4" t="str" cm="1">
        <f t="array" ref="N436">_xlfn.IFS(C436&gt;35,"HIGH",C436&gt;25,"MIDDLE",TRUE,"LOW")</f>
        <v>HIGH</v>
      </c>
      <c r="O436" s="4" t="str">
        <f t="shared" si="19"/>
        <v>OTHERS</v>
      </c>
      <c r="P436" s="4" t="str">
        <f t="shared" si="20"/>
        <v>PREMINUM MORNING</v>
      </c>
    </row>
    <row r="437" spans="1:16" x14ac:dyDescent="0.3">
      <c r="A437" s="4">
        <v>8</v>
      </c>
      <c r="B437" t="s">
        <v>11</v>
      </c>
      <c r="C437" s="4">
        <v>37.72</v>
      </c>
      <c r="D437" t="s">
        <v>29</v>
      </c>
      <c r="E437" t="s">
        <v>13</v>
      </c>
      <c r="F437" s="4" t="s">
        <v>22</v>
      </c>
      <c r="G437" s="4" t="s">
        <v>32</v>
      </c>
      <c r="H437" s="4">
        <v>6</v>
      </c>
      <c r="I437" s="4">
        <v>5</v>
      </c>
      <c r="J437" s="1">
        <v>45430</v>
      </c>
      <c r="K437" s="2">
        <v>1.1331018518518519E-3</v>
      </c>
      <c r="M437" s="4" t="str">
        <f t="shared" si="18"/>
        <v>HIGH</v>
      </c>
      <c r="N437" s="4" t="str" cm="1">
        <f t="array" ref="N437">_xlfn.IFS(C437&gt;35,"HIGH",C437&gt;25,"MIDDLE",TRUE,"LOW")</f>
        <v>HIGH</v>
      </c>
      <c r="O437" s="4" t="str">
        <f t="shared" si="19"/>
        <v>PREMINUM MORNING</v>
      </c>
      <c r="P437" s="4" t="str">
        <f t="shared" si="20"/>
        <v>PREMINUM MORNING</v>
      </c>
    </row>
    <row r="438" spans="1:16" x14ac:dyDescent="0.3">
      <c r="A438" s="4">
        <v>8</v>
      </c>
      <c r="B438" t="s">
        <v>11</v>
      </c>
      <c r="C438" s="4">
        <v>37.72</v>
      </c>
      <c r="D438" t="s">
        <v>29</v>
      </c>
      <c r="E438" t="s">
        <v>13</v>
      </c>
      <c r="F438" s="4" t="s">
        <v>22</v>
      </c>
      <c r="G438" s="4" t="s">
        <v>32</v>
      </c>
      <c r="H438" s="4">
        <v>6</v>
      </c>
      <c r="I438" s="4">
        <v>5</v>
      </c>
      <c r="J438" s="1">
        <v>45430</v>
      </c>
      <c r="K438" s="2">
        <v>1.8518518518518519E-3</v>
      </c>
      <c r="M438" s="4" t="str">
        <f t="shared" si="18"/>
        <v>HIGH</v>
      </c>
      <c r="N438" s="4" t="str" cm="1">
        <f t="array" ref="N438">_xlfn.IFS(C438&gt;35,"HIGH",C438&gt;25,"MIDDLE",TRUE,"LOW")</f>
        <v>HIGH</v>
      </c>
      <c r="O438" s="4" t="str">
        <f t="shared" si="19"/>
        <v>PREMINUM MORNING</v>
      </c>
      <c r="P438" s="4" t="str">
        <f t="shared" si="20"/>
        <v>PREMINUM MORNING</v>
      </c>
    </row>
    <row r="439" spans="1:16" x14ac:dyDescent="0.3">
      <c r="A439" s="4">
        <v>11</v>
      </c>
      <c r="B439" t="s">
        <v>11</v>
      </c>
      <c r="C439" s="4">
        <v>32.82</v>
      </c>
      <c r="D439" t="s">
        <v>19</v>
      </c>
      <c r="E439" t="s">
        <v>13</v>
      </c>
      <c r="F439" s="4" t="s">
        <v>22</v>
      </c>
      <c r="G439" s="4" t="s">
        <v>32</v>
      </c>
      <c r="H439" s="4">
        <v>6</v>
      </c>
      <c r="I439" s="4">
        <v>5</v>
      </c>
      <c r="J439" s="1">
        <v>45430</v>
      </c>
      <c r="K439" s="2">
        <v>1.1065972222222222E-2</v>
      </c>
      <c r="M439" s="4" t="str">
        <f t="shared" si="18"/>
        <v>LOW</v>
      </c>
      <c r="N439" s="4" t="str" cm="1">
        <f t="array" ref="N439">_xlfn.IFS(C439&gt;35,"HIGH",C439&gt;25,"MIDDLE",TRUE,"LOW")</f>
        <v>MIDDLE</v>
      </c>
      <c r="O439" s="4" t="str">
        <f t="shared" si="19"/>
        <v>OTHERS</v>
      </c>
      <c r="P439" s="4" t="str">
        <f t="shared" si="20"/>
        <v>PREMINUM MORNING</v>
      </c>
    </row>
    <row r="440" spans="1:16" x14ac:dyDescent="0.3">
      <c r="A440" s="4">
        <v>16</v>
      </c>
      <c r="B440" t="s">
        <v>11</v>
      </c>
      <c r="C440" s="4">
        <v>32.82</v>
      </c>
      <c r="D440" t="s">
        <v>19</v>
      </c>
      <c r="E440" t="s">
        <v>17</v>
      </c>
      <c r="F440" s="4" t="s">
        <v>22</v>
      </c>
      <c r="G440" s="4" t="s">
        <v>32</v>
      </c>
      <c r="H440" s="4">
        <v>6</v>
      </c>
      <c r="I440" s="4">
        <v>5</v>
      </c>
      <c r="J440" s="1">
        <v>45430</v>
      </c>
      <c r="K440" s="2">
        <v>3.3673611111111112E-2</v>
      </c>
      <c r="M440" s="4" t="str">
        <f t="shared" si="18"/>
        <v>LOW</v>
      </c>
      <c r="N440" s="4" t="str" cm="1">
        <f t="array" ref="N440">_xlfn.IFS(C440&gt;35,"HIGH",C440&gt;25,"MIDDLE",TRUE,"LOW")</f>
        <v>MIDDLE</v>
      </c>
      <c r="O440" s="4" t="str">
        <f t="shared" si="19"/>
        <v>OTHERS</v>
      </c>
      <c r="P440" s="4" t="str">
        <f t="shared" si="20"/>
        <v>OTHERS</v>
      </c>
    </row>
    <row r="441" spans="1:16" x14ac:dyDescent="0.3">
      <c r="A441" s="4">
        <v>16</v>
      </c>
      <c r="B441" t="s">
        <v>11</v>
      </c>
      <c r="C441" s="4">
        <v>32.82</v>
      </c>
      <c r="D441" t="s">
        <v>19</v>
      </c>
      <c r="E441" t="s">
        <v>17</v>
      </c>
      <c r="F441" s="4" t="s">
        <v>22</v>
      </c>
      <c r="G441" s="4" t="s">
        <v>32</v>
      </c>
      <c r="H441" s="4">
        <v>6</v>
      </c>
      <c r="I441" s="4">
        <v>5</v>
      </c>
      <c r="J441" s="1">
        <v>45430</v>
      </c>
      <c r="K441" s="2">
        <v>3.4341435185185183E-2</v>
      </c>
      <c r="M441" s="4" t="str">
        <f t="shared" si="18"/>
        <v>LOW</v>
      </c>
      <c r="N441" s="4" t="str" cm="1">
        <f t="array" ref="N441">_xlfn.IFS(C441&gt;35,"HIGH",C441&gt;25,"MIDDLE",TRUE,"LOW")</f>
        <v>MIDDLE</v>
      </c>
      <c r="O441" s="4" t="str">
        <f t="shared" si="19"/>
        <v>OTHERS</v>
      </c>
      <c r="P441" s="4" t="str">
        <f t="shared" si="20"/>
        <v>OTHERS</v>
      </c>
    </row>
    <row r="442" spans="1:16" x14ac:dyDescent="0.3">
      <c r="A442" s="4">
        <v>19</v>
      </c>
      <c r="B442" t="s">
        <v>11</v>
      </c>
      <c r="C442" s="4">
        <v>32.82</v>
      </c>
      <c r="D442" t="s">
        <v>19</v>
      </c>
      <c r="E442" t="s">
        <v>20</v>
      </c>
      <c r="F442" s="4" t="s">
        <v>22</v>
      </c>
      <c r="G442" s="4" t="s">
        <v>32</v>
      </c>
      <c r="H442" s="4">
        <v>6</v>
      </c>
      <c r="I442" s="4">
        <v>5</v>
      </c>
      <c r="J442" s="1">
        <v>45430</v>
      </c>
      <c r="K442" s="2">
        <v>4.0789351851851847E-2</v>
      </c>
      <c r="M442" s="4" t="str">
        <f t="shared" si="18"/>
        <v>LOW</v>
      </c>
      <c r="N442" s="4" t="str" cm="1">
        <f t="array" ref="N442">_xlfn.IFS(C442&gt;35,"HIGH",C442&gt;25,"MIDDLE",TRUE,"LOW")</f>
        <v>MIDDLE</v>
      </c>
      <c r="O442" s="4" t="str">
        <f t="shared" si="19"/>
        <v>OTHERS</v>
      </c>
      <c r="P442" s="4" t="str">
        <f t="shared" si="20"/>
        <v>OTHERS</v>
      </c>
    </row>
    <row r="443" spans="1:16" x14ac:dyDescent="0.3">
      <c r="A443" s="4">
        <v>20</v>
      </c>
      <c r="B443" t="s">
        <v>11</v>
      </c>
      <c r="C443" s="4">
        <v>37.72</v>
      </c>
      <c r="D443" t="s">
        <v>12</v>
      </c>
      <c r="E443" t="s">
        <v>20</v>
      </c>
      <c r="F443" s="4" t="s">
        <v>22</v>
      </c>
      <c r="G443" s="4" t="s">
        <v>32</v>
      </c>
      <c r="H443" s="4">
        <v>6</v>
      </c>
      <c r="I443" s="4">
        <v>5</v>
      </c>
      <c r="J443" s="1">
        <v>45430</v>
      </c>
      <c r="K443" s="2">
        <v>1.5892361111111111E-2</v>
      </c>
      <c r="M443" s="4" t="str">
        <f t="shared" si="18"/>
        <v>HIGH</v>
      </c>
      <c r="N443" s="4" t="str" cm="1">
        <f t="array" ref="N443">_xlfn.IFS(C443&gt;35,"HIGH",C443&gt;25,"MIDDLE",TRUE,"LOW")</f>
        <v>HIGH</v>
      </c>
      <c r="O443" s="4" t="str">
        <f t="shared" si="19"/>
        <v>OTHERS</v>
      </c>
      <c r="P443" s="4" t="str">
        <f t="shared" si="20"/>
        <v>PREMINUM MORNING</v>
      </c>
    </row>
    <row r="444" spans="1:16" x14ac:dyDescent="0.3">
      <c r="A444" s="4">
        <v>7</v>
      </c>
      <c r="B444" t="s">
        <v>11</v>
      </c>
      <c r="C444" s="4">
        <v>27.92</v>
      </c>
      <c r="D444" t="s">
        <v>18</v>
      </c>
      <c r="E444" t="s">
        <v>13</v>
      </c>
      <c r="F444" s="4" t="s">
        <v>23</v>
      </c>
      <c r="G444" s="4" t="s">
        <v>32</v>
      </c>
      <c r="H444" s="4">
        <v>7</v>
      </c>
      <c r="I444" s="4">
        <v>5</v>
      </c>
      <c r="J444" s="1">
        <v>45431</v>
      </c>
      <c r="K444" s="2">
        <v>4.0721064814814814E-2</v>
      </c>
      <c r="M444" s="4" t="str">
        <f t="shared" si="18"/>
        <v>LOW</v>
      </c>
      <c r="N444" s="4" t="str" cm="1">
        <f t="array" ref="N444">_xlfn.IFS(C444&gt;35,"HIGH",C444&gt;25,"MIDDLE",TRUE,"LOW")</f>
        <v>MIDDLE</v>
      </c>
      <c r="O444" s="4" t="str">
        <f t="shared" si="19"/>
        <v>OTHERS</v>
      </c>
      <c r="P444" s="4" t="str">
        <f t="shared" si="20"/>
        <v>PREMINUM MORNING</v>
      </c>
    </row>
    <row r="445" spans="1:16" x14ac:dyDescent="0.3">
      <c r="A445" s="4">
        <v>7</v>
      </c>
      <c r="B445" t="s">
        <v>11</v>
      </c>
      <c r="C445" s="4">
        <v>27.92</v>
      </c>
      <c r="D445" t="s">
        <v>18</v>
      </c>
      <c r="E445" t="s">
        <v>13</v>
      </c>
      <c r="F445" s="4" t="s">
        <v>23</v>
      </c>
      <c r="G445" s="4" t="s">
        <v>32</v>
      </c>
      <c r="H445" s="4">
        <v>7</v>
      </c>
      <c r="I445" s="4">
        <v>5</v>
      </c>
      <c r="J445" s="1">
        <v>45431</v>
      </c>
      <c r="K445" s="2">
        <v>4.1359953703703704E-2</v>
      </c>
      <c r="M445" s="4" t="str">
        <f t="shared" si="18"/>
        <v>LOW</v>
      </c>
      <c r="N445" s="4" t="str" cm="1">
        <f t="array" ref="N445">_xlfn.IFS(C445&gt;35,"HIGH",C445&gt;25,"MIDDLE",TRUE,"LOW")</f>
        <v>MIDDLE</v>
      </c>
      <c r="O445" s="4" t="str">
        <f t="shared" si="19"/>
        <v>OTHERS</v>
      </c>
      <c r="P445" s="4" t="str">
        <f t="shared" si="20"/>
        <v>PREMINUM MORNING</v>
      </c>
    </row>
    <row r="446" spans="1:16" x14ac:dyDescent="0.3">
      <c r="A446" s="4">
        <v>8</v>
      </c>
      <c r="B446" t="s">
        <v>11</v>
      </c>
      <c r="C446" s="4">
        <v>37.72</v>
      </c>
      <c r="D446" t="s">
        <v>29</v>
      </c>
      <c r="E446" t="s">
        <v>13</v>
      </c>
      <c r="F446" s="4" t="s">
        <v>23</v>
      </c>
      <c r="G446" s="4" t="s">
        <v>32</v>
      </c>
      <c r="H446" s="4">
        <v>7</v>
      </c>
      <c r="I446" s="4">
        <v>5</v>
      </c>
      <c r="J446" s="1">
        <v>45431</v>
      </c>
      <c r="K446" s="2">
        <v>4.0625000000000004E-4</v>
      </c>
      <c r="M446" s="4" t="str">
        <f t="shared" si="18"/>
        <v>HIGH</v>
      </c>
      <c r="N446" s="4" t="str" cm="1">
        <f t="array" ref="N446">_xlfn.IFS(C446&gt;35,"HIGH",C446&gt;25,"MIDDLE",TRUE,"LOW")</f>
        <v>HIGH</v>
      </c>
      <c r="O446" s="4" t="str">
        <f t="shared" si="19"/>
        <v>PREMINUM MORNING</v>
      </c>
      <c r="P446" s="4" t="str">
        <f t="shared" si="20"/>
        <v>PREMINUM MORNING</v>
      </c>
    </row>
    <row r="447" spans="1:16" x14ac:dyDescent="0.3">
      <c r="A447" s="4">
        <v>12</v>
      </c>
      <c r="B447" t="s">
        <v>11</v>
      </c>
      <c r="C447" s="4">
        <v>32.82</v>
      </c>
      <c r="D447" t="s">
        <v>19</v>
      </c>
      <c r="E447" t="s">
        <v>17</v>
      </c>
      <c r="F447" s="4" t="s">
        <v>23</v>
      </c>
      <c r="G447" s="4" t="s">
        <v>32</v>
      </c>
      <c r="H447" s="4">
        <v>7</v>
      </c>
      <c r="I447" s="4">
        <v>5</v>
      </c>
      <c r="J447" s="1">
        <v>45431</v>
      </c>
      <c r="K447" s="2">
        <v>1.003125E-2</v>
      </c>
      <c r="M447" s="4" t="str">
        <f t="shared" si="18"/>
        <v>LOW</v>
      </c>
      <c r="N447" s="4" t="str" cm="1">
        <f t="array" ref="N447">_xlfn.IFS(C447&gt;35,"HIGH",C447&gt;25,"MIDDLE",TRUE,"LOW")</f>
        <v>MIDDLE</v>
      </c>
      <c r="O447" s="4" t="str">
        <f t="shared" si="19"/>
        <v>OTHERS</v>
      </c>
      <c r="P447" s="4" t="str">
        <f t="shared" si="20"/>
        <v>OTHERS</v>
      </c>
    </row>
    <row r="448" spans="1:16" x14ac:dyDescent="0.3">
      <c r="A448" s="4">
        <v>14</v>
      </c>
      <c r="B448" t="s">
        <v>11</v>
      </c>
      <c r="C448" s="4">
        <v>27.92</v>
      </c>
      <c r="D448" t="s">
        <v>18</v>
      </c>
      <c r="E448" t="s">
        <v>17</v>
      </c>
      <c r="F448" s="4" t="s">
        <v>23</v>
      </c>
      <c r="G448" s="4" t="s">
        <v>32</v>
      </c>
      <c r="H448" s="4">
        <v>7</v>
      </c>
      <c r="I448" s="4">
        <v>5</v>
      </c>
      <c r="J448" s="1">
        <v>45431</v>
      </c>
      <c r="K448" s="2">
        <v>3.0324074074074073E-2</v>
      </c>
      <c r="M448" s="4" t="str">
        <f t="shared" si="18"/>
        <v>LOW</v>
      </c>
      <c r="N448" s="4" t="str" cm="1">
        <f t="array" ref="N448">_xlfn.IFS(C448&gt;35,"HIGH",C448&gt;25,"MIDDLE",TRUE,"LOW")</f>
        <v>MIDDLE</v>
      </c>
      <c r="O448" s="4" t="str">
        <f t="shared" si="19"/>
        <v>OTHERS</v>
      </c>
      <c r="P448" s="4" t="str">
        <f t="shared" si="20"/>
        <v>OTHERS</v>
      </c>
    </row>
    <row r="449" spans="1:16" x14ac:dyDescent="0.3">
      <c r="A449" s="4">
        <v>15</v>
      </c>
      <c r="B449" t="s">
        <v>11</v>
      </c>
      <c r="C449" s="4">
        <v>32.82</v>
      </c>
      <c r="D449" t="s">
        <v>19</v>
      </c>
      <c r="E449" t="s">
        <v>17</v>
      </c>
      <c r="F449" s="4" t="s">
        <v>23</v>
      </c>
      <c r="G449" s="4" t="s">
        <v>32</v>
      </c>
      <c r="H449" s="4">
        <v>7</v>
      </c>
      <c r="I449" s="4">
        <v>5</v>
      </c>
      <c r="J449" s="1">
        <v>45431</v>
      </c>
      <c r="K449" s="2">
        <v>4.0951388888888884E-2</v>
      </c>
      <c r="M449" s="4" t="str">
        <f t="shared" si="18"/>
        <v>LOW</v>
      </c>
      <c r="N449" s="4" t="str" cm="1">
        <f t="array" ref="N449">_xlfn.IFS(C449&gt;35,"HIGH",C449&gt;25,"MIDDLE",TRUE,"LOW")</f>
        <v>MIDDLE</v>
      </c>
      <c r="O449" s="4" t="str">
        <f t="shared" si="19"/>
        <v>OTHERS</v>
      </c>
      <c r="P449" s="4" t="str">
        <f t="shared" si="20"/>
        <v>OTHERS</v>
      </c>
    </row>
    <row r="450" spans="1:16" x14ac:dyDescent="0.3">
      <c r="A450" s="4">
        <v>18</v>
      </c>
      <c r="B450" t="s">
        <v>11</v>
      </c>
      <c r="C450" s="4">
        <v>32.82</v>
      </c>
      <c r="D450" t="s">
        <v>19</v>
      </c>
      <c r="E450" t="s">
        <v>20</v>
      </c>
      <c r="F450" s="4" t="s">
        <v>23</v>
      </c>
      <c r="G450" s="4" t="s">
        <v>32</v>
      </c>
      <c r="H450" s="4">
        <v>7</v>
      </c>
      <c r="I450" s="4">
        <v>5</v>
      </c>
      <c r="J450" s="1">
        <v>45431</v>
      </c>
      <c r="K450" s="2">
        <v>8.7534722222222215E-3</v>
      </c>
      <c r="M450" s="4" t="str">
        <f t="shared" si="18"/>
        <v>LOW</v>
      </c>
      <c r="N450" s="4" t="str" cm="1">
        <f t="array" ref="N450">_xlfn.IFS(C450&gt;35,"HIGH",C450&gt;25,"MIDDLE",TRUE,"LOW")</f>
        <v>MIDDLE</v>
      </c>
      <c r="O450" s="4" t="str">
        <f t="shared" si="19"/>
        <v>OTHERS</v>
      </c>
      <c r="P450" s="4" t="str">
        <f t="shared" si="20"/>
        <v>OTHERS</v>
      </c>
    </row>
    <row r="451" spans="1:16" x14ac:dyDescent="0.3">
      <c r="A451" s="4">
        <v>18</v>
      </c>
      <c r="B451" t="s">
        <v>11</v>
      </c>
      <c r="C451" s="4">
        <v>23.02</v>
      </c>
      <c r="D451" t="s">
        <v>26</v>
      </c>
      <c r="E451" t="s">
        <v>20</v>
      </c>
      <c r="F451" s="4" t="s">
        <v>23</v>
      </c>
      <c r="G451" s="4" t="s">
        <v>32</v>
      </c>
      <c r="H451" s="4">
        <v>7</v>
      </c>
      <c r="I451" s="4">
        <v>5</v>
      </c>
      <c r="J451" s="1">
        <v>45431</v>
      </c>
      <c r="K451" s="2">
        <v>9.5810185185185182E-3</v>
      </c>
      <c r="M451" s="4" t="str">
        <f t="shared" ref="M451:M514" si="21">IF(C451&gt;35,"HIGH","LOW")</f>
        <v>LOW</v>
      </c>
      <c r="N451" s="4" t="str" cm="1">
        <f t="array" ref="N451">_xlfn.IFS(C451&gt;35,"HIGH",C451&gt;25,"MIDDLE",TRUE,"LOW")</f>
        <v>LOW</v>
      </c>
      <c r="O451" s="4" t="str">
        <f t="shared" ref="O451:O514" si="22">IF(AND(C451&gt;35,E451="MORNING"),"PREMINUM MORNING","OTHERS")</f>
        <v>OTHERS</v>
      </c>
      <c r="P451" s="4" t="str">
        <f t="shared" ref="P451:P514" si="23">IF(OR(C451&gt;35,E451="MORNING"),"PREMINUM MORNING","OTHERS")</f>
        <v>OTHERS</v>
      </c>
    </row>
    <row r="452" spans="1:16" x14ac:dyDescent="0.3">
      <c r="A452" s="4">
        <v>18</v>
      </c>
      <c r="B452" t="s">
        <v>11</v>
      </c>
      <c r="C452" s="4">
        <v>37.72</v>
      </c>
      <c r="D452" t="s">
        <v>16</v>
      </c>
      <c r="E452" t="s">
        <v>20</v>
      </c>
      <c r="F452" s="4" t="s">
        <v>23</v>
      </c>
      <c r="G452" s="4" t="s">
        <v>32</v>
      </c>
      <c r="H452" s="4">
        <v>7</v>
      </c>
      <c r="I452" s="4">
        <v>5</v>
      </c>
      <c r="J452" s="1">
        <v>45431</v>
      </c>
      <c r="K452" s="2">
        <v>1.1458333333333333E-2</v>
      </c>
      <c r="M452" s="4" t="str">
        <f t="shared" si="21"/>
        <v>HIGH</v>
      </c>
      <c r="N452" s="4" t="str" cm="1">
        <f t="array" ref="N452">_xlfn.IFS(C452&gt;35,"HIGH",C452&gt;25,"MIDDLE",TRUE,"LOW")</f>
        <v>HIGH</v>
      </c>
      <c r="O452" s="4" t="str">
        <f t="shared" si="22"/>
        <v>OTHERS</v>
      </c>
      <c r="P452" s="4" t="str">
        <f t="shared" si="23"/>
        <v>PREMINUM MORNING</v>
      </c>
    </row>
    <row r="453" spans="1:16" x14ac:dyDescent="0.3">
      <c r="A453" s="4">
        <v>19</v>
      </c>
      <c r="B453" t="s">
        <v>11</v>
      </c>
      <c r="C453" s="4">
        <v>37.72</v>
      </c>
      <c r="D453" t="s">
        <v>29</v>
      </c>
      <c r="E453" t="s">
        <v>20</v>
      </c>
      <c r="F453" s="4" t="s">
        <v>23</v>
      </c>
      <c r="G453" s="4" t="s">
        <v>32</v>
      </c>
      <c r="H453" s="4">
        <v>7</v>
      </c>
      <c r="I453" s="4">
        <v>5</v>
      </c>
      <c r="J453" s="1">
        <v>45431</v>
      </c>
      <c r="K453" s="2">
        <v>3.5497685185185188E-2</v>
      </c>
      <c r="M453" s="4" t="str">
        <f t="shared" si="21"/>
        <v>HIGH</v>
      </c>
      <c r="N453" s="4" t="str" cm="1">
        <f t="array" ref="N453">_xlfn.IFS(C453&gt;35,"HIGH",C453&gt;25,"MIDDLE",TRUE,"LOW")</f>
        <v>HIGH</v>
      </c>
      <c r="O453" s="4" t="str">
        <f t="shared" si="22"/>
        <v>OTHERS</v>
      </c>
      <c r="P453" s="4" t="str">
        <f t="shared" si="23"/>
        <v>PREMINUM MORNING</v>
      </c>
    </row>
    <row r="454" spans="1:16" x14ac:dyDescent="0.3">
      <c r="A454" s="4">
        <v>21</v>
      </c>
      <c r="B454" t="s">
        <v>11</v>
      </c>
      <c r="C454" s="4">
        <v>37.72</v>
      </c>
      <c r="D454" t="s">
        <v>29</v>
      </c>
      <c r="E454" t="s">
        <v>20</v>
      </c>
      <c r="F454" s="4" t="s">
        <v>23</v>
      </c>
      <c r="G454" s="4" t="s">
        <v>32</v>
      </c>
      <c r="H454" s="4">
        <v>7</v>
      </c>
      <c r="I454" s="4">
        <v>5</v>
      </c>
      <c r="J454" s="1">
        <v>45431</v>
      </c>
      <c r="K454" s="2">
        <v>1.0900462962962962E-2</v>
      </c>
      <c r="M454" s="4" t="str">
        <f t="shared" si="21"/>
        <v>HIGH</v>
      </c>
      <c r="N454" s="4" t="str" cm="1">
        <f t="array" ref="N454">_xlfn.IFS(C454&gt;35,"HIGH",C454&gt;25,"MIDDLE",TRUE,"LOW")</f>
        <v>HIGH</v>
      </c>
      <c r="O454" s="4" t="str">
        <f t="shared" si="22"/>
        <v>OTHERS</v>
      </c>
      <c r="P454" s="4" t="str">
        <f t="shared" si="23"/>
        <v>PREMINUM MORNING</v>
      </c>
    </row>
    <row r="455" spans="1:16" x14ac:dyDescent="0.3">
      <c r="A455" s="4">
        <v>21</v>
      </c>
      <c r="B455" t="s">
        <v>11</v>
      </c>
      <c r="C455" s="4">
        <v>37.72</v>
      </c>
      <c r="D455" t="s">
        <v>29</v>
      </c>
      <c r="E455" t="s">
        <v>20</v>
      </c>
      <c r="F455" s="4" t="s">
        <v>23</v>
      </c>
      <c r="G455" s="4" t="s">
        <v>32</v>
      </c>
      <c r="H455" s="4">
        <v>7</v>
      </c>
      <c r="I455" s="4">
        <v>5</v>
      </c>
      <c r="J455" s="1">
        <v>45431</v>
      </c>
      <c r="K455" s="2">
        <v>1.2917824074074073E-2</v>
      </c>
      <c r="M455" s="4" t="str">
        <f t="shared" si="21"/>
        <v>HIGH</v>
      </c>
      <c r="N455" s="4" t="str" cm="1">
        <f t="array" ref="N455">_xlfn.IFS(C455&gt;35,"HIGH",C455&gt;25,"MIDDLE",TRUE,"LOW")</f>
        <v>HIGH</v>
      </c>
      <c r="O455" s="4" t="str">
        <f t="shared" si="22"/>
        <v>OTHERS</v>
      </c>
      <c r="P455" s="4" t="str">
        <f t="shared" si="23"/>
        <v>PREMINUM MORNING</v>
      </c>
    </row>
    <row r="456" spans="1:16" x14ac:dyDescent="0.3">
      <c r="A456" s="4">
        <v>10</v>
      </c>
      <c r="B456" t="s">
        <v>11</v>
      </c>
      <c r="C456" s="4">
        <v>32.82</v>
      </c>
      <c r="D456" t="s">
        <v>19</v>
      </c>
      <c r="E456" t="s">
        <v>13</v>
      </c>
      <c r="F456" s="4" t="s">
        <v>25</v>
      </c>
      <c r="G456" s="4" t="s">
        <v>32</v>
      </c>
      <c r="H456" s="4">
        <v>1</v>
      </c>
      <c r="I456" s="4">
        <v>5</v>
      </c>
      <c r="J456" s="1">
        <v>45432</v>
      </c>
      <c r="K456" s="2">
        <v>4.1574074074074074E-3</v>
      </c>
      <c r="M456" s="4" t="str">
        <f t="shared" si="21"/>
        <v>LOW</v>
      </c>
      <c r="N456" s="4" t="str" cm="1">
        <f t="array" ref="N456">_xlfn.IFS(C456&gt;35,"HIGH",C456&gt;25,"MIDDLE",TRUE,"LOW")</f>
        <v>MIDDLE</v>
      </c>
      <c r="O456" s="4" t="str">
        <f t="shared" si="22"/>
        <v>OTHERS</v>
      </c>
      <c r="P456" s="4" t="str">
        <f t="shared" si="23"/>
        <v>PREMINUM MORNING</v>
      </c>
    </row>
    <row r="457" spans="1:16" x14ac:dyDescent="0.3">
      <c r="A457" s="4">
        <v>10</v>
      </c>
      <c r="B457" t="s">
        <v>11</v>
      </c>
      <c r="C457" s="4">
        <v>37.72</v>
      </c>
      <c r="D457" t="s">
        <v>12</v>
      </c>
      <c r="E457" t="s">
        <v>13</v>
      </c>
      <c r="F457" s="4" t="s">
        <v>25</v>
      </c>
      <c r="G457" s="4" t="s">
        <v>32</v>
      </c>
      <c r="H457" s="4">
        <v>1</v>
      </c>
      <c r="I457" s="4">
        <v>5</v>
      </c>
      <c r="J457" s="1">
        <v>45432</v>
      </c>
      <c r="K457" s="2">
        <v>1.2406250000000001E-2</v>
      </c>
      <c r="M457" s="4" t="str">
        <f t="shared" si="21"/>
        <v>HIGH</v>
      </c>
      <c r="N457" s="4" t="str" cm="1">
        <f t="array" ref="N457">_xlfn.IFS(C457&gt;35,"HIGH",C457&gt;25,"MIDDLE",TRUE,"LOW")</f>
        <v>HIGH</v>
      </c>
      <c r="O457" s="4" t="str">
        <f t="shared" si="22"/>
        <v>PREMINUM MORNING</v>
      </c>
      <c r="P457" s="4" t="str">
        <f t="shared" si="23"/>
        <v>PREMINUM MORNING</v>
      </c>
    </row>
    <row r="458" spans="1:16" x14ac:dyDescent="0.3">
      <c r="A458" s="4">
        <v>10</v>
      </c>
      <c r="B458" t="s">
        <v>11</v>
      </c>
      <c r="C458" s="4">
        <v>37.72</v>
      </c>
      <c r="D458" t="s">
        <v>12</v>
      </c>
      <c r="E458" t="s">
        <v>13</v>
      </c>
      <c r="F458" s="4" t="s">
        <v>25</v>
      </c>
      <c r="G458" s="4" t="s">
        <v>32</v>
      </c>
      <c r="H458" s="4">
        <v>1</v>
      </c>
      <c r="I458" s="4">
        <v>5</v>
      </c>
      <c r="J458" s="1">
        <v>45432</v>
      </c>
      <c r="K458" s="2">
        <v>4.0837962962962965E-2</v>
      </c>
      <c r="M458" s="4" t="str">
        <f t="shared" si="21"/>
        <v>HIGH</v>
      </c>
      <c r="N458" s="4" t="str" cm="1">
        <f t="array" ref="N458">_xlfn.IFS(C458&gt;35,"HIGH",C458&gt;25,"MIDDLE",TRUE,"LOW")</f>
        <v>HIGH</v>
      </c>
      <c r="O458" s="4" t="str">
        <f t="shared" si="22"/>
        <v>PREMINUM MORNING</v>
      </c>
      <c r="P458" s="4" t="str">
        <f t="shared" si="23"/>
        <v>PREMINUM MORNING</v>
      </c>
    </row>
    <row r="459" spans="1:16" x14ac:dyDescent="0.3">
      <c r="A459" s="4">
        <v>11</v>
      </c>
      <c r="B459" t="s">
        <v>11</v>
      </c>
      <c r="C459" s="4">
        <v>27.92</v>
      </c>
      <c r="D459" t="s">
        <v>18</v>
      </c>
      <c r="E459" t="s">
        <v>13</v>
      </c>
      <c r="F459" s="4" t="s">
        <v>25</v>
      </c>
      <c r="G459" s="4" t="s">
        <v>32</v>
      </c>
      <c r="H459" s="4">
        <v>1</v>
      </c>
      <c r="I459" s="4">
        <v>5</v>
      </c>
      <c r="J459" s="1">
        <v>45432</v>
      </c>
      <c r="K459" s="2">
        <v>1.0606481481481481E-2</v>
      </c>
      <c r="M459" s="4" t="str">
        <f t="shared" si="21"/>
        <v>LOW</v>
      </c>
      <c r="N459" s="4" t="str" cm="1">
        <f t="array" ref="N459">_xlfn.IFS(C459&gt;35,"HIGH",C459&gt;25,"MIDDLE",TRUE,"LOW")</f>
        <v>MIDDLE</v>
      </c>
      <c r="O459" s="4" t="str">
        <f t="shared" si="22"/>
        <v>OTHERS</v>
      </c>
      <c r="P459" s="4" t="str">
        <f t="shared" si="23"/>
        <v>PREMINUM MORNING</v>
      </c>
    </row>
    <row r="460" spans="1:16" x14ac:dyDescent="0.3">
      <c r="A460" s="4">
        <v>11</v>
      </c>
      <c r="B460" t="s">
        <v>11</v>
      </c>
      <c r="C460" s="4">
        <v>27.92</v>
      </c>
      <c r="D460" t="s">
        <v>18</v>
      </c>
      <c r="E460" t="s">
        <v>13</v>
      </c>
      <c r="F460" s="4" t="s">
        <v>25</v>
      </c>
      <c r="G460" s="4" t="s">
        <v>32</v>
      </c>
      <c r="H460" s="4">
        <v>1</v>
      </c>
      <c r="I460" s="4">
        <v>5</v>
      </c>
      <c r="J460" s="1">
        <v>45432</v>
      </c>
      <c r="K460" s="2">
        <v>1.1337962962962963E-2</v>
      </c>
      <c r="M460" s="4" t="str">
        <f t="shared" si="21"/>
        <v>LOW</v>
      </c>
      <c r="N460" s="4" t="str" cm="1">
        <f t="array" ref="N460">_xlfn.IFS(C460&gt;35,"HIGH",C460&gt;25,"MIDDLE",TRUE,"LOW")</f>
        <v>MIDDLE</v>
      </c>
      <c r="O460" s="4" t="str">
        <f t="shared" si="22"/>
        <v>OTHERS</v>
      </c>
      <c r="P460" s="4" t="str">
        <f t="shared" si="23"/>
        <v>PREMINUM MORNING</v>
      </c>
    </row>
    <row r="461" spans="1:16" x14ac:dyDescent="0.3">
      <c r="A461" s="4">
        <v>13</v>
      </c>
      <c r="B461" t="s">
        <v>11</v>
      </c>
      <c r="C461" s="4">
        <v>27.92</v>
      </c>
      <c r="D461" t="s">
        <v>18</v>
      </c>
      <c r="E461" t="s">
        <v>17</v>
      </c>
      <c r="F461" s="4" t="s">
        <v>25</v>
      </c>
      <c r="G461" s="4" t="s">
        <v>32</v>
      </c>
      <c r="H461" s="4">
        <v>1</v>
      </c>
      <c r="I461" s="4">
        <v>5</v>
      </c>
      <c r="J461" s="1">
        <v>45432</v>
      </c>
      <c r="K461" s="2">
        <v>1.8905092592592595E-2</v>
      </c>
      <c r="M461" s="4" t="str">
        <f t="shared" si="21"/>
        <v>LOW</v>
      </c>
      <c r="N461" s="4" t="str" cm="1">
        <f t="array" ref="N461">_xlfn.IFS(C461&gt;35,"HIGH",C461&gt;25,"MIDDLE",TRUE,"LOW")</f>
        <v>MIDDLE</v>
      </c>
      <c r="O461" s="4" t="str">
        <f t="shared" si="22"/>
        <v>OTHERS</v>
      </c>
      <c r="P461" s="4" t="str">
        <f t="shared" si="23"/>
        <v>OTHERS</v>
      </c>
    </row>
    <row r="462" spans="1:16" x14ac:dyDescent="0.3">
      <c r="A462" s="4">
        <v>13</v>
      </c>
      <c r="B462" t="s">
        <v>11</v>
      </c>
      <c r="C462" s="4">
        <v>27.92</v>
      </c>
      <c r="D462" t="s">
        <v>18</v>
      </c>
      <c r="E462" t="s">
        <v>17</v>
      </c>
      <c r="F462" s="4" t="s">
        <v>25</v>
      </c>
      <c r="G462" s="4" t="s">
        <v>32</v>
      </c>
      <c r="H462" s="4">
        <v>1</v>
      </c>
      <c r="I462" s="4">
        <v>5</v>
      </c>
      <c r="J462" s="1">
        <v>45432</v>
      </c>
      <c r="K462" s="2">
        <v>1.9564814814814816E-2</v>
      </c>
      <c r="M462" s="4" t="str">
        <f t="shared" si="21"/>
        <v>LOW</v>
      </c>
      <c r="N462" s="4" t="str" cm="1">
        <f t="array" ref="N462">_xlfn.IFS(C462&gt;35,"HIGH",C462&gt;25,"MIDDLE",TRUE,"LOW")</f>
        <v>MIDDLE</v>
      </c>
      <c r="O462" s="4" t="str">
        <f t="shared" si="22"/>
        <v>OTHERS</v>
      </c>
      <c r="P462" s="4" t="str">
        <f t="shared" si="23"/>
        <v>OTHERS</v>
      </c>
    </row>
    <row r="463" spans="1:16" x14ac:dyDescent="0.3">
      <c r="A463" s="4">
        <v>14</v>
      </c>
      <c r="B463" t="s">
        <v>11</v>
      </c>
      <c r="C463" s="4">
        <v>32.82</v>
      </c>
      <c r="D463" t="s">
        <v>19</v>
      </c>
      <c r="E463" t="s">
        <v>17</v>
      </c>
      <c r="F463" s="4" t="s">
        <v>25</v>
      </c>
      <c r="G463" s="4" t="s">
        <v>32</v>
      </c>
      <c r="H463" s="4">
        <v>1</v>
      </c>
      <c r="I463" s="4">
        <v>5</v>
      </c>
      <c r="J463" s="1">
        <v>45432</v>
      </c>
      <c r="K463" s="2">
        <v>9.2476851851851852E-3</v>
      </c>
      <c r="M463" s="4" t="str">
        <f t="shared" si="21"/>
        <v>LOW</v>
      </c>
      <c r="N463" s="4" t="str" cm="1">
        <f t="array" ref="N463">_xlfn.IFS(C463&gt;35,"HIGH",C463&gt;25,"MIDDLE",TRUE,"LOW")</f>
        <v>MIDDLE</v>
      </c>
      <c r="O463" s="4" t="str">
        <f t="shared" si="22"/>
        <v>OTHERS</v>
      </c>
      <c r="P463" s="4" t="str">
        <f t="shared" si="23"/>
        <v>OTHERS</v>
      </c>
    </row>
    <row r="464" spans="1:16" x14ac:dyDescent="0.3">
      <c r="A464" s="4">
        <v>14</v>
      </c>
      <c r="B464" t="s">
        <v>11</v>
      </c>
      <c r="C464" s="4">
        <v>37.72</v>
      </c>
      <c r="D464" t="s">
        <v>29</v>
      </c>
      <c r="E464" t="s">
        <v>17</v>
      </c>
      <c r="F464" s="4" t="s">
        <v>25</v>
      </c>
      <c r="G464" s="4" t="s">
        <v>32</v>
      </c>
      <c r="H464" s="4">
        <v>1</v>
      </c>
      <c r="I464" s="4">
        <v>5</v>
      </c>
      <c r="J464" s="1">
        <v>45432</v>
      </c>
      <c r="K464" s="2">
        <v>1.0085648148148147E-2</v>
      </c>
      <c r="M464" s="4" t="str">
        <f t="shared" si="21"/>
        <v>HIGH</v>
      </c>
      <c r="N464" s="4" t="str" cm="1">
        <f t="array" ref="N464">_xlfn.IFS(C464&gt;35,"HIGH",C464&gt;25,"MIDDLE",TRUE,"LOW")</f>
        <v>HIGH</v>
      </c>
      <c r="O464" s="4" t="str">
        <f t="shared" si="22"/>
        <v>OTHERS</v>
      </c>
      <c r="P464" s="4" t="str">
        <f t="shared" si="23"/>
        <v>PREMINUM MORNING</v>
      </c>
    </row>
    <row r="465" spans="1:16" x14ac:dyDescent="0.3">
      <c r="A465" s="4">
        <v>17</v>
      </c>
      <c r="B465" t="s">
        <v>11</v>
      </c>
      <c r="C465" s="4">
        <v>37.72</v>
      </c>
      <c r="D465" t="s">
        <v>12</v>
      </c>
      <c r="E465" t="s">
        <v>20</v>
      </c>
      <c r="F465" s="4" t="s">
        <v>25</v>
      </c>
      <c r="G465" s="4" t="s">
        <v>32</v>
      </c>
      <c r="H465" s="4">
        <v>1</v>
      </c>
      <c r="I465" s="4">
        <v>5</v>
      </c>
      <c r="J465" s="1">
        <v>45432</v>
      </c>
      <c r="K465" s="2">
        <v>8.9247685185185194E-3</v>
      </c>
      <c r="M465" s="4" t="str">
        <f t="shared" si="21"/>
        <v>HIGH</v>
      </c>
      <c r="N465" s="4" t="str" cm="1">
        <f t="array" ref="N465">_xlfn.IFS(C465&gt;35,"HIGH",C465&gt;25,"MIDDLE",TRUE,"LOW")</f>
        <v>HIGH</v>
      </c>
      <c r="O465" s="4" t="str">
        <f t="shared" si="22"/>
        <v>OTHERS</v>
      </c>
      <c r="P465" s="4" t="str">
        <f t="shared" si="23"/>
        <v>PREMINUM MORNING</v>
      </c>
    </row>
    <row r="466" spans="1:16" x14ac:dyDescent="0.3">
      <c r="A466" s="4">
        <v>17</v>
      </c>
      <c r="B466" t="s">
        <v>11</v>
      </c>
      <c r="C466" s="4">
        <v>37.72</v>
      </c>
      <c r="D466" t="s">
        <v>12</v>
      </c>
      <c r="E466" t="s">
        <v>20</v>
      </c>
      <c r="F466" s="4" t="s">
        <v>25</v>
      </c>
      <c r="G466" s="4" t="s">
        <v>32</v>
      </c>
      <c r="H466" s="4">
        <v>1</v>
      </c>
      <c r="I466" s="4">
        <v>5</v>
      </c>
      <c r="J466" s="1">
        <v>45432</v>
      </c>
      <c r="K466" s="2">
        <v>9.6863425925925919E-3</v>
      </c>
      <c r="M466" s="4" t="str">
        <f t="shared" si="21"/>
        <v>HIGH</v>
      </c>
      <c r="N466" s="4" t="str" cm="1">
        <f t="array" ref="N466">_xlfn.IFS(C466&gt;35,"HIGH",C466&gt;25,"MIDDLE",TRUE,"LOW")</f>
        <v>HIGH</v>
      </c>
      <c r="O466" s="4" t="str">
        <f t="shared" si="22"/>
        <v>OTHERS</v>
      </c>
      <c r="P466" s="4" t="str">
        <f t="shared" si="23"/>
        <v>PREMINUM MORNING</v>
      </c>
    </row>
    <row r="467" spans="1:16" x14ac:dyDescent="0.3">
      <c r="A467" s="4">
        <v>20</v>
      </c>
      <c r="B467" t="s">
        <v>11</v>
      </c>
      <c r="C467" s="4">
        <v>32.82</v>
      </c>
      <c r="D467" t="s">
        <v>19</v>
      </c>
      <c r="E467" t="s">
        <v>20</v>
      </c>
      <c r="F467" s="4" t="s">
        <v>25</v>
      </c>
      <c r="G467" s="4" t="s">
        <v>32</v>
      </c>
      <c r="H467" s="4">
        <v>1</v>
      </c>
      <c r="I467" s="4">
        <v>5</v>
      </c>
      <c r="J467" s="1">
        <v>45432</v>
      </c>
      <c r="K467" s="2">
        <v>2.5559027777777781E-2</v>
      </c>
      <c r="M467" s="4" t="str">
        <f t="shared" si="21"/>
        <v>LOW</v>
      </c>
      <c r="N467" s="4" t="str" cm="1">
        <f t="array" ref="N467">_xlfn.IFS(C467&gt;35,"HIGH",C467&gt;25,"MIDDLE",TRUE,"LOW")</f>
        <v>MIDDLE</v>
      </c>
      <c r="O467" s="4" t="str">
        <f t="shared" si="22"/>
        <v>OTHERS</v>
      </c>
      <c r="P467" s="4" t="str">
        <f t="shared" si="23"/>
        <v>OTHERS</v>
      </c>
    </row>
    <row r="468" spans="1:16" x14ac:dyDescent="0.3">
      <c r="A468" s="4">
        <v>20</v>
      </c>
      <c r="B468" t="s">
        <v>11</v>
      </c>
      <c r="C468" s="4">
        <v>37.72</v>
      </c>
      <c r="D468" t="s">
        <v>21</v>
      </c>
      <c r="E468" t="s">
        <v>20</v>
      </c>
      <c r="F468" s="4" t="s">
        <v>25</v>
      </c>
      <c r="G468" s="4" t="s">
        <v>32</v>
      </c>
      <c r="H468" s="4">
        <v>1</v>
      </c>
      <c r="I468" s="4">
        <v>5</v>
      </c>
      <c r="J468" s="1">
        <v>45432</v>
      </c>
      <c r="K468" s="2">
        <v>2.6357638888888892E-2</v>
      </c>
      <c r="M468" s="4" t="str">
        <f t="shared" si="21"/>
        <v>HIGH</v>
      </c>
      <c r="N468" s="4" t="str" cm="1">
        <f t="array" ref="N468">_xlfn.IFS(C468&gt;35,"HIGH",C468&gt;25,"MIDDLE",TRUE,"LOW")</f>
        <v>HIGH</v>
      </c>
      <c r="O468" s="4" t="str">
        <f t="shared" si="22"/>
        <v>OTHERS</v>
      </c>
      <c r="P468" s="4" t="str">
        <f t="shared" si="23"/>
        <v>PREMINUM MORNING</v>
      </c>
    </row>
    <row r="469" spans="1:16" x14ac:dyDescent="0.3">
      <c r="A469" s="4">
        <v>20</v>
      </c>
      <c r="B469" t="s">
        <v>11</v>
      </c>
      <c r="C469" s="4">
        <v>27.92</v>
      </c>
      <c r="D469" t="s">
        <v>24</v>
      </c>
      <c r="E469" t="s">
        <v>20</v>
      </c>
      <c r="F469" s="4" t="s">
        <v>25</v>
      </c>
      <c r="G469" s="4" t="s">
        <v>32</v>
      </c>
      <c r="H469" s="4">
        <v>1</v>
      </c>
      <c r="I469" s="4">
        <v>5</v>
      </c>
      <c r="J469" s="1">
        <v>45432</v>
      </c>
      <c r="K469" s="2">
        <v>3.2547453703703703E-2</v>
      </c>
      <c r="M469" s="4" t="str">
        <f t="shared" si="21"/>
        <v>LOW</v>
      </c>
      <c r="N469" s="4" t="str" cm="1">
        <f t="array" ref="N469">_xlfn.IFS(C469&gt;35,"HIGH",C469&gt;25,"MIDDLE",TRUE,"LOW")</f>
        <v>MIDDLE</v>
      </c>
      <c r="O469" s="4" t="str">
        <f t="shared" si="22"/>
        <v>OTHERS</v>
      </c>
      <c r="P469" s="4" t="str">
        <f t="shared" si="23"/>
        <v>OTHERS</v>
      </c>
    </row>
    <row r="470" spans="1:16" x14ac:dyDescent="0.3">
      <c r="A470" s="4">
        <v>21</v>
      </c>
      <c r="B470" t="s">
        <v>11</v>
      </c>
      <c r="C470" s="4">
        <v>32.82</v>
      </c>
      <c r="D470" t="s">
        <v>19</v>
      </c>
      <c r="E470" t="s">
        <v>20</v>
      </c>
      <c r="F470" s="4" t="s">
        <v>25</v>
      </c>
      <c r="G470" s="4" t="s">
        <v>32</v>
      </c>
      <c r="H470" s="4">
        <v>1</v>
      </c>
      <c r="I470" s="4">
        <v>5</v>
      </c>
      <c r="J470" s="1">
        <v>45432</v>
      </c>
      <c r="K470" s="2">
        <v>2.5624999999999998E-2</v>
      </c>
      <c r="M470" s="4" t="str">
        <f t="shared" si="21"/>
        <v>LOW</v>
      </c>
      <c r="N470" s="4" t="str" cm="1">
        <f t="array" ref="N470">_xlfn.IFS(C470&gt;35,"HIGH",C470&gt;25,"MIDDLE",TRUE,"LOW")</f>
        <v>MIDDLE</v>
      </c>
      <c r="O470" s="4" t="str">
        <f t="shared" si="22"/>
        <v>OTHERS</v>
      </c>
      <c r="P470" s="4" t="str">
        <f t="shared" si="23"/>
        <v>OTHERS</v>
      </c>
    </row>
    <row r="471" spans="1:16" x14ac:dyDescent="0.3">
      <c r="A471" s="4">
        <v>21</v>
      </c>
      <c r="B471" t="s">
        <v>11</v>
      </c>
      <c r="C471" s="4">
        <v>32.82</v>
      </c>
      <c r="D471" t="s">
        <v>19</v>
      </c>
      <c r="E471" t="s">
        <v>20</v>
      </c>
      <c r="F471" s="4" t="s">
        <v>25</v>
      </c>
      <c r="G471" s="4" t="s">
        <v>32</v>
      </c>
      <c r="H471" s="4">
        <v>1</v>
      </c>
      <c r="I471" s="4">
        <v>5</v>
      </c>
      <c r="J471" s="1">
        <v>45432</v>
      </c>
      <c r="K471" s="2">
        <v>2.6363425925925929E-2</v>
      </c>
      <c r="M471" s="4" t="str">
        <f t="shared" si="21"/>
        <v>LOW</v>
      </c>
      <c r="N471" s="4" t="str" cm="1">
        <f t="array" ref="N471">_xlfn.IFS(C471&gt;35,"HIGH",C471&gt;25,"MIDDLE",TRUE,"LOW")</f>
        <v>MIDDLE</v>
      </c>
      <c r="O471" s="4" t="str">
        <f t="shared" si="22"/>
        <v>OTHERS</v>
      </c>
      <c r="P471" s="4" t="str">
        <f t="shared" si="23"/>
        <v>OTHERS</v>
      </c>
    </row>
    <row r="472" spans="1:16" x14ac:dyDescent="0.3">
      <c r="A472" s="4">
        <v>8</v>
      </c>
      <c r="B472" t="s">
        <v>11</v>
      </c>
      <c r="C472" s="4">
        <v>37.72</v>
      </c>
      <c r="D472" t="s">
        <v>12</v>
      </c>
      <c r="E472" t="s">
        <v>13</v>
      </c>
      <c r="F472" s="4" t="s">
        <v>27</v>
      </c>
      <c r="G472" s="4" t="s">
        <v>32</v>
      </c>
      <c r="H472" s="4">
        <v>2</v>
      </c>
      <c r="I472" s="4">
        <v>5</v>
      </c>
      <c r="J472" s="1">
        <v>45433</v>
      </c>
      <c r="K472" s="2">
        <v>1.9192129629629628E-2</v>
      </c>
      <c r="M472" s="4" t="str">
        <f t="shared" si="21"/>
        <v>HIGH</v>
      </c>
      <c r="N472" s="4" t="str" cm="1">
        <f t="array" ref="N472">_xlfn.IFS(C472&gt;35,"HIGH",C472&gt;25,"MIDDLE",TRUE,"LOW")</f>
        <v>HIGH</v>
      </c>
      <c r="O472" s="4" t="str">
        <f t="shared" si="22"/>
        <v>PREMINUM MORNING</v>
      </c>
      <c r="P472" s="4" t="str">
        <f t="shared" si="23"/>
        <v>PREMINUM MORNING</v>
      </c>
    </row>
    <row r="473" spans="1:16" x14ac:dyDescent="0.3">
      <c r="A473" s="4">
        <v>16</v>
      </c>
      <c r="B473" t="s">
        <v>11</v>
      </c>
      <c r="C473" s="4">
        <v>37.72</v>
      </c>
      <c r="D473" t="s">
        <v>12</v>
      </c>
      <c r="E473" t="s">
        <v>17</v>
      </c>
      <c r="F473" s="4" t="s">
        <v>27</v>
      </c>
      <c r="G473" s="4" t="s">
        <v>32</v>
      </c>
      <c r="H473" s="4">
        <v>2</v>
      </c>
      <c r="I473" s="4">
        <v>5</v>
      </c>
      <c r="J473" s="1">
        <v>45433</v>
      </c>
      <c r="K473" s="2">
        <v>7.1759259259259259E-3</v>
      </c>
      <c r="M473" s="4" t="str">
        <f t="shared" si="21"/>
        <v>HIGH</v>
      </c>
      <c r="N473" s="4" t="str" cm="1">
        <f t="array" ref="N473">_xlfn.IFS(C473&gt;35,"HIGH",C473&gt;25,"MIDDLE",TRUE,"LOW")</f>
        <v>HIGH</v>
      </c>
      <c r="O473" s="4" t="str">
        <f t="shared" si="22"/>
        <v>OTHERS</v>
      </c>
      <c r="P473" s="4" t="str">
        <f t="shared" si="23"/>
        <v>PREMINUM MORNING</v>
      </c>
    </row>
    <row r="474" spans="1:16" x14ac:dyDescent="0.3">
      <c r="A474" s="4">
        <v>18</v>
      </c>
      <c r="B474" t="s">
        <v>11</v>
      </c>
      <c r="C474" s="4">
        <v>23.02</v>
      </c>
      <c r="D474" t="s">
        <v>26</v>
      </c>
      <c r="E474" t="s">
        <v>20</v>
      </c>
      <c r="F474" s="4" t="s">
        <v>27</v>
      </c>
      <c r="G474" s="4" t="s">
        <v>32</v>
      </c>
      <c r="H474" s="4">
        <v>2</v>
      </c>
      <c r="I474" s="4">
        <v>5</v>
      </c>
      <c r="J474" s="1">
        <v>45433</v>
      </c>
      <c r="K474" s="2">
        <v>9.3055555555555548E-3</v>
      </c>
      <c r="M474" s="4" t="str">
        <f t="shared" si="21"/>
        <v>LOW</v>
      </c>
      <c r="N474" s="4" t="str" cm="1">
        <f t="array" ref="N474">_xlfn.IFS(C474&gt;35,"HIGH",C474&gt;25,"MIDDLE",TRUE,"LOW")</f>
        <v>LOW</v>
      </c>
      <c r="O474" s="4" t="str">
        <f t="shared" si="22"/>
        <v>OTHERS</v>
      </c>
      <c r="P474" s="4" t="str">
        <f t="shared" si="23"/>
        <v>OTHERS</v>
      </c>
    </row>
    <row r="475" spans="1:16" x14ac:dyDescent="0.3">
      <c r="A475" s="4">
        <v>19</v>
      </c>
      <c r="B475" t="s">
        <v>11</v>
      </c>
      <c r="C475" s="4">
        <v>37.72</v>
      </c>
      <c r="D475" t="s">
        <v>29</v>
      </c>
      <c r="E475" t="s">
        <v>20</v>
      </c>
      <c r="F475" s="4" t="s">
        <v>27</v>
      </c>
      <c r="G475" s="4" t="s">
        <v>32</v>
      </c>
      <c r="H475" s="4">
        <v>2</v>
      </c>
      <c r="I475" s="4">
        <v>5</v>
      </c>
      <c r="J475" s="1">
        <v>45433</v>
      </c>
      <c r="K475" s="2">
        <v>7.7453703703703712E-3</v>
      </c>
      <c r="M475" s="4" t="str">
        <f t="shared" si="21"/>
        <v>HIGH</v>
      </c>
      <c r="N475" s="4" t="str" cm="1">
        <f t="array" ref="N475">_xlfn.IFS(C475&gt;35,"HIGH",C475&gt;25,"MIDDLE",TRUE,"LOW")</f>
        <v>HIGH</v>
      </c>
      <c r="O475" s="4" t="str">
        <f t="shared" si="22"/>
        <v>OTHERS</v>
      </c>
      <c r="P475" s="4" t="str">
        <f t="shared" si="23"/>
        <v>PREMINUM MORNING</v>
      </c>
    </row>
    <row r="476" spans="1:16" x14ac:dyDescent="0.3">
      <c r="A476" s="4">
        <v>20</v>
      </c>
      <c r="B476" t="s">
        <v>11</v>
      </c>
      <c r="C476" s="4">
        <v>37.72</v>
      </c>
      <c r="D476" t="s">
        <v>29</v>
      </c>
      <c r="E476" t="s">
        <v>20</v>
      </c>
      <c r="F476" s="4" t="s">
        <v>27</v>
      </c>
      <c r="G476" s="4" t="s">
        <v>32</v>
      </c>
      <c r="H476" s="4">
        <v>2</v>
      </c>
      <c r="I476" s="4">
        <v>5</v>
      </c>
      <c r="J476" s="1">
        <v>45433</v>
      </c>
      <c r="K476" s="2">
        <v>9.5879629629629631E-3</v>
      </c>
      <c r="M476" s="4" t="str">
        <f t="shared" si="21"/>
        <v>HIGH</v>
      </c>
      <c r="N476" s="4" t="str" cm="1">
        <f t="array" ref="N476">_xlfn.IFS(C476&gt;35,"HIGH",C476&gt;25,"MIDDLE",TRUE,"LOW")</f>
        <v>HIGH</v>
      </c>
      <c r="O476" s="4" t="str">
        <f t="shared" si="22"/>
        <v>OTHERS</v>
      </c>
      <c r="P476" s="4" t="str">
        <f t="shared" si="23"/>
        <v>PREMINUM MORNING</v>
      </c>
    </row>
    <row r="477" spans="1:16" x14ac:dyDescent="0.3">
      <c r="A477" s="4">
        <v>9</v>
      </c>
      <c r="B477" t="s">
        <v>11</v>
      </c>
      <c r="C477" s="4">
        <v>37.72</v>
      </c>
      <c r="D477" t="s">
        <v>29</v>
      </c>
      <c r="E477" t="s">
        <v>13</v>
      </c>
      <c r="F477" s="4" t="s">
        <v>28</v>
      </c>
      <c r="G477" s="4" t="s">
        <v>32</v>
      </c>
      <c r="H477" s="4">
        <v>3</v>
      </c>
      <c r="I477" s="4">
        <v>5</v>
      </c>
      <c r="J477" s="1">
        <v>45434</v>
      </c>
      <c r="K477" s="2">
        <v>2.4094907407407409E-2</v>
      </c>
      <c r="M477" s="4" t="str">
        <f t="shared" si="21"/>
        <v>HIGH</v>
      </c>
      <c r="N477" s="4" t="str" cm="1">
        <f t="array" ref="N477">_xlfn.IFS(C477&gt;35,"HIGH",C477&gt;25,"MIDDLE",TRUE,"LOW")</f>
        <v>HIGH</v>
      </c>
      <c r="O477" s="4" t="str">
        <f t="shared" si="22"/>
        <v>PREMINUM MORNING</v>
      </c>
      <c r="P477" s="4" t="str">
        <f t="shared" si="23"/>
        <v>PREMINUM MORNING</v>
      </c>
    </row>
    <row r="478" spans="1:16" x14ac:dyDescent="0.3">
      <c r="A478" s="4">
        <v>10</v>
      </c>
      <c r="B478" t="s">
        <v>11</v>
      </c>
      <c r="C478" s="4">
        <v>32.82</v>
      </c>
      <c r="D478" t="s">
        <v>19</v>
      </c>
      <c r="E478" t="s">
        <v>13</v>
      </c>
      <c r="F478" s="4" t="s">
        <v>28</v>
      </c>
      <c r="G478" s="4" t="s">
        <v>32</v>
      </c>
      <c r="H478" s="4">
        <v>3</v>
      </c>
      <c r="I478" s="4">
        <v>5</v>
      </c>
      <c r="J478" s="1">
        <v>45434</v>
      </c>
      <c r="K478" s="2">
        <v>3.457175925925926E-2</v>
      </c>
      <c r="M478" s="4" t="str">
        <f t="shared" si="21"/>
        <v>LOW</v>
      </c>
      <c r="N478" s="4" t="str" cm="1">
        <f t="array" ref="N478">_xlfn.IFS(C478&gt;35,"HIGH",C478&gt;25,"MIDDLE",TRUE,"LOW")</f>
        <v>MIDDLE</v>
      </c>
      <c r="O478" s="4" t="str">
        <f t="shared" si="22"/>
        <v>OTHERS</v>
      </c>
      <c r="P478" s="4" t="str">
        <f t="shared" si="23"/>
        <v>PREMINUM MORNING</v>
      </c>
    </row>
    <row r="479" spans="1:16" x14ac:dyDescent="0.3">
      <c r="A479" s="4">
        <v>11</v>
      </c>
      <c r="B479" t="s">
        <v>11</v>
      </c>
      <c r="C479" s="4">
        <v>27.92</v>
      </c>
      <c r="D479" t="s">
        <v>24</v>
      </c>
      <c r="E479" t="s">
        <v>13</v>
      </c>
      <c r="F479" s="4" t="s">
        <v>28</v>
      </c>
      <c r="G479" s="4" t="s">
        <v>32</v>
      </c>
      <c r="H479" s="4">
        <v>3</v>
      </c>
      <c r="I479" s="4">
        <v>5</v>
      </c>
      <c r="J479" s="1">
        <v>45434</v>
      </c>
      <c r="K479" s="2">
        <v>1.2665509259259258E-2</v>
      </c>
      <c r="M479" s="4" t="str">
        <f t="shared" si="21"/>
        <v>LOW</v>
      </c>
      <c r="N479" s="4" t="str" cm="1">
        <f t="array" ref="N479">_xlfn.IFS(C479&gt;35,"HIGH",C479&gt;25,"MIDDLE",TRUE,"LOW")</f>
        <v>MIDDLE</v>
      </c>
      <c r="O479" s="4" t="str">
        <f t="shared" si="22"/>
        <v>OTHERS</v>
      </c>
      <c r="P479" s="4" t="str">
        <f t="shared" si="23"/>
        <v>PREMINUM MORNING</v>
      </c>
    </row>
    <row r="480" spans="1:16" x14ac:dyDescent="0.3">
      <c r="A480" s="4">
        <v>11</v>
      </c>
      <c r="B480" t="s">
        <v>11</v>
      </c>
      <c r="C480" s="4">
        <v>32.82</v>
      </c>
      <c r="D480" t="s">
        <v>19</v>
      </c>
      <c r="E480" t="s">
        <v>13</v>
      </c>
      <c r="F480" s="4" t="s">
        <v>28</v>
      </c>
      <c r="G480" s="4" t="s">
        <v>32</v>
      </c>
      <c r="H480" s="4">
        <v>3</v>
      </c>
      <c r="I480" s="4">
        <v>5</v>
      </c>
      <c r="J480" s="1">
        <v>45434</v>
      </c>
      <c r="K480" s="2">
        <v>2.4247685185185185E-2</v>
      </c>
      <c r="M480" s="4" t="str">
        <f t="shared" si="21"/>
        <v>LOW</v>
      </c>
      <c r="N480" s="4" t="str" cm="1">
        <f t="array" ref="N480">_xlfn.IFS(C480&gt;35,"HIGH",C480&gt;25,"MIDDLE",TRUE,"LOW")</f>
        <v>MIDDLE</v>
      </c>
      <c r="O480" s="4" t="str">
        <f t="shared" si="22"/>
        <v>OTHERS</v>
      </c>
      <c r="P480" s="4" t="str">
        <f t="shared" si="23"/>
        <v>PREMINUM MORNING</v>
      </c>
    </row>
    <row r="481" spans="1:16" x14ac:dyDescent="0.3">
      <c r="A481" s="4">
        <v>12</v>
      </c>
      <c r="B481" t="s">
        <v>11</v>
      </c>
      <c r="C481" s="4">
        <v>27.92</v>
      </c>
      <c r="D481" t="s">
        <v>18</v>
      </c>
      <c r="E481" t="s">
        <v>17</v>
      </c>
      <c r="F481" s="4" t="s">
        <v>28</v>
      </c>
      <c r="G481" s="4" t="s">
        <v>32</v>
      </c>
      <c r="H481" s="4">
        <v>3</v>
      </c>
      <c r="I481" s="4">
        <v>5</v>
      </c>
      <c r="J481" s="1">
        <v>45434</v>
      </c>
      <c r="K481" s="2">
        <v>2.072685185185185E-2</v>
      </c>
      <c r="M481" s="4" t="str">
        <f t="shared" si="21"/>
        <v>LOW</v>
      </c>
      <c r="N481" s="4" t="str" cm="1">
        <f t="array" ref="N481">_xlfn.IFS(C481&gt;35,"HIGH",C481&gt;25,"MIDDLE",TRUE,"LOW")</f>
        <v>MIDDLE</v>
      </c>
      <c r="O481" s="4" t="str">
        <f t="shared" si="22"/>
        <v>OTHERS</v>
      </c>
      <c r="P481" s="4" t="str">
        <f t="shared" si="23"/>
        <v>OTHERS</v>
      </c>
    </row>
    <row r="482" spans="1:16" x14ac:dyDescent="0.3">
      <c r="A482" s="4">
        <v>12</v>
      </c>
      <c r="B482" t="s">
        <v>11</v>
      </c>
      <c r="C482" s="4">
        <v>27.92</v>
      </c>
      <c r="D482" t="s">
        <v>18</v>
      </c>
      <c r="E482" t="s">
        <v>17</v>
      </c>
      <c r="F482" s="4" t="s">
        <v>28</v>
      </c>
      <c r="G482" s="4" t="s">
        <v>32</v>
      </c>
      <c r="H482" s="4">
        <v>3</v>
      </c>
      <c r="I482" s="4">
        <v>5</v>
      </c>
      <c r="J482" s="1">
        <v>45434</v>
      </c>
      <c r="K482" s="2">
        <v>2.1334490740740741E-2</v>
      </c>
      <c r="M482" s="4" t="str">
        <f t="shared" si="21"/>
        <v>LOW</v>
      </c>
      <c r="N482" s="4" t="str" cm="1">
        <f t="array" ref="N482">_xlfn.IFS(C482&gt;35,"HIGH",C482&gt;25,"MIDDLE",TRUE,"LOW")</f>
        <v>MIDDLE</v>
      </c>
      <c r="O482" s="4" t="str">
        <f t="shared" si="22"/>
        <v>OTHERS</v>
      </c>
      <c r="P482" s="4" t="str">
        <f t="shared" si="23"/>
        <v>OTHERS</v>
      </c>
    </row>
    <row r="483" spans="1:16" x14ac:dyDescent="0.3">
      <c r="A483" s="4">
        <v>14</v>
      </c>
      <c r="B483" t="s">
        <v>11</v>
      </c>
      <c r="C483" s="4">
        <v>32.82</v>
      </c>
      <c r="D483" t="s">
        <v>19</v>
      </c>
      <c r="E483" t="s">
        <v>17</v>
      </c>
      <c r="F483" s="4" t="s">
        <v>28</v>
      </c>
      <c r="G483" s="4" t="s">
        <v>32</v>
      </c>
      <c r="H483" s="4">
        <v>3</v>
      </c>
      <c r="I483" s="4">
        <v>5</v>
      </c>
      <c r="J483" s="1">
        <v>45434</v>
      </c>
      <c r="K483" s="2">
        <v>2.3726851851851852E-4</v>
      </c>
      <c r="M483" s="4" t="str">
        <f t="shared" si="21"/>
        <v>LOW</v>
      </c>
      <c r="N483" s="4" t="str" cm="1">
        <f t="array" ref="N483">_xlfn.IFS(C483&gt;35,"HIGH",C483&gt;25,"MIDDLE",TRUE,"LOW")</f>
        <v>MIDDLE</v>
      </c>
      <c r="O483" s="4" t="str">
        <f t="shared" si="22"/>
        <v>OTHERS</v>
      </c>
      <c r="P483" s="4" t="str">
        <f t="shared" si="23"/>
        <v>OTHERS</v>
      </c>
    </row>
    <row r="484" spans="1:16" x14ac:dyDescent="0.3">
      <c r="A484" s="4">
        <v>19</v>
      </c>
      <c r="B484" t="s">
        <v>11</v>
      </c>
      <c r="C484" s="4">
        <v>37.72</v>
      </c>
      <c r="D484" t="s">
        <v>29</v>
      </c>
      <c r="E484" t="s">
        <v>20</v>
      </c>
      <c r="F484" s="4" t="s">
        <v>28</v>
      </c>
      <c r="G484" s="4" t="s">
        <v>32</v>
      </c>
      <c r="H484" s="4">
        <v>3</v>
      </c>
      <c r="I484" s="4">
        <v>5</v>
      </c>
      <c r="J484" s="1">
        <v>45434</v>
      </c>
      <c r="K484" s="2">
        <v>1.7339120370370369E-2</v>
      </c>
      <c r="M484" s="4" t="str">
        <f t="shared" si="21"/>
        <v>HIGH</v>
      </c>
      <c r="N484" s="4" t="str" cm="1">
        <f t="array" ref="N484">_xlfn.IFS(C484&gt;35,"HIGH",C484&gt;25,"MIDDLE",TRUE,"LOW")</f>
        <v>HIGH</v>
      </c>
      <c r="O484" s="4" t="str">
        <f t="shared" si="22"/>
        <v>OTHERS</v>
      </c>
      <c r="P484" s="4" t="str">
        <f t="shared" si="23"/>
        <v>PREMINUM MORNING</v>
      </c>
    </row>
    <row r="485" spans="1:16" x14ac:dyDescent="0.3">
      <c r="A485" s="4">
        <v>19</v>
      </c>
      <c r="B485" t="s">
        <v>11</v>
      </c>
      <c r="C485" s="4">
        <v>37.72</v>
      </c>
      <c r="D485" t="s">
        <v>29</v>
      </c>
      <c r="E485" t="s">
        <v>20</v>
      </c>
      <c r="F485" s="4" t="s">
        <v>28</v>
      </c>
      <c r="G485" s="4" t="s">
        <v>32</v>
      </c>
      <c r="H485" s="4">
        <v>3</v>
      </c>
      <c r="I485" s="4">
        <v>5</v>
      </c>
      <c r="J485" s="1">
        <v>45434</v>
      </c>
      <c r="K485" s="2">
        <v>1.8039351851851852E-2</v>
      </c>
      <c r="M485" s="4" t="str">
        <f t="shared" si="21"/>
        <v>HIGH</v>
      </c>
      <c r="N485" s="4" t="str" cm="1">
        <f t="array" ref="N485">_xlfn.IFS(C485&gt;35,"HIGH",C485&gt;25,"MIDDLE",TRUE,"LOW")</f>
        <v>HIGH</v>
      </c>
      <c r="O485" s="4" t="str">
        <f t="shared" si="22"/>
        <v>OTHERS</v>
      </c>
      <c r="P485" s="4" t="str">
        <f t="shared" si="23"/>
        <v>PREMINUM MORNING</v>
      </c>
    </row>
    <row r="486" spans="1:16" x14ac:dyDescent="0.3">
      <c r="A486" s="4">
        <v>21</v>
      </c>
      <c r="B486" t="s">
        <v>11</v>
      </c>
      <c r="C486" s="4">
        <v>37.72</v>
      </c>
      <c r="D486" t="s">
        <v>16</v>
      </c>
      <c r="E486" t="s">
        <v>20</v>
      </c>
      <c r="F486" s="4" t="s">
        <v>28</v>
      </c>
      <c r="G486" s="4" t="s">
        <v>32</v>
      </c>
      <c r="H486" s="4">
        <v>3</v>
      </c>
      <c r="I486" s="4">
        <v>5</v>
      </c>
      <c r="J486" s="1">
        <v>45434</v>
      </c>
      <c r="K486" s="3">
        <v>0.89158564814814811</v>
      </c>
      <c r="M486" s="4" t="str">
        <f t="shared" si="21"/>
        <v>HIGH</v>
      </c>
      <c r="N486" s="4" t="str" cm="1">
        <f t="array" ref="N486">_xlfn.IFS(C486&gt;35,"HIGH",C486&gt;25,"MIDDLE",TRUE,"LOW")</f>
        <v>HIGH</v>
      </c>
      <c r="O486" s="4" t="str">
        <f t="shared" si="22"/>
        <v>OTHERS</v>
      </c>
      <c r="P486" s="4" t="str">
        <f t="shared" si="23"/>
        <v>PREMINUM MORNING</v>
      </c>
    </row>
    <row r="487" spans="1:16" x14ac:dyDescent="0.3">
      <c r="A487" s="4">
        <v>21</v>
      </c>
      <c r="B487" t="s">
        <v>11</v>
      </c>
      <c r="C487" s="4">
        <v>37.72</v>
      </c>
      <c r="D487" t="s">
        <v>29</v>
      </c>
      <c r="E487" t="s">
        <v>20</v>
      </c>
      <c r="F487" s="4" t="s">
        <v>28</v>
      </c>
      <c r="G487" s="4" t="s">
        <v>32</v>
      </c>
      <c r="H487" s="4">
        <v>3</v>
      </c>
      <c r="I487" s="4">
        <v>5</v>
      </c>
      <c r="J487" s="1">
        <v>45434</v>
      </c>
      <c r="K487" s="2">
        <v>1.7240740740740741E-2</v>
      </c>
      <c r="M487" s="4" t="str">
        <f t="shared" si="21"/>
        <v>HIGH</v>
      </c>
      <c r="N487" s="4" t="str" cm="1">
        <f t="array" ref="N487">_xlfn.IFS(C487&gt;35,"HIGH",C487&gt;25,"MIDDLE",TRUE,"LOW")</f>
        <v>HIGH</v>
      </c>
      <c r="O487" s="4" t="str">
        <f t="shared" si="22"/>
        <v>OTHERS</v>
      </c>
      <c r="P487" s="4" t="str">
        <f t="shared" si="23"/>
        <v>PREMINUM MORNING</v>
      </c>
    </row>
    <row r="488" spans="1:16" x14ac:dyDescent="0.3">
      <c r="A488" s="4">
        <v>10</v>
      </c>
      <c r="B488" t="s">
        <v>11</v>
      </c>
      <c r="C488" s="4">
        <v>37.72</v>
      </c>
      <c r="D488" t="s">
        <v>29</v>
      </c>
      <c r="E488" t="s">
        <v>13</v>
      </c>
      <c r="F488" s="4" t="s">
        <v>30</v>
      </c>
      <c r="G488" s="4" t="s">
        <v>32</v>
      </c>
      <c r="H488" s="4">
        <v>4</v>
      </c>
      <c r="I488" s="4">
        <v>5</v>
      </c>
      <c r="J488" s="1">
        <v>45435</v>
      </c>
      <c r="K488" s="2">
        <v>7.1712962962962963E-3</v>
      </c>
      <c r="M488" s="4" t="str">
        <f t="shared" si="21"/>
        <v>HIGH</v>
      </c>
      <c r="N488" s="4" t="str" cm="1">
        <f t="array" ref="N488">_xlfn.IFS(C488&gt;35,"HIGH",C488&gt;25,"MIDDLE",TRUE,"LOW")</f>
        <v>HIGH</v>
      </c>
      <c r="O488" s="4" t="str">
        <f t="shared" si="22"/>
        <v>PREMINUM MORNING</v>
      </c>
      <c r="P488" s="4" t="str">
        <f t="shared" si="23"/>
        <v>PREMINUM MORNING</v>
      </c>
    </row>
    <row r="489" spans="1:16" x14ac:dyDescent="0.3">
      <c r="A489" s="4">
        <v>12</v>
      </c>
      <c r="B489" t="s">
        <v>11</v>
      </c>
      <c r="C489" s="4">
        <v>23.02</v>
      </c>
      <c r="D489" t="s">
        <v>26</v>
      </c>
      <c r="E489" t="s">
        <v>17</v>
      </c>
      <c r="F489" s="4" t="s">
        <v>30</v>
      </c>
      <c r="G489" s="4" t="s">
        <v>32</v>
      </c>
      <c r="H489" s="4">
        <v>4</v>
      </c>
      <c r="I489" s="4">
        <v>5</v>
      </c>
      <c r="J489" s="1">
        <v>45435</v>
      </c>
      <c r="K489" s="2">
        <v>1.5354166666666665E-2</v>
      </c>
      <c r="M489" s="4" t="str">
        <f t="shared" si="21"/>
        <v>LOW</v>
      </c>
      <c r="N489" s="4" t="str" cm="1">
        <f t="array" ref="N489">_xlfn.IFS(C489&gt;35,"HIGH",C489&gt;25,"MIDDLE",TRUE,"LOW")</f>
        <v>LOW</v>
      </c>
      <c r="O489" s="4" t="str">
        <f t="shared" si="22"/>
        <v>OTHERS</v>
      </c>
      <c r="P489" s="4" t="str">
        <f t="shared" si="23"/>
        <v>OTHERS</v>
      </c>
    </row>
    <row r="490" spans="1:16" x14ac:dyDescent="0.3">
      <c r="A490" s="4">
        <v>15</v>
      </c>
      <c r="B490" t="s">
        <v>11</v>
      </c>
      <c r="C490" s="4">
        <v>37.72</v>
      </c>
      <c r="D490" t="s">
        <v>29</v>
      </c>
      <c r="E490" t="s">
        <v>17</v>
      </c>
      <c r="F490" s="4" t="s">
        <v>30</v>
      </c>
      <c r="G490" s="4" t="s">
        <v>32</v>
      </c>
      <c r="H490" s="4">
        <v>4</v>
      </c>
      <c r="I490" s="4">
        <v>5</v>
      </c>
      <c r="J490" s="1">
        <v>45435</v>
      </c>
      <c r="K490" s="2">
        <v>3.8386574074074073E-2</v>
      </c>
      <c r="M490" s="4" t="str">
        <f t="shared" si="21"/>
        <v>HIGH</v>
      </c>
      <c r="N490" s="4" t="str" cm="1">
        <f t="array" ref="N490">_xlfn.IFS(C490&gt;35,"HIGH",C490&gt;25,"MIDDLE",TRUE,"LOW")</f>
        <v>HIGH</v>
      </c>
      <c r="O490" s="4" t="str">
        <f t="shared" si="22"/>
        <v>OTHERS</v>
      </c>
      <c r="P490" s="4" t="str">
        <f t="shared" si="23"/>
        <v>PREMINUM MORNING</v>
      </c>
    </row>
    <row r="491" spans="1:16" x14ac:dyDescent="0.3">
      <c r="A491" s="4">
        <v>15</v>
      </c>
      <c r="B491" t="s">
        <v>11</v>
      </c>
      <c r="C491" s="4">
        <v>37.72</v>
      </c>
      <c r="D491" t="s">
        <v>29</v>
      </c>
      <c r="E491" t="s">
        <v>17</v>
      </c>
      <c r="F491" s="4" t="s">
        <v>30</v>
      </c>
      <c r="G491" s="4" t="s">
        <v>32</v>
      </c>
      <c r="H491" s="4">
        <v>4</v>
      </c>
      <c r="I491" s="4">
        <v>5</v>
      </c>
      <c r="J491" s="1">
        <v>45435</v>
      </c>
      <c r="K491" s="2">
        <v>3.9203703703703699E-2</v>
      </c>
      <c r="M491" s="4" t="str">
        <f t="shared" si="21"/>
        <v>HIGH</v>
      </c>
      <c r="N491" s="4" t="str" cm="1">
        <f t="array" ref="N491">_xlfn.IFS(C491&gt;35,"HIGH",C491&gt;25,"MIDDLE",TRUE,"LOW")</f>
        <v>HIGH</v>
      </c>
      <c r="O491" s="4" t="str">
        <f t="shared" si="22"/>
        <v>OTHERS</v>
      </c>
      <c r="P491" s="4" t="str">
        <f t="shared" si="23"/>
        <v>PREMINUM MORNING</v>
      </c>
    </row>
    <row r="492" spans="1:16" x14ac:dyDescent="0.3">
      <c r="A492" s="4">
        <v>16</v>
      </c>
      <c r="B492" t="s">
        <v>11</v>
      </c>
      <c r="C492" s="4">
        <v>37.72</v>
      </c>
      <c r="D492" t="s">
        <v>29</v>
      </c>
      <c r="E492" t="s">
        <v>17</v>
      </c>
      <c r="F492" s="4" t="s">
        <v>30</v>
      </c>
      <c r="G492" s="4" t="s">
        <v>32</v>
      </c>
      <c r="H492" s="4">
        <v>4</v>
      </c>
      <c r="I492" s="4">
        <v>5</v>
      </c>
      <c r="J492" s="1">
        <v>45435</v>
      </c>
      <c r="K492" s="2">
        <v>1.2663194444444444E-2</v>
      </c>
      <c r="M492" s="4" t="str">
        <f t="shared" si="21"/>
        <v>HIGH</v>
      </c>
      <c r="N492" s="4" t="str" cm="1">
        <f t="array" ref="N492">_xlfn.IFS(C492&gt;35,"HIGH",C492&gt;25,"MIDDLE",TRUE,"LOW")</f>
        <v>HIGH</v>
      </c>
      <c r="O492" s="4" t="str">
        <f t="shared" si="22"/>
        <v>OTHERS</v>
      </c>
      <c r="P492" s="4" t="str">
        <f t="shared" si="23"/>
        <v>PREMINUM MORNING</v>
      </c>
    </row>
    <row r="493" spans="1:16" x14ac:dyDescent="0.3">
      <c r="A493" s="4">
        <v>16</v>
      </c>
      <c r="B493" t="s">
        <v>11</v>
      </c>
      <c r="C493" s="4">
        <v>37.72</v>
      </c>
      <c r="D493" t="s">
        <v>12</v>
      </c>
      <c r="E493" t="s">
        <v>17</v>
      </c>
      <c r="F493" s="4" t="s">
        <v>30</v>
      </c>
      <c r="G493" s="4" t="s">
        <v>32</v>
      </c>
      <c r="H493" s="4">
        <v>4</v>
      </c>
      <c r="I493" s="4">
        <v>5</v>
      </c>
      <c r="J493" s="1">
        <v>45435</v>
      </c>
      <c r="K493" s="2">
        <v>2.8472222222222222E-2</v>
      </c>
      <c r="M493" s="4" t="str">
        <f t="shared" si="21"/>
        <v>HIGH</v>
      </c>
      <c r="N493" s="4" t="str" cm="1">
        <f t="array" ref="N493">_xlfn.IFS(C493&gt;35,"HIGH",C493&gt;25,"MIDDLE",TRUE,"LOW")</f>
        <v>HIGH</v>
      </c>
      <c r="O493" s="4" t="str">
        <f t="shared" si="22"/>
        <v>OTHERS</v>
      </c>
      <c r="P493" s="4" t="str">
        <f t="shared" si="23"/>
        <v>PREMINUM MORNING</v>
      </c>
    </row>
    <row r="494" spans="1:16" x14ac:dyDescent="0.3">
      <c r="A494" s="4">
        <v>17</v>
      </c>
      <c r="B494" t="s">
        <v>11</v>
      </c>
      <c r="C494" s="4">
        <v>37.72</v>
      </c>
      <c r="D494" t="s">
        <v>29</v>
      </c>
      <c r="E494" t="s">
        <v>20</v>
      </c>
      <c r="F494" s="4" t="s">
        <v>30</v>
      </c>
      <c r="G494" s="4" t="s">
        <v>32</v>
      </c>
      <c r="H494" s="4">
        <v>4</v>
      </c>
      <c r="I494" s="4">
        <v>5</v>
      </c>
      <c r="J494" s="1">
        <v>45435</v>
      </c>
      <c r="K494" s="2">
        <v>1.0106481481481482E-2</v>
      </c>
      <c r="M494" s="4" t="str">
        <f t="shared" si="21"/>
        <v>HIGH</v>
      </c>
      <c r="N494" s="4" t="str" cm="1">
        <f t="array" ref="N494">_xlfn.IFS(C494&gt;35,"HIGH",C494&gt;25,"MIDDLE",TRUE,"LOW")</f>
        <v>HIGH</v>
      </c>
      <c r="O494" s="4" t="str">
        <f t="shared" si="22"/>
        <v>OTHERS</v>
      </c>
      <c r="P494" s="4" t="str">
        <f t="shared" si="23"/>
        <v>PREMINUM MORNING</v>
      </c>
    </row>
    <row r="495" spans="1:16" x14ac:dyDescent="0.3">
      <c r="A495" s="4">
        <v>17</v>
      </c>
      <c r="B495" t="s">
        <v>11</v>
      </c>
      <c r="C495" s="4">
        <v>37.72</v>
      </c>
      <c r="D495" t="s">
        <v>12</v>
      </c>
      <c r="E495" t="s">
        <v>20</v>
      </c>
      <c r="F495" s="4" t="s">
        <v>30</v>
      </c>
      <c r="G495" s="4" t="s">
        <v>32</v>
      </c>
      <c r="H495" s="4">
        <v>4</v>
      </c>
      <c r="I495" s="4">
        <v>5</v>
      </c>
      <c r="J495" s="1">
        <v>45435</v>
      </c>
      <c r="K495" s="2">
        <v>1.0936342592592593E-2</v>
      </c>
      <c r="M495" s="4" t="str">
        <f t="shared" si="21"/>
        <v>HIGH</v>
      </c>
      <c r="N495" s="4" t="str" cm="1">
        <f t="array" ref="N495">_xlfn.IFS(C495&gt;35,"HIGH",C495&gt;25,"MIDDLE",TRUE,"LOW")</f>
        <v>HIGH</v>
      </c>
      <c r="O495" s="4" t="str">
        <f t="shared" si="22"/>
        <v>OTHERS</v>
      </c>
      <c r="P495" s="4" t="str">
        <f t="shared" si="23"/>
        <v>PREMINUM MORNING</v>
      </c>
    </row>
    <row r="496" spans="1:16" x14ac:dyDescent="0.3">
      <c r="A496" s="4">
        <v>19</v>
      </c>
      <c r="B496" t="s">
        <v>11</v>
      </c>
      <c r="C496" s="4">
        <v>27.92</v>
      </c>
      <c r="D496" t="s">
        <v>24</v>
      </c>
      <c r="E496" t="s">
        <v>20</v>
      </c>
      <c r="F496" s="4" t="s">
        <v>30</v>
      </c>
      <c r="G496" s="4" t="s">
        <v>32</v>
      </c>
      <c r="H496" s="4">
        <v>4</v>
      </c>
      <c r="I496" s="4">
        <v>5</v>
      </c>
      <c r="J496" s="1">
        <v>45435</v>
      </c>
      <c r="K496" s="2">
        <v>2.7071759259259258E-3</v>
      </c>
      <c r="M496" s="4" t="str">
        <f t="shared" si="21"/>
        <v>LOW</v>
      </c>
      <c r="N496" s="4" t="str" cm="1">
        <f t="array" ref="N496">_xlfn.IFS(C496&gt;35,"HIGH",C496&gt;25,"MIDDLE",TRUE,"LOW")</f>
        <v>MIDDLE</v>
      </c>
      <c r="O496" s="4" t="str">
        <f t="shared" si="22"/>
        <v>OTHERS</v>
      </c>
      <c r="P496" s="4" t="str">
        <f t="shared" si="23"/>
        <v>OTHERS</v>
      </c>
    </row>
    <row r="497" spans="1:16" x14ac:dyDescent="0.3">
      <c r="A497" s="4">
        <v>19</v>
      </c>
      <c r="B497" t="s">
        <v>11</v>
      </c>
      <c r="C497" s="4">
        <v>37.72</v>
      </c>
      <c r="D497" t="s">
        <v>29</v>
      </c>
      <c r="E497" t="s">
        <v>20</v>
      </c>
      <c r="F497" s="4" t="s">
        <v>30</v>
      </c>
      <c r="G497" s="4" t="s">
        <v>32</v>
      </c>
      <c r="H497" s="4">
        <v>4</v>
      </c>
      <c r="I497" s="4">
        <v>5</v>
      </c>
      <c r="J497" s="1">
        <v>45435</v>
      </c>
      <c r="K497" s="2">
        <v>1.213425925925926E-2</v>
      </c>
      <c r="M497" s="4" t="str">
        <f t="shared" si="21"/>
        <v>HIGH</v>
      </c>
      <c r="N497" s="4" t="str" cm="1">
        <f t="array" ref="N497">_xlfn.IFS(C497&gt;35,"HIGH",C497&gt;25,"MIDDLE",TRUE,"LOW")</f>
        <v>HIGH</v>
      </c>
      <c r="O497" s="4" t="str">
        <f t="shared" si="22"/>
        <v>OTHERS</v>
      </c>
      <c r="P497" s="4" t="str">
        <f t="shared" si="23"/>
        <v>PREMINUM MORNING</v>
      </c>
    </row>
    <row r="498" spans="1:16" x14ac:dyDescent="0.3">
      <c r="A498" s="4">
        <v>19</v>
      </c>
      <c r="B498" t="s">
        <v>11</v>
      </c>
      <c r="C498" s="4">
        <v>37.72</v>
      </c>
      <c r="D498" t="s">
        <v>29</v>
      </c>
      <c r="E498" t="s">
        <v>20</v>
      </c>
      <c r="F498" s="4" t="s">
        <v>30</v>
      </c>
      <c r="G498" s="4" t="s">
        <v>32</v>
      </c>
      <c r="H498" s="4">
        <v>4</v>
      </c>
      <c r="I498" s="4">
        <v>5</v>
      </c>
      <c r="J498" s="1">
        <v>45435</v>
      </c>
      <c r="K498" s="2">
        <v>1.2805555555555556E-2</v>
      </c>
      <c r="M498" s="4" t="str">
        <f t="shared" si="21"/>
        <v>HIGH</v>
      </c>
      <c r="N498" s="4" t="str" cm="1">
        <f t="array" ref="N498">_xlfn.IFS(C498&gt;35,"HIGH",C498&gt;25,"MIDDLE",TRUE,"LOW")</f>
        <v>HIGH</v>
      </c>
      <c r="O498" s="4" t="str">
        <f t="shared" si="22"/>
        <v>OTHERS</v>
      </c>
      <c r="P498" s="4" t="str">
        <f t="shared" si="23"/>
        <v>PREMINUM MORNING</v>
      </c>
    </row>
    <row r="499" spans="1:16" x14ac:dyDescent="0.3">
      <c r="A499" s="4">
        <v>19</v>
      </c>
      <c r="B499" t="s">
        <v>11</v>
      </c>
      <c r="C499" s="4">
        <v>37.72</v>
      </c>
      <c r="D499" t="s">
        <v>29</v>
      </c>
      <c r="E499" t="s">
        <v>20</v>
      </c>
      <c r="F499" s="4" t="s">
        <v>30</v>
      </c>
      <c r="G499" s="4" t="s">
        <v>32</v>
      </c>
      <c r="H499" s="4">
        <v>4</v>
      </c>
      <c r="I499" s="4">
        <v>5</v>
      </c>
      <c r="J499" s="1">
        <v>45435</v>
      </c>
      <c r="K499" s="2">
        <v>2.9531249999999998E-2</v>
      </c>
      <c r="M499" s="4" t="str">
        <f t="shared" si="21"/>
        <v>HIGH</v>
      </c>
      <c r="N499" s="4" t="str" cm="1">
        <f t="array" ref="N499">_xlfn.IFS(C499&gt;35,"HIGH",C499&gt;25,"MIDDLE",TRUE,"LOW")</f>
        <v>HIGH</v>
      </c>
      <c r="O499" s="4" t="str">
        <f t="shared" si="22"/>
        <v>OTHERS</v>
      </c>
      <c r="P499" s="4" t="str">
        <f t="shared" si="23"/>
        <v>PREMINUM MORNING</v>
      </c>
    </row>
    <row r="500" spans="1:16" x14ac:dyDescent="0.3">
      <c r="A500" s="4">
        <v>20</v>
      </c>
      <c r="B500" t="s">
        <v>11</v>
      </c>
      <c r="C500" s="4">
        <v>37.72</v>
      </c>
      <c r="D500" t="s">
        <v>29</v>
      </c>
      <c r="E500" t="s">
        <v>20</v>
      </c>
      <c r="F500" s="4" t="s">
        <v>30</v>
      </c>
      <c r="G500" s="4" t="s">
        <v>32</v>
      </c>
      <c r="H500" s="4">
        <v>4</v>
      </c>
      <c r="I500" s="4">
        <v>5</v>
      </c>
      <c r="J500" s="1">
        <v>45435</v>
      </c>
      <c r="K500" s="2">
        <v>1.043287037037037E-2</v>
      </c>
      <c r="M500" s="4" t="str">
        <f t="shared" si="21"/>
        <v>HIGH</v>
      </c>
      <c r="N500" s="4" t="str" cm="1">
        <f t="array" ref="N500">_xlfn.IFS(C500&gt;35,"HIGH",C500&gt;25,"MIDDLE",TRUE,"LOW")</f>
        <v>HIGH</v>
      </c>
      <c r="O500" s="4" t="str">
        <f t="shared" si="22"/>
        <v>OTHERS</v>
      </c>
      <c r="P500" s="4" t="str">
        <f t="shared" si="23"/>
        <v>PREMINUM MORNING</v>
      </c>
    </row>
    <row r="501" spans="1:16" x14ac:dyDescent="0.3">
      <c r="A501" s="4">
        <v>20</v>
      </c>
      <c r="B501" t="s">
        <v>11</v>
      </c>
      <c r="C501" s="4">
        <v>37.72</v>
      </c>
      <c r="D501" t="s">
        <v>12</v>
      </c>
      <c r="E501" t="s">
        <v>20</v>
      </c>
      <c r="F501" s="4" t="s">
        <v>30</v>
      </c>
      <c r="G501" s="4" t="s">
        <v>32</v>
      </c>
      <c r="H501" s="4">
        <v>4</v>
      </c>
      <c r="I501" s="4">
        <v>5</v>
      </c>
      <c r="J501" s="1">
        <v>45435</v>
      </c>
      <c r="K501" s="2">
        <v>1.1391203703703704E-2</v>
      </c>
      <c r="M501" s="4" t="str">
        <f t="shared" si="21"/>
        <v>HIGH</v>
      </c>
      <c r="N501" s="4" t="str" cm="1">
        <f t="array" ref="N501">_xlfn.IFS(C501&gt;35,"HIGH",C501&gt;25,"MIDDLE",TRUE,"LOW")</f>
        <v>HIGH</v>
      </c>
      <c r="O501" s="4" t="str">
        <f t="shared" si="22"/>
        <v>OTHERS</v>
      </c>
      <c r="P501" s="4" t="str">
        <f t="shared" si="23"/>
        <v>PREMINUM MORNING</v>
      </c>
    </row>
    <row r="502" spans="1:16" x14ac:dyDescent="0.3">
      <c r="A502" s="4">
        <v>22</v>
      </c>
      <c r="B502" t="s">
        <v>11</v>
      </c>
      <c r="C502" s="4">
        <v>32.82</v>
      </c>
      <c r="D502" t="s">
        <v>19</v>
      </c>
      <c r="E502" t="s">
        <v>20</v>
      </c>
      <c r="F502" s="4" t="s">
        <v>30</v>
      </c>
      <c r="G502" s="4" t="s">
        <v>32</v>
      </c>
      <c r="H502" s="4">
        <v>4</v>
      </c>
      <c r="I502" s="4">
        <v>5</v>
      </c>
      <c r="J502" s="1">
        <v>45435</v>
      </c>
      <c r="K502" s="2">
        <v>3.3458333333333333E-2</v>
      </c>
      <c r="M502" s="4" t="str">
        <f t="shared" si="21"/>
        <v>LOW</v>
      </c>
      <c r="N502" s="4" t="str" cm="1">
        <f t="array" ref="N502">_xlfn.IFS(C502&gt;35,"HIGH",C502&gt;25,"MIDDLE",TRUE,"LOW")</f>
        <v>MIDDLE</v>
      </c>
      <c r="O502" s="4" t="str">
        <f t="shared" si="22"/>
        <v>OTHERS</v>
      </c>
      <c r="P502" s="4" t="str">
        <f t="shared" si="23"/>
        <v>OTHERS</v>
      </c>
    </row>
    <row r="503" spans="1:16" x14ac:dyDescent="0.3">
      <c r="A503" s="4">
        <v>11</v>
      </c>
      <c r="B503" t="s">
        <v>11</v>
      </c>
      <c r="C503" s="4">
        <v>27.92</v>
      </c>
      <c r="D503" t="s">
        <v>24</v>
      </c>
      <c r="E503" t="s">
        <v>13</v>
      </c>
      <c r="F503" s="4" t="s">
        <v>14</v>
      </c>
      <c r="G503" s="4" t="s">
        <v>32</v>
      </c>
      <c r="H503" s="4">
        <v>5</v>
      </c>
      <c r="I503" s="4">
        <v>5</v>
      </c>
      <c r="J503" s="1">
        <v>45436</v>
      </c>
      <c r="K503" s="2">
        <v>8.324074074074074E-3</v>
      </c>
      <c r="M503" s="4" t="str">
        <f t="shared" si="21"/>
        <v>LOW</v>
      </c>
      <c r="N503" s="4" t="str" cm="1">
        <f t="array" ref="N503">_xlfn.IFS(C503&gt;35,"HIGH",C503&gt;25,"MIDDLE",TRUE,"LOW")</f>
        <v>MIDDLE</v>
      </c>
      <c r="O503" s="4" t="str">
        <f t="shared" si="22"/>
        <v>OTHERS</v>
      </c>
      <c r="P503" s="4" t="str">
        <f t="shared" si="23"/>
        <v>PREMINUM MORNING</v>
      </c>
    </row>
    <row r="504" spans="1:16" x14ac:dyDescent="0.3">
      <c r="A504" s="4">
        <v>11</v>
      </c>
      <c r="B504" t="s">
        <v>11</v>
      </c>
      <c r="C504" s="4">
        <v>27.92</v>
      </c>
      <c r="D504" t="s">
        <v>18</v>
      </c>
      <c r="E504" t="s">
        <v>13</v>
      </c>
      <c r="F504" s="4" t="s">
        <v>14</v>
      </c>
      <c r="G504" s="4" t="s">
        <v>32</v>
      </c>
      <c r="H504" s="4">
        <v>5</v>
      </c>
      <c r="I504" s="4">
        <v>5</v>
      </c>
      <c r="J504" s="1">
        <v>45436</v>
      </c>
      <c r="K504" s="2">
        <v>1.0512731481481481E-2</v>
      </c>
      <c r="M504" s="4" t="str">
        <f t="shared" si="21"/>
        <v>LOW</v>
      </c>
      <c r="N504" s="4" t="str" cm="1">
        <f t="array" ref="N504">_xlfn.IFS(C504&gt;35,"HIGH",C504&gt;25,"MIDDLE",TRUE,"LOW")</f>
        <v>MIDDLE</v>
      </c>
      <c r="O504" s="4" t="str">
        <f t="shared" si="22"/>
        <v>OTHERS</v>
      </c>
      <c r="P504" s="4" t="str">
        <f t="shared" si="23"/>
        <v>PREMINUM MORNING</v>
      </c>
    </row>
    <row r="505" spans="1:16" x14ac:dyDescent="0.3">
      <c r="A505" s="4">
        <v>11</v>
      </c>
      <c r="B505" t="s">
        <v>11</v>
      </c>
      <c r="C505" s="4">
        <v>27.92</v>
      </c>
      <c r="D505" t="s">
        <v>18</v>
      </c>
      <c r="E505" t="s">
        <v>13</v>
      </c>
      <c r="F505" s="4" t="s">
        <v>14</v>
      </c>
      <c r="G505" s="4" t="s">
        <v>32</v>
      </c>
      <c r="H505" s="4">
        <v>5</v>
      </c>
      <c r="I505" s="4">
        <v>5</v>
      </c>
      <c r="J505" s="1">
        <v>45436</v>
      </c>
      <c r="K505" s="2">
        <v>1.1261574074074075E-2</v>
      </c>
      <c r="M505" s="4" t="str">
        <f t="shared" si="21"/>
        <v>LOW</v>
      </c>
      <c r="N505" s="4" t="str" cm="1">
        <f t="array" ref="N505">_xlfn.IFS(C505&gt;35,"HIGH",C505&gt;25,"MIDDLE",TRUE,"LOW")</f>
        <v>MIDDLE</v>
      </c>
      <c r="O505" s="4" t="str">
        <f t="shared" si="22"/>
        <v>OTHERS</v>
      </c>
      <c r="P505" s="4" t="str">
        <f t="shared" si="23"/>
        <v>PREMINUM MORNING</v>
      </c>
    </row>
    <row r="506" spans="1:16" x14ac:dyDescent="0.3">
      <c r="A506" s="4">
        <v>16</v>
      </c>
      <c r="B506" t="s">
        <v>11</v>
      </c>
      <c r="C506" s="4">
        <v>37.72</v>
      </c>
      <c r="D506" t="s">
        <v>16</v>
      </c>
      <c r="E506" t="s">
        <v>17</v>
      </c>
      <c r="F506" s="4" t="s">
        <v>14</v>
      </c>
      <c r="G506" s="4" t="s">
        <v>32</v>
      </c>
      <c r="H506" s="4">
        <v>5</v>
      </c>
      <c r="I506" s="4">
        <v>5</v>
      </c>
      <c r="J506" s="1">
        <v>45436</v>
      </c>
      <c r="K506" s="2">
        <v>5.0902777777777778E-3</v>
      </c>
      <c r="M506" s="4" t="str">
        <f t="shared" si="21"/>
        <v>HIGH</v>
      </c>
      <c r="N506" s="4" t="str" cm="1">
        <f t="array" ref="N506">_xlfn.IFS(C506&gt;35,"HIGH",C506&gt;25,"MIDDLE",TRUE,"LOW")</f>
        <v>HIGH</v>
      </c>
      <c r="O506" s="4" t="str">
        <f t="shared" si="22"/>
        <v>OTHERS</v>
      </c>
      <c r="P506" s="4" t="str">
        <f t="shared" si="23"/>
        <v>PREMINUM MORNING</v>
      </c>
    </row>
    <row r="507" spans="1:16" x14ac:dyDescent="0.3">
      <c r="A507" s="4">
        <v>18</v>
      </c>
      <c r="B507" t="s">
        <v>11</v>
      </c>
      <c r="C507" s="4">
        <v>27.92</v>
      </c>
      <c r="D507" t="s">
        <v>24</v>
      </c>
      <c r="E507" t="s">
        <v>20</v>
      </c>
      <c r="F507" s="4" t="s">
        <v>14</v>
      </c>
      <c r="G507" s="4" t="s">
        <v>32</v>
      </c>
      <c r="H507" s="4">
        <v>5</v>
      </c>
      <c r="I507" s="4">
        <v>5</v>
      </c>
      <c r="J507" s="1">
        <v>45436</v>
      </c>
      <c r="K507" s="2">
        <v>1.227199074074074E-2</v>
      </c>
      <c r="M507" s="4" t="str">
        <f t="shared" si="21"/>
        <v>LOW</v>
      </c>
      <c r="N507" s="4" t="str" cm="1">
        <f t="array" ref="N507">_xlfn.IFS(C507&gt;35,"HIGH",C507&gt;25,"MIDDLE",TRUE,"LOW")</f>
        <v>MIDDLE</v>
      </c>
      <c r="O507" s="4" t="str">
        <f t="shared" si="22"/>
        <v>OTHERS</v>
      </c>
      <c r="P507" s="4" t="str">
        <f t="shared" si="23"/>
        <v>OTHERS</v>
      </c>
    </row>
    <row r="508" spans="1:16" x14ac:dyDescent="0.3">
      <c r="A508" s="4">
        <v>18</v>
      </c>
      <c r="B508" t="s">
        <v>11</v>
      </c>
      <c r="C508" s="4">
        <v>27.92</v>
      </c>
      <c r="D508" t="s">
        <v>24</v>
      </c>
      <c r="E508" t="s">
        <v>20</v>
      </c>
      <c r="F508" s="4" t="s">
        <v>14</v>
      </c>
      <c r="G508" s="4" t="s">
        <v>32</v>
      </c>
      <c r="H508" s="4">
        <v>5</v>
      </c>
      <c r="I508" s="4">
        <v>5</v>
      </c>
      <c r="J508" s="1">
        <v>45436</v>
      </c>
      <c r="K508" s="2">
        <v>1.2924768518518519E-2</v>
      </c>
      <c r="M508" s="4" t="str">
        <f t="shared" si="21"/>
        <v>LOW</v>
      </c>
      <c r="N508" s="4" t="str" cm="1">
        <f t="array" ref="N508">_xlfn.IFS(C508&gt;35,"HIGH",C508&gt;25,"MIDDLE",TRUE,"LOW")</f>
        <v>MIDDLE</v>
      </c>
      <c r="O508" s="4" t="str">
        <f t="shared" si="22"/>
        <v>OTHERS</v>
      </c>
      <c r="P508" s="4" t="str">
        <f t="shared" si="23"/>
        <v>OTHERS</v>
      </c>
    </row>
    <row r="509" spans="1:16" x14ac:dyDescent="0.3">
      <c r="A509" s="4">
        <v>22</v>
      </c>
      <c r="B509" t="s">
        <v>11</v>
      </c>
      <c r="C509" s="4">
        <v>32.82</v>
      </c>
      <c r="D509" t="s">
        <v>19</v>
      </c>
      <c r="E509" t="s">
        <v>20</v>
      </c>
      <c r="F509" s="4" t="s">
        <v>14</v>
      </c>
      <c r="G509" s="4" t="s">
        <v>32</v>
      </c>
      <c r="H509" s="4">
        <v>5</v>
      </c>
      <c r="I509" s="4">
        <v>5</v>
      </c>
      <c r="J509" s="1">
        <v>45436</v>
      </c>
      <c r="K509" s="2">
        <v>2.1298611111111112E-2</v>
      </c>
      <c r="M509" s="4" t="str">
        <f t="shared" si="21"/>
        <v>LOW</v>
      </c>
      <c r="N509" s="4" t="str" cm="1">
        <f t="array" ref="N509">_xlfn.IFS(C509&gt;35,"HIGH",C509&gt;25,"MIDDLE",TRUE,"LOW")</f>
        <v>MIDDLE</v>
      </c>
      <c r="O509" s="4" t="str">
        <f t="shared" si="22"/>
        <v>OTHERS</v>
      </c>
      <c r="P509" s="4" t="str">
        <f t="shared" si="23"/>
        <v>OTHERS</v>
      </c>
    </row>
    <row r="510" spans="1:16" x14ac:dyDescent="0.3">
      <c r="A510" s="4">
        <v>12</v>
      </c>
      <c r="B510" t="s">
        <v>11</v>
      </c>
      <c r="C510" s="4">
        <v>37.72</v>
      </c>
      <c r="D510" t="s">
        <v>12</v>
      </c>
      <c r="E510" t="s">
        <v>17</v>
      </c>
      <c r="F510" s="4" t="s">
        <v>22</v>
      </c>
      <c r="G510" s="4" t="s">
        <v>32</v>
      </c>
      <c r="H510" s="4">
        <v>6</v>
      </c>
      <c r="I510" s="4">
        <v>5</v>
      </c>
      <c r="J510" s="1">
        <v>45437</v>
      </c>
      <c r="K510" s="2">
        <v>9.6458333333333326E-3</v>
      </c>
      <c r="M510" s="4" t="str">
        <f t="shared" si="21"/>
        <v>HIGH</v>
      </c>
      <c r="N510" s="4" t="str" cm="1">
        <f t="array" ref="N510">_xlfn.IFS(C510&gt;35,"HIGH",C510&gt;25,"MIDDLE",TRUE,"LOW")</f>
        <v>HIGH</v>
      </c>
      <c r="O510" s="4" t="str">
        <f t="shared" si="22"/>
        <v>OTHERS</v>
      </c>
      <c r="P510" s="4" t="str">
        <f t="shared" si="23"/>
        <v>PREMINUM MORNING</v>
      </c>
    </row>
    <row r="511" spans="1:16" x14ac:dyDescent="0.3">
      <c r="A511" s="4">
        <v>12</v>
      </c>
      <c r="B511" t="s">
        <v>11</v>
      </c>
      <c r="C511" s="4">
        <v>32.82</v>
      </c>
      <c r="D511" t="s">
        <v>19</v>
      </c>
      <c r="E511" t="s">
        <v>17</v>
      </c>
      <c r="F511" s="4" t="s">
        <v>22</v>
      </c>
      <c r="G511" s="4" t="s">
        <v>32</v>
      </c>
      <c r="H511" s="4">
        <v>6</v>
      </c>
      <c r="I511" s="4">
        <v>5</v>
      </c>
      <c r="J511" s="1">
        <v>45437</v>
      </c>
      <c r="K511" s="2">
        <v>2.928587962962963E-2</v>
      </c>
      <c r="M511" s="4" t="str">
        <f t="shared" si="21"/>
        <v>LOW</v>
      </c>
      <c r="N511" s="4" t="str" cm="1">
        <f t="array" ref="N511">_xlfn.IFS(C511&gt;35,"HIGH",C511&gt;25,"MIDDLE",TRUE,"LOW")</f>
        <v>MIDDLE</v>
      </c>
      <c r="O511" s="4" t="str">
        <f t="shared" si="22"/>
        <v>OTHERS</v>
      </c>
      <c r="P511" s="4" t="str">
        <f t="shared" si="23"/>
        <v>OTHERS</v>
      </c>
    </row>
    <row r="512" spans="1:16" x14ac:dyDescent="0.3">
      <c r="A512" s="4">
        <v>12</v>
      </c>
      <c r="B512" t="s">
        <v>11</v>
      </c>
      <c r="C512" s="4">
        <v>32.82</v>
      </c>
      <c r="D512" t="s">
        <v>19</v>
      </c>
      <c r="E512" t="s">
        <v>17</v>
      </c>
      <c r="F512" s="4" t="s">
        <v>22</v>
      </c>
      <c r="G512" s="4" t="s">
        <v>32</v>
      </c>
      <c r="H512" s="4">
        <v>6</v>
      </c>
      <c r="I512" s="4">
        <v>5</v>
      </c>
      <c r="J512" s="1">
        <v>45437</v>
      </c>
      <c r="K512" s="2">
        <v>3.00150462962963E-2</v>
      </c>
      <c r="M512" s="4" t="str">
        <f t="shared" si="21"/>
        <v>LOW</v>
      </c>
      <c r="N512" s="4" t="str" cm="1">
        <f t="array" ref="N512">_xlfn.IFS(C512&gt;35,"HIGH",C512&gt;25,"MIDDLE",TRUE,"LOW")</f>
        <v>MIDDLE</v>
      </c>
      <c r="O512" s="4" t="str">
        <f t="shared" si="22"/>
        <v>OTHERS</v>
      </c>
      <c r="P512" s="4" t="str">
        <f t="shared" si="23"/>
        <v>OTHERS</v>
      </c>
    </row>
    <row r="513" spans="1:16" x14ac:dyDescent="0.3">
      <c r="A513" s="4">
        <v>12</v>
      </c>
      <c r="B513" t="s">
        <v>11</v>
      </c>
      <c r="C513" s="4">
        <v>32.82</v>
      </c>
      <c r="D513" t="s">
        <v>19</v>
      </c>
      <c r="E513" t="s">
        <v>17</v>
      </c>
      <c r="F513" s="4" t="s">
        <v>22</v>
      </c>
      <c r="G513" s="4" t="s">
        <v>32</v>
      </c>
      <c r="H513" s="4">
        <v>6</v>
      </c>
      <c r="I513" s="4">
        <v>5</v>
      </c>
      <c r="J513" s="1">
        <v>45437</v>
      </c>
      <c r="K513" s="2">
        <v>4.0416666666666663E-2</v>
      </c>
      <c r="M513" s="4" t="str">
        <f t="shared" si="21"/>
        <v>LOW</v>
      </c>
      <c r="N513" s="4" t="str" cm="1">
        <f t="array" ref="N513">_xlfn.IFS(C513&gt;35,"HIGH",C513&gt;25,"MIDDLE",TRUE,"LOW")</f>
        <v>MIDDLE</v>
      </c>
      <c r="O513" s="4" t="str">
        <f t="shared" si="22"/>
        <v>OTHERS</v>
      </c>
      <c r="P513" s="4" t="str">
        <f t="shared" si="23"/>
        <v>OTHERS</v>
      </c>
    </row>
    <row r="514" spans="1:16" x14ac:dyDescent="0.3">
      <c r="A514" s="4">
        <v>16</v>
      </c>
      <c r="B514" t="s">
        <v>11</v>
      </c>
      <c r="C514" s="4">
        <v>32.82</v>
      </c>
      <c r="D514" t="s">
        <v>19</v>
      </c>
      <c r="E514" t="s">
        <v>17</v>
      </c>
      <c r="F514" s="4" t="s">
        <v>22</v>
      </c>
      <c r="G514" s="4" t="s">
        <v>32</v>
      </c>
      <c r="H514" s="4">
        <v>6</v>
      </c>
      <c r="I514" s="4">
        <v>5</v>
      </c>
      <c r="J514" s="1">
        <v>45437</v>
      </c>
      <c r="K514" s="2">
        <v>3.2750000000000001E-2</v>
      </c>
      <c r="M514" s="4" t="str">
        <f t="shared" si="21"/>
        <v>LOW</v>
      </c>
      <c r="N514" s="4" t="str" cm="1">
        <f t="array" ref="N514">_xlfn.IFS(C514&gt;35,"HIGH",C514&gt;25,"MIDDLE",TRUE,"LOW")</f>
        <v>MIDDLE</v>
      </c>
      <c r="O514" s="4" t="str">
        <f t="shared" si="22"/>
        <v>OTHERS</v>
      </c>
      <c r="P514" s="4" t="str">
        <f t="shared" si="23"/>
        <v>OTHERS</v>
      </c>
    </row>
    <row r="515" spans="1:16" x14ac:dyDescent="0.3">
      <c r="A515" s="4">
        <v>16</v>
      </c>
      <c r="B515" t="s">
        <v>11</v>
      </c>
      <c r="C515" s="4">
        <v>27.92</v>
      </c>
      <c r="D515" t="s">
        <v>18</v>
      </c>
      <c r="E515" t="s">
        <v>17</v>
      </c>
      <c r="F515" s="4" t="s">
        <v>22</v>
      </c>
      <c r="G515" s="4" t="s">
        <v>32</v>
      </c>
      <c r="H515" s="4">
        <v>6</v>
      </c>
      <c r="I515" s="4">
        <v>5</v>
      </c>
      <c r="J515" s="1">
        <v>45437</v>
      </c>
      <c r="K515" s="2">
        <v>3.3527777777777781E-2</v>
      </c>
      <c r="M515" s="4" t="str">
        <f t="shared" ref="M515:M578" si="24">IF(C515&gt;35,"HIGH","LOW")</f>
        <v>LOW</v>
      </c>
      <c r="N515" s="4" t="str" cm="1">
        <f t="array" ref="N515">_xlfn.IFS(C515&gt;35,"HIGH",C515&gt;25,"MIDDLE",TRUE,"LOW")</f>
        <v>MIDDLE</v>
      </c>
      <c r="O515" s="4" t="str">
        <f t="shared" ref="O515:O578" si="25">IF(AND(C515&gt;35,E515="MORNING"),"PREMINUM MORNING","OTHERS")</f>
        <v>OTHERS</v>
      </c>
      <c r="P515" s="4" t="str">
        <f t="shared" ref="P515:P578" si="26">IF(OR(C515&gt;35,E515="MORNING"),"PREMINUM MORNING","OTHERS")</f>
        <v>OTHERS</v>
      </c>
    </row>
    <row r="516" spans="1:16" x14ac:dyDescent="0.3">
      <c r="A516" s="4">
        <v>10</v>
      </c>
      <c r="B516" t="s">
        <v>11</v>
      </c>
      <c r="C516" s="4">
        <v>37.72</v>
      </c>
      <c r="D516" t="s">
        <v>12</v>
      </c>
      <c r="E516" t="s">
        <v>13</v>
      </c>
      <c r="F516" s="4" t="s">
        <v>23</v>
      </c>
      <c r="G516" s="4" t="s">
        <v>32</v>
      </c>
      <c r="H516" s="4">
        <v>7</v>
      </c>
      <c r="I516" s="4">
        <v>5</v>
      </c>
      <c r="J516" s="1">
        <v>45438</v>
      </c>
      <c r="K516" s="2">
        <v>1.3914351851851853E-2</v>
      </c>
      <c r="M516" s="4" t="str">
        <f t="shared" si="24"/>
        <v>HIGH</v>
      </c>
      <c r="N516" s="4" t="str" cm="1">
        <f t="array" ref="N516">_xlfn.IFS(C516&gt;35,"HIGH",C516&gt;25,"MIDDLE",TRUE,"LOW")</f>
        <v>HIGH</v>
      </c>
      <c r="O516" s="4" t="str">
        <f t="shared" si="25"/>
        <v>PREMINUM MORNING</v>
      </c>
      <c r="P516" s="4" t="str">
        <f t="shared" si="26"/>
        <v>PREMINUM MORNING</v>
      </c>
    </row>
    <row r="517" spans="1:16" x14ac:dyDescent="0.3">
      <c r="A517" s="4">
        <v>14</v>
      </c>
      <c r="B517" t="s">
        <v>11</v>
      </c>
      <c r="C517" s="4">
        <v>32.82</v>
      </c>
      <c r="D517" t="s">
        <v>19</v>
      </c>
      <c r="E517" t="s">
        <v>17</v>
      </c>
      <c r="F517" s="4" t="s">
        <v>23</v>
      </c>
      <c r="G517" s="4" t="s">
        <v>32</v>
      </c>
      <c r="H517" s="4">
        <v>7</v>
      </c>
      <c r="I517" s="4">
        <v>5</v>
      </c>
      <c r="J517" s="1">
        <v>45438</v>
      </c>
      <c r="K517" s="2">
        <v>1.7243055555555557E-2</v>
      </c>
      <c r="M517" s="4" t="str">
        <f t="shared" si="24"/>
        <v>LOW</v>
      </c>
      <c r="N517" s="4" t="str" cm="1">
        <f t="array" ref="N517">_xlfn.IFS(C517&gt;35,"HIGH",C517&gt;25,"MIDDLE",TRUE,"LOW")</f>
        <v>MIDDLE</v>
      </c>
      <c r="O517" s="4" t="str">
        <f t="shared" si="25"/>
        <v>OTHERS</v>
      </c>
      <c r="P517" s="4" t="str">
        <f t="shared" si="26"/>
        <v>OTHERS</v>
      </c>
    </row>
    <row r="518" spans="1:16" x14ac:dyDescent="0.3">
      <c r="A518" s="4">
        <v>14</v>
      </c>
      <c r="B518" t="s">
        <v>11</v>
      </c>
      <c r="C518" s="4">
        <v>27.92</v>
      </c>
      <c r="D518" t="s">
        <v>24</v>
      </c>
      <c r="E518" t="s">
        <v>17</v>
      </c>
      <c r="F518" s="4" t="s">
        <v>23</v>
      </c>
      <c r="G518" s="4" t="s">
        <v>32</v>
      </c>
      <c r="H518" s="4">
        <v>7</v>
      </c>
      <c r="I518" s="4">
        <v>5</v>
      </c>
      <c r="J518" s="1">
        <v>45438</v>
      </c>
      <c r="K518" s="2">
        <v>1.8115740740740741E-2</v>
      </c>
      <c r="M518" s="4" t="str">
        <f t="shared" si="24"/>
        <v>LOW</v>
      </c>
      <c r="N518" s="4" t="str" cm="1">
        <f t="array" ref="N518">_xlfn.IFS(C518&gt;35,"HIGH",C518&gt;25,"MIDDLE",TRUE,"LOW")</f>
        <v>MIDDLE</v>
      </c>
      <c r="O518" s="4" t="str">
        <f t="shared" si="25"/>
        <v>OTHERS</v>
      </c>
      <c r="P518" s="4" t="str">
        <f t="shared" si="26"/>
        <v>OTHERS</v>
      </c>
    </row>
    <row r="519" spans="1:16" x14ac:dyDescent="0.3">
      <c r="A519" s="4">
        <v>14</v>
      </c>
      <c r="B519" t="s">
        <v>11</v>
      </c>
      <c r="C519" s="4">
        <v>32.82</v>
      </c>
      <c r="D519" t="s">
        <v>19</v>
      </c>
      <c r="E519" t="s">
        <v>17</v>
      </c>
      <c r="F519" s="4" t="s">
        <v>23</v>
      </c>
      <c r="G519" s="4" t="s">
        <v>32</v>
      </c>
      <c r="H519" s="4">
        <v>7</v>
      </c>
      <c r="I519" s="4">
        <v>5</v>
      </c>
      <c r="J519" s="1">
        <v>45438</v>
      </c>
      <c r="K519" s="2">
        <v>2.845949074074074E-2</v>
      </c>
      <c r="M519" s="4" t="str">
        <f t="shared" si="24"/>
        <v>LOW</v>
      </c>
      <c r="N519" s="4" t="str" cm="1">
        <f t="array" ref="N519">_xlfn.IFS(C519&gt;35,"HIGH",C519&gt;25,"MIDDLE",TRUE,"LOW")</f>
        <v>MIDDLE</v>
      </c>
      <c r="O519" s="4" t="str">
        <f t="shared" si="25"/>
        <v>OTHERS</v>
      </c>
      <c r="P519" s="4" t="str">
        <f t="shared" si="26"/>
        <v>OTHERS</v>
      </c>
    </row>
    <row r="520" spans="1:16" x14ac:dyDescent="0.3">
      <c r="A520" s="4">
        <v>17</v>
      </c>
      <c r="B520" t="s">
        <v>11</v>
      </c>
      <c r="C520" s="4">
        <v>37.72</v>
      </c>
      <c r="D520" t="s">
        <v>29</v>
      </c>
      <c r="E520" t="s">
        <v>20</v>
      </c>
      <c r="F520" s="4" t="s">
        <v>23</v>
      </c>
      <c r="G520" s="4" t="s">
        <v>32</v>
      </c>
      <c r="H520" s="4">
        <v>7</v>
      </c>
      <c r="I520" s="4">
        <v>5</v>
      </c>
      <c r="J520" s="1">
        <v>45438</v>
      </c>
      <c r="K520" s="2">
        <v>1.3373842592592593E-2</v>
      </c>
      <c r="M520" s="4" t="str">
        <f t="shared" si="24"/>
        <v>HIGH</v>
      </c>
      <c r="N520" s="4" t="str" cm="1">
        <f t="array" ref="N520">_xlfn.IFS(C520&gt;35,"HIGH",C520&gt;25,"MIDDLE",TRUE,"LOW")</f>
        <v>HIGH</v>
      </c>
      <c r="O520" s="4" t="str">
        <f t="shared" si="25"/>
        <v>OTHERS</v>
      </c>
      <c r="P520" s="4" t="str">
        <f t="shared" si="26"/>
        <v>PREMINUM MORNING</v>
      </c>
    </row>
    <row r="521" spans="1:16" x14ac:dyDescent="0.3">
      <c r="A521" s="4">
        <v>18</v>
      </c>
      <c r="B521" t="s">
        <v>11</v>
      </c>
      <c r="C521" s="4">
        <v>37.72</v>
      </c>
      <c r="D521" t="s">
        <v>16</v>
      </c>
      <c r="E521" t="s">
        <v>20</v>
      </c>
      <c r="F521" s="4" t="s">
        <v>23</v>
      </c>
      <c r="G521" s="4" t="s">
        <v>32</v>
      </c>
      <c r="H521" s="4">
        <v>7</v>
      </c>
      <c r="I521" s="4">
        <v>5</v>
      </c>
      <c r="J521" s="1">
        <v>45438</v>
      </c>
      <c r="K521" s="2">
        <v>6.8611111111111104E-3</v>
      </c>
      <c r="M521" s="4" t="str">
        <f t="shared" si="24"/>
        <v>HIGH</v>
      </c>
      <c r="N521" s="4" t="str" cm="1">
        <f t="array" ref="N521">_xlfn.IFS(C521&gt;35,"HIGH",C521&gt;25,"MIDDLE",TRUE,"LOW")</f>
        <v>HIGH</v>
      </c>
      <c r="O521" s="4" t="str">
        <f t="shared" si="25"/>
        <v>OTHERS</v>
      </c>
      <c r="P521" s="4" t="str">
        <f t="shared" si="26"/>
        <v>PREMINUM MORNING</v>
      </c>
    </row>
    <row r="522" spans="1:16" x14ac:dyDescent="0.3">
      <c r="A522" s="4">
        <v>18</v>
      </c>
      <c r="B522" t="s">
        <v>11</v>
      </c>
      <c r="C522" s="4">
        <v>37.72</v>
      </c>
      <c r="D522" t="s">
        <v>16</v>
      </c>
      <c r="E522" t="s">
        <v>20</v>
      </c>
      <c r="F522" s="4" t="s">
        <v>23</v>
      </c>
      <c r="G522" s="4" t="s">
        <v>32</v>
      </c>
      <c r="H522" s="4">
        <v>7</v>
      </c>
      <c r="I522" s="4">
        <v>5</v>
      </c>
      <c r="J522" s="1">
        <v>45438</v>
      </c>
      <c r="K522" s="2">
        <v>7.6643518518518527E-3</v>
      </c>
      <c r="M522" s="4" t="str">
        <f t="shared" si="24"/>
        <v>HIGH</v>
      </c>
      <c r="N522" s="4" t="str" cm="1">
        <f t="array" ref="N522">_xlfn.IFS(C522&gt;35,"HIGH",C522&gt;25,"MIDDLE",TRUE,"LOW")</f>
        <v>HIGH</v>
      </c>
      <c r="O522" s="4" t="str">
        <f t="shared" si="25"/>
        <v>OTHERS</v>
      </c>
      <c r="P522" s="4" t="str">
        <f t="shared" si="26"/>
        <v>PREMINUM MORNING</v>
      </c>
    </row>
    <row r="523" spans="1:16" x14ac:dyDescent="0.3">
      <c r="A523" s="4">
        <v>18</v>
      </c>
      <c r="B523" t="s">
        <v>11</v>
      </c>
      <c r="C523" s="4">
        <v>27.92</v>
      </c>
      <c r="D523" t="s">
        <v>18</v>
      </c>
      <c r="E523" t="s">
        <v>20</v>
      </c>
      <c r="F523" s="4" t="s">
        <v>23</v>
      </c>
      <c r="G523" s="4" t="s">
        <v>32</v>
      </c>
      <c r="H523" s="4">
        <v>7</v>
      </c>
      <c r="I523" s="4">
        <v>5</v>
      </c>
      <c r="J523" s="1">
        <v>45438</v>
      </c>
      <c r="K523" s="2">
        <v>9.1932870370370363E-3</v>
      </c>
      <c r="M523" s="4" t="str">
        <f t="shared" si="24"/>
        <v>LOW</v>
      </c>
      <c r="N523" s="4" t="str" cm="1">
        <f t="array" ref="N523">_xlfn.IFS(C523&gt;35,"HIGH",C523&gt;25,"MIDDLE",TRUE,"LOW")</f>
        <v>MIDDLE</v>
      </c>
      <c r="O523" s="4" t="str">
        <f t="shared" si="25"/>
        <v>OTHERS</v>
      </c>
      <c r="P523" s="4" t="str">
        <f t="shared" si="26"/>
        <v>OTHERS</v>
      </c>
    </row>
    <row r="524" spans="1:16" x14ac:dyDescent="0.3">
      <c r="A524" s="4">
        <v>18</v>
      </c>
      <c r="B524" t="s">
        <v>11</v>
      </c>
      <c r="C524" s="4">
        <v>37.72</v>
      </c>
      <c r="D524" t="s">
        <v>12</v>
      </c>
      <c r="E524" t="s">
        <v>20</v>
      </c>
      <c r="F524" s="4" t="s">
        <v>23</v>
      </c>
      <c r="G524" s="4" t="s">
        <v>32</v>
      </c>
      <c r="H524" s="4">
        <v>7</v>
      </c>
      <c r="I524" s="4">
        <v>5</v>
      </c>
      <c r="J524" s="1">
        <v>45438</v>
      </c>
      <c r="K524" s="2">
        <v>2.7300925925925926E-2</v>
      </c>
      <c r="M524" s="4" t="str">
        <f t="shared" si="24"/>
        <v>HIGH</v>
      </c>
      <c r="N524" s="4" t="str" cm="1">
        <f t="array" ref="N524">_xlfn.IFS(C524&gt;35,"HIGH",C524&gt;25,"MIDDLE",TRUE,"LOW")</f>
        <v>HIGH</v>
      </c>
      <c r="O524" s="4" t="str">
        <f t="shared" si="25"/>
        <v>OTHERS</v>
      </c>
      <c r="P524" s="4" t="str">
        <f t="shared" si="26"/>
        <v>PREMINUM MORNING</v>
      </c>
    </row>
    <row r="525" spans="1:16" x14ac:dyDescent="0.3">
      <c r="A525" s="4">
        <v>20</v>
      </c>
      <c r="B525" t="s">
        <v>11</v>
      </c>
      <c r="C525" s="4">
        <v>37.72</v>
      </c>
      <c r="D525" t="s">
        <v>16</v>
      </c>
      <c r="E525" t="s">
        <v>20</v>
      </c>
      <c r="F525" s="4" t="s">
        <v>23</v>
      </c>
      <c r="G525" s="4" t="s">
        <v>32</v>
      </c>
      <c r="H525" s="4">
        <v>7</v>
      </c>
      <c r="I525" s="4">
        <v>5</v>
      </c>
      <c r="J525" s="1">
        <v>45438</v>
      </c>
      <c r="K525" s="2">
        <v>4.1145833333333333E-2</v>
      </c>
      <c r="M525" s="4" t="str">
        <f t="shared" si="24"/>
        <v>HIGH</v>
      </c>
      <c r="N525" s="4" t="str" cm="1">
        <f t="array" ref="N525">_xlfn.IFS(C525&gt;35,"HIGH",C525&gt;25,"MIDDLE",TRUE,"LOW")</f>
        <v>HIGH</v>
      </c>
      <c r="O525" s="4" t="str">
        <f t="shared" si="25"/>
        <v>OTHERS</v>
      </c>
      <c r="P525" s="4" t="str">
        <f t="shared" si="26"/>
        <v>PREMINUM MORNING</v>
      </c>
    </row>
    <row r="526" spans="1:16" x14ac:dyDescent="0.3">
      <c r="A526" s="4">
        <v>21</v>
      </c>
      <c r="B526" t="s">
        <v>11</v>
      </c>
      <c r="C526" s="4">
        <v>37.72</v>
      </c>
      <c r="D526" t="s">
        <v>29</v>
      </c>
      <c r="E526" t="s">
        <v>20</v>
      </c>
      <c r="F526" s="4" t="s">
        <v>23</v>
      </c>
      <c r="G526" s="4" t="s">
        <v>32</v>
      </c>
      <c r="H526" s="4">
        <v>7</v>
      </c>
      <c r="I526" s="4">
        <v>5</v>
      </c>
      <c r="J526" s="1">
        <v>45438</v>
      </c>
      <c r="K526" s="2">
        <v>6.4814814814814816E-5</v>
      </c>
      <c r="M526" s="4" t="str">
        <f t="shared" si="24"/>
        <v>HIGH</v>
      </c>
      <c r="N526" s="4" t="str" cm="1">
        <f t="array" ref="N526">_xlfn.IFS(C526&gt;35,"HIGH",C526&gt;25,"MIDDLE",TRUE,"LOW")</f>
        <v>HIGH</v>
      </c>
      <c r="O526" s="4" t="str">
        <f t="shared" si="25"/>
        <v>OTHERS</v>
      </c>
      <c r="P526" s="4" t="str">
        <f t="shared" si="26"/>
        <v>PREMINUM MORNING</v>
      </c>
    </row>
    <row r="527" spans="1:16" x14ac:dyDescent="0.3">
      <c r="A527" s="4">
        <v>21</v>
      </c>
      <c r="B527" t="s">
        <v>11</v>
      </c>
      <c r="C527" s="4">
        <v>27.92</v>
      </c>
      <c r="D527" t="s">
        <v>24</v>
      </c>
      <c r="E527" t="s">
        <v>20</v>
      </c>
      <c r="F527" s="4" t="s">
        <v>23</v>
      </c>
      <c r="G527" s="4" t="s">
        <v>32</v>
      </c>
      <c r="H527" s="4">
        <v>7</v>
      </c>
      <c r="I527" s="4">
        <v>5</v>
      </c>
      <c r="J527" s="1">
        <v>45438</v>
      </c>
      <c r="K527" s="2">
        <v>1.8159722222222223E-3</v>
      </c>
      <c r="M527" s="4" t="str">
        <f t="shared" si="24"/>
        <v>LOW</v>
      </c>
      <c r="N527" s="4" t="str" cm="1">
        <f t="array" ref="N527">_xlfn.IFS(C527&gt;35,"HIGH",C527&gt;25,"MIDDLE",TRUE,"LOW")</f>
        <v>MIDDLE</v>
      </c>
      <c r="O527" s="4" t="str">
        <f t="shared" si="25"/>
        <v>OTHERS</v>
      </c>
      <c r="P527" s="4" t="str">
        <f t="shared" si="26"/>
        <v>OTHERS</v>
      </c>
    </row>
    <row r="528" spans="1:16" x14ac:dyDescent="0.3">
      <c r="A528" s="4">
        <v>21</v>
      </c>
      <c r="B528" t="s">
        <v>11</v>
      </c>
      <c r="C528" s="4">
        <v>37.72</v>
      </c>
      <c r="D528" t="s">
        <v>29</v>
      </c>
      <c r="E528" t="s">
        <v>20</v>
      </c>
      <c r="F528" s="4" t="s">
        <v>23</v>
      </c>
      <c r="G528" s="4" t="s">
        <v>32</v>
      </c>
      <c r="H528" s="4">
        <v>7</v>
      </c>
      <c r="I528" s="4">
        <v>5</v>
      </c>
      <c r="J528" s="1">
        <v>45438</v>
      </c>
      <c r="K528" s="2">
        <v>2.6828703703703706E-3</v>
      </c>
      <c r="M528" s="4" t="str">
        <f t="shared" si="24"/>
        <v>HIGH</v>
      </c>
      <c r="N528" s="4" t="str" cm="1">
        <f t="array" ref="N528">_xlfn.IFS(C528&gt;35,"HIGH",C528&gt;25,"MIDDLE",TRUE,"LOW")</f>
        <v>HIGH</v>
      </c>
      <c r="O528" s="4" t="str">
        <f t="shared" si="25"/>
        <v>OTHERS</v>
      </c>
      <c r="P528" s="4" t="str">
        <f t="shared" si="26"/>
        <v>PREMINUM MORNING</v>
      </c>
    </row>
    <row r="529" spans="1:16" x14ac:dyDescent="0.3">
      <c r="A529" s="4">
        <v>21</v>
      </c>
      <c r="B529" t="s">
        <v>11</v>
      </c>
      <c r="C529" s="4">
        <v>37.72</v>
      </c>
      <c r="D529" t="s">
        <v>12</v>
      </c>
      <c r="E529" t="s">
        <v>20</v>
      </c>
      <c r="F529" s="4" t="s">
        <v>23</v>
      </c>
      <c r="G529" s="4" t="s">
        <v>32</v>
      </c>
      <c r="H529" s="4">
        <v>7</v>
      </c>
      <c r="I529" s="4">
        <v>5</v>
      </c>
      <c r="J529" s="1">
        <v>45438</v>
      </c>
      <c r="K529" s="2">
        <v>3.4583333333333337E-3</v>
      </c>
      <c r="M529" s="4" t="str">
        <f t="shared" si="24"/>
        <v>HIGH</v>
      </c>
      <c r="N529" s="4" t="str" cm="1">
        <f t="array" ref="N529">_xlfn.IFS(C529&gt;35,"HIGH",C529&gt;25,"MIDDLE",TRUE,"LOW")</f>
        <v>HIGH</v>
      </c>
      <c r="O529" s="4" t="str">
        <f t="shared" si="25"/>
        <v>OTHERS</v>
      </c>
      <c r="P529" s="4" t="str">
        <f t="shared" si="26"/>
        <v>PREMINUM MORNING</v>
      </c>
    </row>
    <row r="530" spans="1:16" x14ac:dyDescent="0.3">
      <c r="A530" s="4">
        <v>21</v>
      </c>
      <c r="B530" t="s">
        <v>11</v>
      </c>
      <c r="C530" s="4">
        <v>37.72</v>
      </c>
      <c r="D530" t="s">
        <v>29</v>
      </c>
      <c r="E530" t="s">
        <v>20</v>
      </c>
      <c r="F530" s="4" t="s">
        <v>23</v>
      </c>
      <c r="G530" s="4" t="s">
        <v>32</v>
      </c>
      <c r="H530" s="4">
        <v>7</v>
      </c>
      <c r="I530" s="4">
        <v>5</v>
      </c>
      <c r="J530" s="1">
        <v>45438</v>
      </c>
      <c r="K530" s="2">
        <v>4.1967592592592595E-3</v>
      </c>
      <c r="M530" s="4" t="str">
        <f t="shared" si="24"/>
        <v>HIGH</v>
      </c>
      <c r="N530" s="4" t="str" cm="1">
        <f t="array" ref="N530">_xlfn.IFS(C530&gt;35,"HIGH",C530&gt;25,"MIDDLE",TRUE,"LOW")</f>
        <v>HIGH</v>
      </c>
      <c r="O530" s="4" t="str">
        <f t="shared" si="25"/>
        <v>OTHERS</v>
      </c>
      <c r="P530" s="4" t="str">
        <f t="shared" si="26"/>
        <v>PREMINUM MORNING</v>
      </c>
    </row>
    <row r="531" spans="1:16" x14ac:dyDescent="0.3">
      <c r="A531" s="4">
        <v>11</v>
      </c>
      <c r="B531" t="s">
        <v>11</v>
      </c>
      <c r="C531" s="4">
        <v>27.92</v>
      </c>
      <c r="D531" t="s">
        <v>18</v>
      </c>
      <c r="E531" t="s">
        <v>13</v>
      </c>
      <c r="F531" s="4" t="s">
        <v>25</v>
      </c>
      <c r="G531" s="4" t="s">
        <v>32</v>
      </c>
      <c r="H531" s="4">
        <v>1</v>
      </c>
      <c r="I531" s="4">
        <v>5</v>
      </c>
      <c r="J531" s="1">
        <v>45439</v>
      </c>
      <c r="K531" s="2">
        <v>2.4251157407407409E-2</v>
      </c>
      <c r="M531" s="4" t="str">
        <f t="shared" si="24"/>
        <v>LOW</v>
      </c>
      <c r="N531" s="4" t="str" cm="1">
        <f t="array" ref="N531">_xlfn.IFS(C531&gt;35,"HIGH",C531&gt;25,"MIDDLE",TRUE,"LOW")</f>
        <v>MIDDLE</v>
      </c>
      <c r="O531" s="4" t="str">
        <f t="shared" si="25"/>
        <v>OTHERS</v>
      </c>
      <c r="P531" s="4" t="str">
        <f t="shared" si="26"/>
        <v>PREMINUM MORNING</v>
      </c>
    </row>
    <row r="532" spans="1:16" x14ac:dyDescent="0.3">
      <c r="A532" s="4">
        <v>14</v>
      </c>
      <c r="B532" t="s">
        <v>11</v>
      </c>
      <c r="C532" s="4">
        <v>32.82</v>
      </c>
      <c r="D532" t="s">
        <v>19</v>
      </c>
      <c r="E532" t="s">
        <v>17</v>
      </c>
      <c r="F532" s="4" t="s">
        <v>25</v>
      </c>
      <c r="G532" s="4" t="s">
        <v>32</v>
      </c>
      <c r="H532" s="4">
        <v>1</v>
      </c>
      <c r="I532" s="4">
        <v>5</v>
      </c>
      <c r="J532" s="1">
        <v>45439</v>
      </c>
      <c r="K532" s="2">
        <v>3.7233796296296294E-3</v>
      </c>
      <c r="M532" s="4" t="str">
        <f t="shared" si="24"/>
        <v>LOW</v>
      </c>
      <c r="N532" s="4" t="str" cm="1">
        <f t="array" ref="N532">_xlfn.IFS(C532&gt;35,"HIGH",C532&gt;25,"MIDDLE",TRUE,"LOW")</f>
        <v>MIDDLE</v>
      </c>
      <c r="O532" s="4" t="str">
        <f t="shared" si="25"/>
        <v>OTHERS</v>
      </c>
      <c r="P532" s="4" t="str">
        <f t="shared" si="26"/>
        <v>OTHERS</v>
      </c>
    </row>
    <row r="533" spans="1:16" x14ac:dyDescent="0.3">
      <c r="A533" s="4">
        <v>14</v>
      </c>
      <c r="B533" t="s">
        <v>11</v>
      </c>
      <c r="C533" s="4">
        <v>37.72</v>
      </c>
      <c r="D533" t="s">
        <v>21</v>
      </c>
      <c r="E533" t="s">
        <v>17</v>
      </c>
      <c r="F533" s="4" t="s">
        <v>25</v>
      </c>
      <c r="G533" s="4" t="s">
        <v>32</v>
      </c>
      <c r="H533" s="4">
        <v>1</v>
      </c>
      <c r="I533" s="4">
        <v>5</v>
      </c>
      <c r="J533" s="1">
        <v>45439</v>
      </c>
      <c r="K533" s="2">
        <v>4.6712962962962967E-3</v>
      </c>
      <c r="M533" s="4" t="str">
        <f t="shared" si="24"/>
        <v>HIGH</v>
      </c>
      <c r="N533" s="4" t="str" cm="1">
        <f t="array" ref="N533">_xlfn.IFS(C533&gt;35,"HIGH",C533&gt;25,"MIDDLE",TRUE,"LOW")</f>
        <v>HIGH</v>
      </c>
      <c r="O533" s="4" t="str">
        <f t="shared" si="25"/>
        <v>OTHERS</v>
      </c>
      <c r="P533" s="4" t="str">
        <f t="shared" si="26"/>
        <v>PREMINUM MORNING</v>
      </c>
    </row>
    <row r="534" spans="1:16" x14ac:dyDescent="0.3">
      <c r="A534" s="4">
        <v>15</v>
      </c>
      <c r="B534" t="s">
        <v>11</v>
      </c>
      <c r="C534" s="4">
        <v>27.92</v>
      </c>
      <c r="D534" t="s">
        <v>18</v>
      </c>
      <c r="E534" t="s">
        <v>17</v>
      </c>
      <c r="F534" s="4" t="s">
        <v>25</v>
      </c>
      <c r="G534" s="4" t="s">
        <v>32</v>
      </c>
      <c r="H534" s="4">
        <v>1</v>
      </c>
      <c r="I534" s="4">
        <v>5</v>
      </c>
      <c r="J534" s="1">
        <v>45439</v>
      </c>
      <c r="K534" s="2">
        <v>8.0335648148148146E-3</v>
      </c>
      <c r="M534" s="4" t="str">
        <f t="shared" si="24"/>
        <v>LOW</v>
      </c>
      <c r="N534" s="4" t="str" cm="1">
        <f t="array" ref="N534">_xlfn.IFS(C534&gt;35,"HIGH",C534&gt;25,"MIDDLE",TRUE,"LOW")</f>
        <v>MIDDLE</v>
      </c>
      <c r="O534" s="4" t="str">
        <f t="shared" si="25"/>
        <v>OTHERS</v>
      </c>
      <c r="P534" s="4" t="str">
        <f t="shared" si="26"/>
        <v>OTHERS</v>
      </c>
    </row>
    <row r="535" spans="1:16" x14ac:dyDescent="0.3">
      <c r="A535" s="4">
        <v>15</v>
      </c>
      <c r="B535" t="s">
        <v>11</v>
      </c>
      <c r="C535" s="4">
        <v>27.92</v>
      </c>
      <c r="D535" t="s">
        <v>18</v>
      </c>
      <c r="E535" t="s">
        <v>17</v>
      </c>
      <c r="F535" s="4" t="s">
        <v>25</v>
      </c>
      <c r="G535" s="4" t="s">
        <v>32</v>
      </c>
      <c r="H535" s="4">
        <v>1</v>
      </c>
      <c r="I535" s="4">
        <v>5</v>
      </c>
      <c r="J535" s="1">
        <v>45439</v>
      </c>
      <c r="K535" s="2">
        <v>9.7893518518518512E-3</v>
      </c>
      <c r="M535" s="4" t="str">
        <f t="shared" si="24"/>
        <v>LOW</v>
      </c>
      <c r="N535" s="4" t="str" cm="1">
        <f t="array" ref="N535">_xlfn.IFS(C535&gt;35,"HIGH",C535&gt;25,"MIDDLE",TRUE,"LOW")</f>
        <v>MIDDLE</v>
      </c>
      <c r="O535" s="4" t="str">
        <f t="shared" si="25"/>
        <v>OTHERS</v>
      </c>
      <c r="P535" s="4" t="str">
        <f t="shared" si="26"/>
        <v>OTHERS</v>
      </c>
    </row>
    <row r="536" spans="1:16" x14ac:dyDescent="0.3">
      <c r="A536" s="4">
        <v>17</v>
      </c>
      <c r="B536" t="s">
        <v>11</v>
      </c>
      <c r="C536" s="4">
        <v>37.72</v>
      </c>
      <c r="D536" t="s">
        <v>12</v>
      </c>
      <c r="E536" t="s">
        <v>20</v>
      </c>
      <c r="F536" s="4" t="s">
        <v>25</v>
      </c>
      <c r="G536" s="4" t="s">
        <v>32</v>
      </c>
      <c r="H536" s="4">
        <v>1</v>
      </c>
      <c r="I536" s="4">
        <v>5</v>
      </c>
      <c r="J536" s="1">
        <v>45439</v>
      </c>
      <c r="K536" s="2">
        <v>3.5368055555555555E-2</v>
      </c>
      <c r="M536" s="4" t="str">
        <f t="shared" si="24"/>
        <v>HIGH</v>
      </c>
      <c r="N536" s="4" t="str" cm="1">
        <f t="array" ref="N536">_xlfn.IFS(C536&gt;35,"HIGH",C536&gt;25,"MIDDLE",TRUE,"LOW")</f>
        <v>HIGH</v>
      </c>
      <c r="O536" s="4" t="str">
        <f t="shared" si="25"/>
        <v>OTHERS</v>
      </c>
      <c r="P536" s="4" t="str">
        <f t="shared" si="26"/>
        <v>PREMINUM MORNING</v>
      </c>
    </row>
    <row r="537" spans="1:16" x14ac:dyDescent="0.3">
      <c r="A537" s="4">
        <v>18</v>
      </c>
      <c r="B537" t="s">
        <v>11</v>
      </c>
      <c r="C537" s="4">
        <v>27.92</v>
      </c>
      <c r="D537" t="s">
        <v>18</v>
      </c>
      <c r="E537" t="s">
        <v>20</v>
      </c>
      <c r="F537" s="4" t="s">
        <v>25</v>
      </c>
      <c r="G537" s="4" t="s">
        <v>32</v>
      </c>
      <c r="H537" s="4">
        <v>1</v>
      </c>
      <c r="I537" s="4">
        <v>5</v>
      </c>
      <c r="J537" s="1">
        <v>45439</v>
      </c>
      <c r="K537" s="2">
        <v>5.9027777777777778E-4</v>
      </c>
      <c r="M537" s="4" t="str">
        <f t="shared" si="24"/>
        <v>LOW</v>
      </c>
      <c r="N537" s="4" t="str" cm="1">
        <f t="array" ref="N537">_xlfn.IFS(C537&gt;35,"HIGH",C537&gt;25,"MIDDLE",TRUE,"LOW")</f>
        <v>MIDDLE</v>
      </c>
      <c r="O537" s="4" t="str">
        <f t="shared" si="25"/>
        <v>OTHERS</v>
      </c>
      <c r="P537" s="4" t="str">
        <f t="shared" si="26"/>
        <v>OTHERS</v>
      </c>
    </row>
    <row r="538" spans="1:16" x14ac:dyDescent="0.3">
      <c r="A538" s="4">
        <v>19</v>
      </c>
      <c r="B538" t="s">
        <v>11</v>
      </c>
      <c r="C538" s="4">
        <v>37.72</v>
      </c>
      <c r="D538" t="s">
        <v>12</v>
      </c>
      <c r="E538" t="s">
        <v>20</v>
      </c>
      <c r="F538" s="4" t="s">
        <v>25</v>
      </c>
      <c r="G538" s="4" t="s">
        <v>32</v>
      </c>
      <c r="H538" s="4">
        <v>1</v>
      </c>
      <c r="I538" s="4">
        <v>5</v>
      </c>
      <c r="J538" s="1">
        <v>45439</v>
      </c>
      <c r="K538" s="2">
        <v>1.1428240740740741E-2</v>
      </c>
      <c r="M538" s="4" t="str">
        <f t="shared" si="24"/>
        <v>HIGH</v>
      </c>
      <c r="N538" s="4" t="str" cm="1">
        <f t="array" ref="N538">_xlfn.IFS(C538&gt;35,"HIGH",C538&gt;25,"MIDDLE",TRUE,"LOW")</f>
        <v>HIGH</v>
      </c>
      <c r="O538" s="4" t="str">
        <f t="shared" si="25"/>
        <v>OTHERS</v>
      </c>
      <c r="P538" s="4" t="str">
        <f t="shared" si="26"/>
        <v>PREMINUM MORNING</v>
      </c>
    </row>
    <row r="539" spans="1:16" x14ac:dyDescent="0.3">
      <c r="A539" s="4">
        <v>19</v>
      </c>
      <c r="B539" t="s">
        <v>11</v>
      </c>
      <c r="C539" s="4">
        <v>37.72</v>
      </c>
      <c r="D539" t="s">
        <v>12</v>
      </c>
      <c r="E539" t="s">
        <v>20</v>
      </c>
      <c r="F539" s="4" t="s">
        <v>25</v>
      </c>
      <c r="G539" s="4" t="s">
        <v>32</v>
      </c>
      <c r="H539" s="4">
        <v>1</v>
      </c>
      <c r="I539" s="4">
        <v>5</v>
      </c>
      <c r="J539" s="1">
        <v>45439</v>
      </c>
      <c r="K539" s="2">
        <v>1.2253472222222223E-2</v>
      </c>
      <c r="M539" s="4" t="str">
        <f t="shared" si="24"/>
        <v>HIGH</v>
      </c>
      <c r="N539" s="4" t="str" cm="1">
        <f t="array" ref="N539">_xlfn.IFS(C539&gt;35,"HIGH",C539&gt;25,"MIDDLE",TRUE,"LOW")</f>
        <v>HIGH</v>
      </c>
      <c r="O539" s="4" t="str">
        <f t="shared" si="25"/>
        <v>OTHERS</v>
      </c>
      <c r="P539" s="4" t="str">
        <f t="shared" si="26"/>
        <v>PREMINUM MORNING</v>
      </c>
    </row>
    <row r="540" spans="1:16" x14ac:dyDescent="0.3">
      <c r="A540" s="4">
        <v>21</v>
      </c>
      <c r="B540" t="s">
        <v>11</v>
      </c>
      <c r="C540" s="4">
        <v>32.82</v>
      </c>
      <c r="D540" t="s">
        <v>19</v>
      </c>
      <c r="E540" t="s">
        <v>20</v>
      </c>
      <c r="F540" s="4" t="s">
        <v>25</v>
      </c>
      <c r="G540" s="4" t="s">
        <v>32</v>
      </c>
      <c r="H540" s="4">
        <v>1</v>
      </c>
      <c r="I540" s="4">
        <v>5</v>
      </c>
      <c r="J540" s="1">
        <v>45439</v>
      </c>
      <c r="K540" s="2">
        <v>2.0221064814814813E-2</v>
      </c>
      <c r="M540" s="4" t="str">
        <f t="shared" si="24"/>
        <v>LOW</v>
      </c>
      <c r="N540" s="4" t="str" cm="1">
        <f t="array" ref="N540">_xlfn.IFS(C540&gt;35,"HIGH",C540&gt;25,"MIDDLE",TRUE,"LOW")</f>
        <v>MIDDLE</v>
      </c>
      <c r="O540" s="4" t="str">
        <f t="shared" si="25"/>
        <v>OTHERS</v>
      </c>
      <c r="P540" s="4" t="str">
        <f t="shared" si="26"/>
        <v>OTHERS</v>
      </c>
    </row>
    <row r="541" spans="1:16" x14ac:dyDescent="0.3">
      <c r="A541" s="4">
        <v>21</v>
      </c>
      <c r="B541" t="s">
        <v>11</v>
      </c>
      <c r="C541" s="4">
        <v>37.72</v>
      </c>
      <c r="D541" t="s">
        <v>29</v>
      </c>
      <c r="E541" t="s">
        <v>20</v>
      </c>
      <c r="F541" s="4" t="s">
        <v>25</v>
      </c>
      <c r="G541" s="4" t="s">
        <v>32</v>
      </c>
      <c r="H541" s="4">
        <v>1</v>
      </c>
      <c r="I541" s="4">
        <v>5</v>
      </c>
      <c r="J541" s="1">
        <v>45439</v>
      </c>
      <c r="K541" s="2">
        <v>2.1062499999999998E-2</v>
      </c>
      <c r="M541" s="4" t="str">
        <f t="shared" si="24"/>
        <v>HIGH</v>
      </c>
      <c r="N541" s="4" t="str" cm="1">
        <f t="array" ref="N541">_xlfn.IFS(C541&gt;35,"HIGH",C541&gt;25,"MIDDLE",TRUE,"LOW")</f>
        <v>HIGH</v>
      </c>
      <c r="O541" s="4" t="str">
        <f t="shared" si="25"/>
        <v>OTHERS</v>
      </c>
      <c r="P541" s="4" t="str">
        <f t="shared" si="26"/>
        <v>PREMINUM MORNING</v>
      </c>
    </row>
    <row r="542" spans="1:16" x14ac:dyDescent="0.3">
      <c r="A542" s="4">
        <v>8</v>
      </c>
      <c r="B542" t="s">
        <v>11</v>
      </c>
      <c r="C542" s="4">
        <v>32.82</v>
      </c>
      <c r="D542" t="s">
        <v>19</v>
      </c>
      <c r="E542" t="s">
        <v>13</v>
      </c>
      <c r="F542" s="4" t="s">
        <v>27</v>
      </c>
      <c r="G542" s="4" t="s">
        <v>32</v>
      </c>
      <c r="H542" s="4">
        <v>2</v>
      </c>
      <c r="I542" s="4">
        <v>5</v>
      </c>
      <c r="J542" s="1">
        <v>45440</v>
      </c>
      <c r="K542" s="2">
        <v>2.5798611111111112E-2</v>
      </c>
      <c r="M542" s="4" t="str">
        <f t="shared" si="24"/>
        <v>LOW</v>
      </c>
      <c r="N542" s="4" t="str" cm="1">
        <f t="array" ref="N542">_xlfn.IFS(C542&gt;35,"HIGH",C542&gt;25,"MIDDLE",TRUE,"LOW")</f>
        <v>MIDDLE</v>
      </c>
      <c r="O542" s="4" t="str">
        <f t="shared" si="25"/>
        <v>OTHERS</v>
      </c>
      <c r="P542" s="4" t="str">
        <f t="shared" si="26"/>
        <v>PREMINUM MORNING</v>
      </c>
    </row>
    <row r="543" spans="1:16" x14ac:dyDescent="0.3">
      <c r="A543" s="4">
        <v>9</v>
      </c>
      <c r="B543" t="s">
        <v>11</v>
      </c>
      <c r="C543" s="4">
        <v>32.82</v>
      </c>
      <c r="D543" t="s">
        <v>19</v>
      </c>
      <c r="E543" t="s">
        <v>13</v>
      </c>
      <c r="F543" s="4" t="s">
        <v>27</v>
      </c>
      <c r="G543" s="4" t="s">
        <v>32</v>
      </c>
      <c r="H543" s="4">
        <v>2</v>
      </c>
      <c r="I543" s="4">
        <v>5</v>
      </c>
      <c r="J543" s="1">
        <v>45440</v>
      </c>
      <c r="K543" s="2">
        <v>1.4012731481481482E-2</v>
      </c>
      <c r="M543" s="4" t="str">
        <f t="shared" si="24"/>
        <v>LOW</v>
      </c>
      <c r="N543" s="4" t="str" cm="1">
        <f t="array" ref="N543">_xlfn.IFS(C543&gt;35,"HIGH",C543&gt;25,"MIDDLE",TRUE,"LOW")</f>
        <v>MIDDLE</v>
      </c>
      <c r="O543" s="4" t="str">
        <f t="shared" si="25"/>
        <v>OTHERS</v>
      </c>
      <c r="P543" s="4" t="str">
        <f t="shared" si="26"/>
        <v>PREMINUM MORNING</v>
      </c>
    </row>
    <row r="544" spans="1:16" x14ac:dyDescent="0.3">
      <c r="A544" s="4">
        <v>11</v>
      </c>
      <c r="B544" t="s">
        <v>11</v>
      </c>
      <c r="C544" s="4">
        <v>37.72</v>
      </c>
      <c r="D544" t="s">
        <v>29</v>
      </c>
      <c r="E544" t="s">
        <v>13</v>
      </c>
      <c r="F544" s="4" t="s">
        <v>27</v>
      </c>
      <c r="G544" s="4" t="s">
        <v>32</v>
      </c>
      <c r="H544" s="4">
        <v>2</v>
      </c>
      <c r="I544" s="4">
        <v>5</v>
      </c>
      <c r="J544" s="1">
        <v>45440</v>
      </c>
      <c r="K544" s="2">
        <v>3.3547453703703704E-2</v>
      </c>
      <c r="M544" s="4" t="str">
        <f t="shared" si="24"/>
        <v>HIGH</v>
      </c>
      <c r="N544" s="4" t="str" cm="1">
        <f t="array" ref="N544">_xlfn.IFS(C544&gt;35,"HIGH",C544&gt;25,"MIDDLE",TRUE,"LOW")</f>
        <v>HIGH</v>
      </c>
      <c r="O544" s="4" t="str">
        <f t="shared" si="25"/>
        <v>PREMINUM MORNING</v>
      </c>
      <c r="P544" s="4" t="str">
        <f t="shared" si="26"/>
        <v>PREMINUM MORNING</v>
      </c>
    </row>
    <row r="545" spans="1:16" x14ac:dyDescent="0.3">
      <c r="A545" s="4">
        <v>13</v>
      </c>
      <c r="B545" t="s">
        <v>11</v>
      </c>
      <c r="C545" s="4">
        <v>37.72</v>
      </c>
      <c r="D545" t="s">
        <v>29</v>
      </c>
      <c r="E545" t="s">
        <v>17</v>
      </c>
      <c r="F545" s="4" t="s">
        <v>27</v>
      </c>
      <c r="G545" s="4" t="s">
        <v>32</v>
      </c>
      <c r="H545" s="4">
        <v>2</v>
      </c>
      <c r="I545" s="4">
        <v>5</v>
      </c>
      <c r="J545" s="1">
        <v>45440</v>
      </c>
      <c r="K545" s="2">
        <v>1.0189814814814815E-2</v>
      </c>
      <c r="M545" s="4" t="str">
        <f t="shared" si="24"/>
        <v>HIGH</v>
      </c>
      <c r="N545" s="4" t="str" cm="1">
        <f t="array" ref="N545">_xlfn.IFS(C545&gt;35,"HIGH",C545&gt;25,"MIDDLE",TRUE,"LOW")</f>
        <v>HIGH</v>
      </c>
      <c r="O545" s="4" t="str">
        <f t="shared" si="25"/>
        <v>OTHERS</v>
      </c>
      <c r="P545" s="4" t="str">
        <f t="shared" si="26"/>
        <v>PREMINUM MORNING</v>
      </c>
    </row>
    <row r="546" spans="1:16" x14ac:dyDescent="0.3">
      <c r="A546" s="4">
        <v>14</v>
      </c>
      <c r="B546" t="s">
        <v>11</v>
      </c>
      <c r="C546" s="4">
        <v>37.72</v>
      </c>
      <c r="D546" t="s">
        <v>21</v>
      </c>
      <c r="E546" t="s">
        <v>17</v>
      </c>
      <c r="F546" s="4" t="s">
        <v>27</v>
      </c>
      <c r="G546" s="4" t="s">
        <v>32</v>
      </c>
      <c r="H546" s="4">
        <v>2</v>
      </c>
      <c r="I546" s="4">
        <v>5</v>
      </c>
      <c r="J546" s="1">
        <v>45440</v>
      </c>
      <c r="K546" s="2">
        <v>7.5659722222222231E-3</v>
      </c>
      <c r="M546" s="4" t="str">
        <f t="shared" si="24"/>
        <v>HIGH</v>
      </c>
      <c r="N546" s="4" t="str" cm="1">
        <f t="array" ref="N546">_xlfn.IFS(C546&gt;35,"HIGH",C546&gt;25,"MIDDLE",TRUE,"LOW")</f>
        <v>HIGH</v>
      </c>
      <c r="O546" s="4" t="str">
        <f t="shared" si="25"/>
        <v>OTHERS</v>
      </c>
      <c r="P546" s="4" t="str">
        <f t="shared" si="26"/>
        <v>PREMINUM MORNING</v>
      </c>
    </row>
    <row r="547" spans="1:16" x14ac:dyDescent="0.3">
      <c r="A547" s="4">
        <v>16</v>
      </c>
      <c r="B547" t="s">
        <v>11</v>
      </c>
      <c r="C547" s="4">
        <v>27.92</v>
      </c>
      <c r="D547" t="s">
        <v>24</v>
      </c>
      <c r="E547" t="s">
        <v>17</v>
      </c>
      <c r="F547" s="4" t="s">
        <v>27</v>
      </c>
      <c r="G547" s="4" t="s">
        <v>32</v>
      </c>
      <c r="H547" s="4">
        <v>2</v>
      </c>
      <c r="I547" s="4">
        <v>5</v>
      </c>
      <c r="J547" s="1">
        <v>45440</v>
      </c>
      <c r="K547" s="2">
        <v>1.7815972222222223E-2</v>
      </c>
      <c r="M547" s="4" t="str">
        <f t="shared" si="24"/>
        <v>LOW</v>
      </c>
      <c r="N547" s="4" t="str" cm="1">
        <f t="array" ref="N547">_xlfn.IFS(C547&gt;35,"HIGH",C547&gt;25,"MIDDLE",TRUE,"LOW")</f>
        <v>MIDDLE</v>
      </c>
      <c r="O547" s="4" t="str">
        <f t="shared" si="25"/>
        <v>OTHERS</v>
      </c>
      <c r="P547" s="4" t="str">
        <f t="shared" si="26"/>
        <v>OTHERS</v>
      </c>
    </row>
    <row r="548" spans="1:16" x14ac:dyDescent="0.3">
      <c r="A548" s="4">
        <v>19</v>
      </c>
      <c r="B548" t="s">
        <v>11</v>
      </c>
      <c r="C548" s="4">
        <v>27.92</v>
      </c>
      <c r="D548" t="s">
        <v>18</v>
      </c>
      <c r="E548" t="s">
        <v>20</v>
      </c>
      <c r="F548" s="4" t="s">
        <v>27</v>
      </c>
      <c r="G548" s="4" t="s">
        <v>32</v>
      </c>
      <c r="H548" s="4">
        <v>2</v>
      </c>
      <c r="I548" s="4">
        <v>5</v>
      </c>
      <c r="J548" s="1">
        <v>45440</v>
      </c>
      <c r="K548" s="2">
        <v>6.5868055555555558E-3</v>
      </c>
      <c r="M548" s="4" t="str">
        <f t="shared" si="24"/>
        <v>LOW</v>
      </c>
      <c r="N548" s="4" t="str" cm="1">
        <f t="array" ref="N548">_xlfn.IFS(C548&gt;35,"HIGH",C548&gt;25,"MIDDLE",TRUE,"LOW")</f>
        <v>MIDDLE</v>
      </c>
      <c r="O548" s="4" t="str">
        <f t="shared" si="25"/>
        <v>OTHERS</v>
      </c>
      <c r="P548" s="4" t="str">
        <f t="shared" si="26"/>
        <v>OTHERS</v>
      </c>
    </row>
    <row r="549" spans="1:16" x14ac:dyDescent="0.3">
      <c r="A549" s="4">
        <v>19</v>
      </c>
      <c r="B549" t="s">
        <v>11</v>
      </c>
      <c r="C549" s="4">
        <v>37.72</v>
      </c>
      <c r="D549" t="s">
        <v>12</v>
      </c>
      <c r="E549" t="s">
        <v>20</v>
      </c>
      <c r="F549" s="4" t="s">
        <v>27</v>
      </c>
      <c r="G549" s="4" t="s">
        <v>32</v>
      </c>
      <c r="H549" s="4">
        <v>2</v>
      </c>
      <c r="I549" s="4">
        <v>5</v>
      </c>
      <c r="J549" s="1">
        <v>45440</v>
      </c>
      <c r="K549" s="2">
        <v>7.3043981481481484E-3</v>
      </c>
      <c r="M549" s="4" t="str">
        <f t="shared" si="24"/>
        <v>HIGH</v>
      </c>
      <c r="N549" s="4" t="str" cm="1">
        <f t="array" ref="N549">_xlfn.IFS(C549&gt;35,"HIGH",C549&gt;25,"MIDDLE",TRUE,"LOW")</f>
        <v>HIGH</v>
      </c>
      <c r="O549" s="4" t="str">
        <f t="shared" si="25"/>
        <v>OTHERS</v>
      </c>
      <c r="P549" s="4" t="str">
        <f t="shared" si="26"/>
        <v>PREMINUM MORNING</v>
      </c>
    </row>
    <row r="550" spans="1:16" x14ac:dyDescent="0.3">
      <c r="A550" s="4">
        <v>20</v>
      </c>
      <c r="B550" t="s">
        <v>11</v>
      </c>
      <c r="C550" s="4">
        <v>32.82</v>
      </c>
      <c r="D550" t="s">
        <v>19</v>
      </c>
      <c r="E550" t="s">
        <v>20</v>
      </c>
      <c r="F550" s="4" t="s">
        <v>27</v>
      </c>
      <c r="G550" s="4" t="s">
        <v>32</v>
      </c>
      <c r="H550" s="4">
        <v>2</v>
      </c>
      <c r="I550" s="4">
        <v>5</v>
      </c>
      <c r="J550" s="1">
        <v>45440</v>
      </c>
      <c r="K550" s="2">
        <v>1.7039351851851851E-2</v>
      </c>
      <c r="M550" s="4" t="str">
        <f t="shared" si="24"/>
        <v>LOW</v>
      </c>
      <c r="N550" s="4" t="str" cm="1">
        <f t="array" ref="N550">_xlfn.IFS(C550&gt;35,"HIGH",C550&gt;25,"MIDDLE",TRUE,"LOW")</f>
        <v>MIDDLE</v>
      </c>
      <c r="O550" s="4" t="str">
        <f t="shared" si="25"/>
        <v>OTHERS</v>
      </c>
      <c r="P550" s="4" t="str">
        <f t="shared" si="26"/>
        <v>OTHERS</v>
      </c>
    </row>
    <row r="551" spans="1:16" x14ac:dyDescent="0.3">
      <c r="A551" s="4">
        <v>20</v>
      </c>
      <c r="B551" t="s">
        <v>11</v>
      </c>
      <c r="C551" s="4">
        <v>27.92</v>
      </c>
      <c r="D551" t="s">
        <v>18</v>
      </c>
      <c r="E551" t="s">
        <v>20</v>
      </c>
      <c r="F551" s="4" t="s">
        <v>27</v>
      </c>
      <c r="G551" s="4" t="s">
        <v>32</v>
      </c>
      <c r="H551" s="4">
        <v>2</v>
      </c>
      <c r="I551" s="4">
        <v>5</v>
      </c>
      <c r="J551" s="1">
        <v>45440</v>
      </c>
      <c r="K551" s="2">
        <v>3.4946759259259261E-2</v>
      </c>
      <c r="M551" s="4" t="str">
        <f t="shared" si="24"/>
        <v>LOW</v>
      </c>
      <c r="N551" s="4" t="str" cm="1">
        <f t="array" ref="N551">_xlfn.IFS(C551&gt;35,"HIGH",C551&gt;25,"MIDDLE",TRUE,"LOW")</f>
        <v>MIDDLE</v>
      </c>
      <c r="O551" s="4" t="str">
        <f t="shared" si="25"/>
        <v>OTHERS</v>
      </c>
      <c r="P551" s="4" t="str">
        <f t="shared" si="26"/>
        <v>OTHERS</v>
      </c>
    </row>
    <row r="552" spans="1:16" x14ac:dyDescent="0.3">
      <c r="A552" s="4">
        <v>9</v>
      </c>
      <c r="B552" t="s">
        <v>11</v>
      </c>
      <c r="C552" s="4">
        <v>37.72</v>
      </c>
      <c r="D552" t="s">
        <v>12</v>
      </c>
      <c r="E552" t="s">
        <v>13</v>
      </c>
      <c r="F552" s="4" t="s">
        <v>28</v>
      </c>
      <c r="G552" s="4" t="s">
        <v>32</v>
      </c>
      <c r="H552" s="4">
        <v>3</v>
      </c>
      <c r="I552" s="4">
        <v>5</v>
      </c>
      <c r="J552" s="1">
        <v>45441</v>
      </c>
      <c r="K552" s="2">
        <v>1.022800925925926E-2</v>
      </c>
      <c r="M552" s="4" t="str">
        <f t="shared" si="24"/>
        <v>HIGH</v>
      </c>
      <c r="N552" s="4" t="str" cm="1">
        <f t="array" ref="N552">_xlfn.IFS(C552&gt;35,"HIGH",C552&gt;25,"MIDDLE",TRUE,"LOW")</f>
        <v>HIGH</v>
      </c>
      <c r="O552" s="4" t="str">
        <f t="shared" si="25"/>
        <v>PREMINUM MORNING</v>
      </c>
      <c r="P552" s="4" t="str">
        <f t="shared" si="26"/>
        <v>PREMINUM MORNING</v>
      </c>
    </row>
    <row r="553" spans="1:16" x14ac:dyDescent="0.3">
      <c r="A553" s="4">
        <v>11</v>
      </c>
      <c r="B553" t="s">
        <v>11</v>
      </c>
      <c r="C553" s="4">
        <v>37.72</v>
      </c>
      <c r="D553" t="s">
        <v>16</v>
      </c>
      <c r="E553" t="s">
        <v>13</v>
      </c>
      <c r="F553" s="4" t="s">
        <v>28</v>
      </c>
      <c r="G553" s="4" t="s">
        <v>32</v>
      </c>
      <c r="H553" s="4">
        <v>3</v>
      </c>
      <c r="I553" s="4">
        <v>5</v>
      </c>
      <c r="J553" s="1">
        <v>45441</v>
      </c>
      <c r="K553" s="2">
        <v>9.7557870370370368E-3</v>
      </c>
      <c r="M553" s="4" t="str">
        <f t="shared" si="24"/>
        <v>HIGH</v>
      </c>
      <c r="N553" s="4" t="str" cm="1">
        <f t="array" ref="N553">_xlfn.IFS(C553&gt;35,"HIGH",C553&gt;25,"MIDDLE",TRUE,"LOW")</f>
        <v>HIGH</v>
      </c>
      <c r="O553" s="4" t="str">
        <f t="shared" si="25"/>
        <v>PREMINUM MORNING</v>
      </c>
      <c r="P553" s="4" t="str">
        <f t="shared" si="26"/>
        <v>PREMINUM MORNING</v>
      </c>
    </row>
    <row r="554" spans="1:16" x14ac:dyDescent="0.3">
      <c r="A554" s="4">
        <v>15</v>
      </c>
      <c r="B554" t="s">
        <v>11</v>
      </c>
      <c r="C554" s="4">
        <v>27.92</v>
      </c>
      <c r="D554" t="s">
        <v>18</v>
      </c>
      <c r="E554" t="s">
        <v>17</v>
      </c>
      <c r="F554" s="4" t="s">
        <v>28</v>
      </c>
      <c r="G554" s="4" t="s">
        <v>32</v>
      </c>
      <c r="H554" s="4">
        <v>3</v>
      </c>
      <c r="I554" s="4">
        <v>5</v>
      </c>
      <c r="J554" s="1">
        <v>45441</v>
      </c>
      <c r="K554" s="2">
        <v>7.5057870370370374E-3</v>
      </c>
      <c r="M554" s="4" t="str">
        <f t="shared" si="24"/>
        <v>LOW</v>
      </c>
      <c r="N554" s="4" t="str" cm="1">
        <f t="array" ref="N554">_xlfn.IFS(C554&gt;35,"HIGH",C554&gt;25,"MIDDLE",TRUE,"LOW")</f>
        <v>MIDDLE</v>
      </c>
      <c r="O554" s="4" t="str">
        <f t="shared" si="25"/>
        <v>OTHERS</v>
      </c>
      <c r="P554" s="4" t="str">
        <f t="shared" si="26"/>
        <v>OTHERS</v>
      </c>
    </row>
    <row r="555" spans="1:16" x14ac:dyDescent="0.3">
      <c r="A555" s="4">
        <v>15</v>
      </c>
      <c r="B555" t="s">
        <v>11</v>
      </c>
      <c r="C555" s="4">
        <v>37.72</v>
      </c>
      <c r="D555" t="s">
        <v>12</v>
      </c>
      <c r="E555" t="s">
        <v>17</v>
      </c>
      <c r="F555" s="4" t="s">
        <v>28</v>
      </c>
      <c r="G555" s="4" t="s">
        <v>32</v>
      </c>
      <c r="H555" s="4">
        <v>3</v>
      </c>
      <c r="I555" s="4">
        <v>5</v>
      </c>
      <c r="J555" s="1">
        <v>45441</v>
      </c>
      <c r="K555" s="2">
        <v>1.5929398148148147E-2</v>
      </c>
      <c r="M555" s="4" t="str">
        <f t="shared" si="24"/>
        <v>HIGH</v>
      </c>
      <c r="N555" s="4" t="str" cm="1">
        <f t="array" ref="N555">_xlfn.IFS(C555&gt;35,"HIGH",C555&gt;25,"MIDDLE",TRUE,"LOW")</f>
        <v>HIGH</v>
      </c>
      <c r="O555" s="4" t="str">
        <f t="shared" si="25"/>
        <v>OTHERS</v>
      </c>
      <c r="P555" s="4" t="str">
        <f t="shared" si="26"/>
        <v>PREMINUM MORNING</v>
      </c>
    </row>
    <row r="556" spans="1:16" x14ac:dyDescent="0.3">
      <c r="A556" s="4">
        <v>15</v>
      </c>
      <c r="B556" t="s">
        <v>11</v>
      </c>
      <c r="C556" s="4">
        <v>37.72</v>
      </c>
      <c r="D556" t="s">
        <v>29</v>
      </c>
      <c r="E556" t="s">
        <v>17</v>
      </c>
      <c r="F556" s="4" t="s">
        <v>28</v>
      </c>
      <c r="G556" s="4" t="s">
        <v>32</v>
      </c>
      <c r="H556" s="4">
        <v>3</v>
      </c>
      <c r="I556" s="4">
        <v>5</v>
      </c>
      <c r="J556" s="1">
        <v>45441</v>
      </c>
      <c r="K556" s="2">
        <v>3.1396990740740739E-2</v>
      </c>
      <c r="M556" s="4" t="str">
        <f t="shared" si="24"/>
        <v>HIGH</v>
      </c>
      <c r="N556" s="4" t="str" cm="1">
        <f t="array" ref="N556">_xlfn.IFS(C556&gt;35,"HIGH",C556&gt;25,"MIDDLE",TRUE,"LOW")</f>
        <v>HIGH</v>
      </c>
      <c r="O556" s="4" t="str">
        <f t="shared" si="25"/>
        <v>OTHERS</v>
      </c>
      <c r="P556" s="4" t="str">
        <f t="shared" si="26"/>
        <v>PREMINUM MORNING</v>
      </c>
    </row>
    <row r="557" spans="1:16" x14ac:dyDescent="0.3">
      <c r="A557" s="4">
        <v>16</v>
      </c>
      <c r="B557" t="s">
        <v>11</v>
      </c>
      <c r="C557" s="4">
        <v>37.72</v>
      </c>
      <c r="D557" t="s">
        <v>12</v>
      </c>
      <c r="E557" t="s">
        <v>17</v>
      </c>
      <c r="F557" s="4" t="s">
        <v>28</v>
      </c>
      <c r="G557" s="4" t="s">
        <v>32</v>
      </c>
      <c r="H557" s="4">
        <v>3</v>
      </c>
      <c r="I557" s="4">
        <v>5</v>
      </c>
      <c r="J557" s="1">
        <v>45441</v>
      </c>
      <c r="K557" s="2">
        <v>3.1296296296296294E-2</v>
      </c>
      <c r="M557" s="4" t="str">
        <f t="shared" si="24"/>
        <v>HIGH</v>
      </c>
      <c r="N557" s="4" t="str" cm="1">
        <f t="array" ref="N557">_xlfn.IFS(C557&gt;35,"HIGH",C557&gt;25,"MIDDLE",TRUE,"LOW")</f>
        <v>HIGH</v>
      </c>
      <c r="O557" s="4" t="str">
        <f t="shared" si="25"/>
        <v>OTHERS</v>
      </c>
      <c r="P557" s="4" t="str">
        <f t="shared" si="26"/>
        <v>PREMINUM MORNING</v>
      </c>
    </row>
    <row r="558" spans="1:16" x14ac:dyDescent="0.3">
      <c r="A558" s="4">
        <v>18</v>
      </c>
      <c r="B558" t="s">
        <v>11</v>
      </c>
      <c r="C558" s="4">
        <v>27.92</v>
      </c>
      <c r="D558" t="s">
        <v>24</v>
      </c>
      <c r="E558" t="s">
        <v>20</v>
      </c>
      <c r="F558" s="4" t="s">
        <v>28</v>
      </c>
      <c r="G558" s="4" t="s">
        <v>32</v>
      </c>
      <c r="H558" s="4">
        <v>3</v>
      </c>
      <c r="I558" s="4">
        <v>5</v>
      </c>
      <c r="J558" s="1">
        <v>45441</v>
      </c>
      <c r="K558" s="2">
        <v>1.6704861111111111E-2</v>
      </c>
      <c r="M558" s="4" t="str">
        <f t="shared" si="24"/>
        <v>LOW</v>
      </c>
      <c r="N558" s="4" t="str" cm="1">
        <f t="array" ref="N558">_xlfn.IFS(C558&gt;35,"HIGH",C558&gt;25,"MIDDLE",TRUE,"LOW")</f>
        <v>MIDDLE</v>
      </c>
      <c r="O558" s="4" t="str">
        <f t="shared" si="25"/>
        <v>OTHERS</v>
      </c>
      <c r="P558" s="4" t="str">
        <f t="shared" si="26"/>
        <v>OTHERS</v>
      </c>
    </row>
    <row r="559" spans="1:16" x14ac:dyDescent="0.3">
      <c r="A559" s="4">
        <v>18</v>
      </c>
      <c r="B559" t="s">
        <v>11</v>
      </c>
      <c r="C559" s="4">
        <v>37.72</v>
      </c>
      <c r="D559" t="s">
        <v>12</v>
      </c>
      <c r="E559" t="s">
        <v>20</v>
      </c>
      <c r="F559" s="4" t="s">
        <v>28</v>
      </c>
      <c r="G559" s="4" t="s">
        <v>32</v>
      </c>
      <c r="H559" s="4">
        <v>3</v>
      </c>
      <c r="I559" s="4">
        <v>5</v>
      </c>
      <c r="J559" s="1">
        <v>45441</v>
      </c>
      <c r="K559" s="2">
        <v>1.7353009259259259E-2</v>
      </c>
      <c r="M559" s="4" t="str">
        <f t="shared" si="24"/>
        <v>HIGH</v>
      </c>
      <c r="N559" s="4" t="str" cm="1">
        <f t="array" ref="N559">_xlfn.IFS(C559&gt;35,"HIGH",C559&gt;25,"MIDDLE",TRUE,"LOW")</f>
        <v>HIGH</v>
      </c>
      <c r="O559" s="4" t="str">
        <f t="shared" si="25"/>
        <v>OTHERS</v>
      </c>
      <c r="P559" s="4" t="str">
        <f t="shared" si="26"/>
        <v>PREMINUM MORNING</v>
      </c>
    </row>
    <row r="560" spans="1:16" x14ac:dyDescent="0.3">
      <c r="A560" s="4">
        <v>20</v>
      </c>
      <c r="B560" t="s">
        <v>11</v>
      </c>
      <c r="C560" s="4">
        <v>37.72</v>
      </c>
      <c r="D560" t="s">
        <v>16</v>
      </c>
      <c r="E560" t="s">
        <v>20</v>
      </c>
      <c r="F560" s="4" t="s">
        <v>28</v>
      </c>
      <c r="G560" s="4" t="s">
        <v>32</v>
      </c>
      <c r="H560" s="4">
        <v>3</v>
      </c>
      <c r="I560" s="4">
        <v>5</v>
      </c>
      <c r="J560" s="1">
        <v>45441</v>
      </c>
      <c r="K560" s="2">
        <v>2.1321759259259259E-2</v>
      </c>
      <c r="M560" s="4" t="str">
        <f t="shared" si="24"/>
        <v>HIGH</v>
      </c>
      <c r="N560" s="4" t="str" cm="1">
        <f t="array" ref="N560">_xlfn.IFS(C560&gt;35,"HIGH",C560&gt;25,"MIDDLE",TRUE,"LOW")</f>
        <v>HIGH</v>
      </c>
      <c r="O560" s="4" t="str">
        <f t="shared" si="25"/>
        <v>OTHERS</v>
      </c>
      <c r="P560" s="4" t="str">
        <f t="shared" si="26"/>
        <v>PREMINUM MORNING</v>
      </c>
    </row>
    <row r="561" spans="1:16" x14ac:dyDescent="0.3">
      <c r="A561" s="4">
        <v>20</v>
      </c>
      <c r="B561" t="s">
        <v>11</v>
      </c>
      <c r="C561" s="4">
        <v>37.72</v>
      </c>
      <c r="D561" t="s">
        <v>21</v>
      </c>
      <c r="E561" t="s">
        <v>20</v>
      </c>
      <c r="F561" s="4" t="s">
        <v>28</v>
      </c>
      <c r="G561" s="4" t="s">
        <v>32</v>
      </c>
      <c r="H561" s="4">
        <v>3</v>
      </c>
      <c r="I561" s="4">
        <v>5</v>
      </c>
      <c r="J561" s="1">
        <v>45441</v>
      </c>
      <c r="K561" s="2">
        <v>2.2629629629629631E-2</v>
      </c>
      <c r="M561" s="4" t="str">
        <f t="shared" si="24"/>
        <v>HIGH</v>
      </c>
      <c r="N561" s="4" t="str" cm="1">
        <f t="array" ref="N561">_xlfn.IFS(C561&gt;35,"HIGH",C561&gt;25,"MIDDLE",TRUE,"LOW")</f>
        <v>HIGH</v>
      </c>
      <c r="O561" s="4" t="str">
        <f t="shared" si="25"/>
        <v>OTHERS</v>
      </c>
      <c r="P561" s="4" t="str">
        <f t="shared" si="26"/>
        <v>PREMINUM MORNING</v>
      </c>
    </row>
    <row r="562" spans="1:16" x14ac:dyDescent="0.3">
      <c r="A562" s="4">
        <v>8</v>
      </c>
      <c r="B562" t="s">
        <v>11</v>
      </c>
      <c r="C562" s="4">
        <v>37.72</v>
      </c>
      <c r="D562" t="s">
        <v>29</v>
      </c>
      <c r="E562" t="s">
        <v>13</v>
      </c>
      <c r="F562" s="4" t="s">
        <v>30</v>
      </c>
      <c r="G562" s="4" t="s">
        <v>32</v>
      </c>
      <c r="H562" s="4">
        <v>4</v>
      </c>
      <c r="I562" s="4">
        <v>5</v>
      </c>
      <c r="J562" s="1">
        <v>45442</v>
      </c>
      <c r="K562" s="2">
        <v>2.0211805555555556E-2</v>
      </c>
      <c r="M562" s="4" t="str">
        <f t="shared" si="24"/>
        <v>HIGH</v>
      </c>
      <c r="N562" s="4" t="str" cm="1">
        <f t="array" ref="N562">_xlfn.IFS(C562&gt;35,"HIGH",C562&gt;25,"MIDDLE",TRUE,"LOW")</f>
        <v>HIGH</v>
      </c>
      <c r="O562" s="4" t="str">
        <f t="shared" si="25"/>
        <v>PREMINUM MORNING</v>
      </c>
      <c r="P562" s="4" t="str">
        <f t="shared" si="26"/>
        <v>PREMINUM MORNING</v>
      </c>
    </row>
    <row r="563" spans="1:16" x14ac:dyDescent="0.3">
      <c r="A563" s="4">
        <v>8</v>
      </c>
      <c r="B563" t="s">
        <v>11</v>
      </c>
      <c r="C563" s="4">
        <v>37.72</v>
      </c>
      <c r="D563" t="s">
        <v>12</v>
      </c>
      <c r="E563" t="s">
        <v>13</v>
      </c>
      <c r="F563" s="4" t="s">
        <v>30</v>
      </c>
      <c r="G563" s="4" t="s">
        <v>32</v>
      </c>
      <c r="H563" s="4">
        <v>4</v>
      </c>
      <c r="I563" s="4">
        <v>5</v>
      </c>
      <c r="J563" s="1">
        <v>45442</v>
      </c>
      <c r="K563" s="2">
        <v>2.1083333333333332E-2</v>
      </c>
      <c r="M563" s="4" t="str">
        <f t="shared" si="24"/>
        <v>HIGH</v>
      </c>
      <c r="N563" s="4" t="str" cm="1">
        <f t="array" ref="N563">_xlfn.IFS(C563&gt;35,"HIGH",C563&gt;25,"MIDDLE",TRUE,"LOW")</f>
        <v>HIGH</v>
      </c>
      <c r="O563" s="4" t="str">
        <f t="shared" si="25"/>
        <v>PREMINUM MORNING</v>
      </c>
      <c r="P563" s="4" t="str">
        <f t="shared" si="26"/>
        <v>PREMINUM MORNING</v>
      </c>
    </row>
    <row r="564" spans="1:16" x14ac:dyDescent="0.3">
      <c r="A564" s="4">
        <v>8</v>
      </c>
      <c r="B564" t="s">
        <v>11</v>
      </c>
      <c r="C564" s="4">
        <v>32.82</v>
      </c>
      <c r="D564" t="s">
        <v>19</v>
      </c>
      <c r="E564" t="s">
        <v>13</v>
      </c>
      <c r="F564" s="4" t="s">
        <v>30</v>
      </c>
      <c r="G564" s="4" t="s">
        <v>32</v>
      </c>
      <c r="H564" s="4">
        <v>4</v>
      </c>
      <c r="I564" s="4">
        <v>5</v>
      </c>
      <c r="J564" s="1">
        <v>45442</v>
      </c>
      <c r="K564" s="2">
        <v>2.5756944444444447E-2</v>
      </c>
      <c r="M564" s="4" t="str">
        <f t="shared" si="24"/>
        <v>LOW</v>
      </c>
      <c r="N564" s="4" t="str" cm="1">
        <f t="array" ref="N564">_xlfn.IFS(C564&gt;35,"HIGH",C564&gt;25,"MIDDLE",TRUE,"LOW")</f>
        <v>MIDDLE</v>
      </c>
      <c r="O564" s="4" t="str">
        <f t="shared" si="25"/>
        <v>OTHERS</v>
      </c>
      <c r="P564" s="4" t="str">
        <f t="shared" si="26"/>
        <v>PREMINUM MORNING</v>
      </c>
    </row>
    <row r="565" spans="1:16" x14ac:dyDescent="0.3">
      <c r="A565" s="4">
        <v>9</v>
      </c>
      <c r="B565" t="s">
        <v>11</v>
      </c>
      <c r="C565" s="4">
        <v>37.72</v>
      </c>
      <c r="D565" t="s">
        <v>12</v>
      </c>
      <c r="E565" t="s">
        <v>13</v>
      </c>
      <c r="F565" s="4" t="s">
        <v>30</v>
      </c>
      <c r="G565" s="4" t="s">
        <v>32</v>
      </c>
      <c r="H565" s="4">
        <v>4</v>
      </c>
      <c r="I565" s="4">
        <v>5</v>
      </c>
      <c r="J565" s="1">
        <v>45442</v>
      </c>
      <c r="K565" s="2">
        <v>3.3322916666666667E-2</v>
      </c>
      <c r="M565" s="4" t="str">
        <f t="shared" si="24"/>
        <v>HIGH</v>
      </c>
      <c r="N565" s="4" t="str" cm="1">
        <f t="array" ref="N565">_xlfn.IFS(C565&gt;35,"HIGH",C565&gt;25,"MIDDLE",TRUE,"LOW")</f>
        <v>HIGH</v>
      </c>
      <c r="O565" s="4" t="str">
        <f t="shared" si="25"/>
        <v>PREMINUM MORNING</v>
      </c>
      <c r="P565" s="4" t="str">
        <f t="shared" si="26"/>
        <v>PREMINUM MORNING</v>
      </c>
    </row>
    <row r="566" spans="1:16" x14ac:dyDescent="0.3">
      <c r="A566" s="4">
        <v>14</v>
      </c>
      <c r="B566" t="s">
        <v>11</v>
      </c>
      <c r="C566" s="4">
        <v>32.82</v>
      </c>
      <c r="D566" t="s">
        <v>19</v>
      </c>
      <c r="E566" t="s">
        <v>17</v>
      </c>
      <c r="F566" s="4" t="s">
        <v>30</v>
      </c>
      <c r="G566" s="4" t="s">
        <v>32</v>
      </c>
      <c r="H566" s="4">
        <v>4</v>
      </c>
      <c r="I566" s="4">
        <v>5</v>
      </c>
      <c r="J566" s="1">
        <v>45442</v>
      </c>
      <c r="K566" s="2">
        <v>3.906828703703704E-2</v>
      </c>
      <c r="M566" s="4" t="str">
        <f t="shared" si="24"/>
        <v>LOW</v>
      </c>
      <c r="N566" s="4" t="str" cm="1">
        <f t="array" ref="N566">_xlfn.IFS(C566&gt;35,"HIGH",C566&gt;25,"MIDDLE",TRUE,"LOW")</f>
        <v>MIDDLE</v>
      </c>
      <c r="O566" s="4" t="str">
        <f t="shared" si="25"/>
        <v>OTHERS</v>
      </c>
      <c r="P566" s="4" t="str">
        <f t="shared" si="26"/>
        <v>OTHERS</v>
      </c>
    </row>
    <row r="567" spans="1:16" x14ac:dyDescent="0.3">
      <c r="A567" s="4">
        <v>15</v>
      </c>
      <c r="B567" t="s">
        <v>11</v>
      </c>
      <c r="C567" s="4">
        <v>23.02</v>
      </c>
      <c r="D567" t="s">
        <v>26</v>
      </c>
      <c r="E567" t="s">
        <v>17</v>
      </c>
      <c r="F567" s="4" t="s">
        <v>30</v>
      </c>
      <c r="G567" s="4" t="s">
        <v>32</v>
      </c>
      <c r="H567" s="4">
        <v>4</v>
      </c>
      <c r="I567" s="4">
        <v>5</v>
      </c>
      <c r="J567" s="1">
        <v>45442</v>
      </c>
      <c r="K567" s="2">
        <v>1.1292824074074075E-2</v>
      </c>
      <c r="M567" s="4" t="str">
        <f t="shared" si="24"/>
        <v>LOW</v>
      </c>
      <c r="N567" s="4" t="str" cm="1">
        <f t="array" ref="N567">_xlfn.IFS(C567&gt;35,"HIGH",C567&gt;25,"MIDDLE",TRUE,"LOW")</f>
        <v>LOW</v>
      </c>
      <c r="O567" s="4" t="str">
        <f t="shared" si="25"/>
        <v>OTHERS</v>
      </c>
      <c r="P567" s="4" t="str">
        <f t="shared" si="26"/>
        <v>OTHERS</v>
      </c>
    </row>
    <row r="568" spans="1:16" x14ac:dyDescent="0.3">
      <c r="A568" s="4">
        <v>15</v>
      </c>
      <c r="B568" t="s">
        <v>11</v>
      </c>
      <c r="C568" s="4">
        <v>23.02</v>
      </c>
      <c r="D568" t="s">
        <v>26</v>
      </c>
      <c r="E568" t="s">
        <v>17</v>
      </c>
      <c r="F568" s="4" t="s">
        <v>30</v>
      </c>
      <c r="G568" s="4" t="s">
        <v>32</v>
      </c>
      <c r="H568" s="4">
        <v>4</v>
      </c>
      <c r="I568" s="4">
        <v>5</v>
      </c>
      <c r="J568" s="1">
        <v>45442</v>
      </c>
      <c r="K568" s="2">
        <v>1.2253472222222223E-2</v>
      </c>
      <c r="M568" s="4" t="str">
        <f t="shared" si="24"/>
        <v>LOW</v>
      </c>
      <c r="N568" s="4" t="str" cm="1">
        <f t="array" ref="N568">_xlfn.IFS(C568&gt;35,"HIGH",C568&gt;25,"MIDDLE",TRUE,"LOW")</f>
        <v>LOW</v>
      </c>
      <c r="O568" s="4" t="str">
        <f t="shared" si="25"/>
        <v>OTHERS</v>
      </c>
      <c r="P568" s="4" t="str">
        <f t="shared" si="26"/>
        <v>OTHERS</v>
      </c>
    </row>
    <row r="569" spans="1:16" x14ac:dyDescent="0.3">
      <c r="A569" s="4">
        <v>19</v>
      </c>
      <c r="B569" t="s">
        <v>11</v>
      </c>
      <c r="C569" s="4">
        <v>37.72</v>
      </c>
      <c r="D569" t="s">
        <v>29</v>
      </c>
      <c r="E569" t="s">
        <v>20</v>
      </c>
      <c r="F569" s="4" t="s">
        <v>30</v>
      </c>
      <c r="G569" s="4" t="s">
        <v>32</v>
      </c>
      <c r="H569" s="4">
        <v>4</v>
      </c>
      <c r="I569" s="4">
        <v>5</v>
      </c>
      <c r="J569" s="1">
        <v>45442</v>
      </c>
      <c r="K569" s="2">
        <v>3.6935185185185182E-2</v>
      </c>
      <c r="M569" s="4" t="str">
        <f t="shared" si="24"/>
        <v>HIGH</v>
      </c>
      <c r="N569" s="4" t="str" cm="1">
        <f t="array" ref="N569">_xlfn.IFS(C569&gt;35,"HIGH",C569&gt;25,"MIDDLE",TRUE,"LOW")</f>
        <v>HIGH</v>
      </c>
      <c r="O569" s="4" t="str">
        <f t="shared" si="25"/>
        <v>OTHERS</v>
      </c>
      <c r="P569" s="4" t="str">
        <f t="shared" si="26"/>
        <v>PREMINUM MORNING</v>
      </c>
    </row>
    <row r="570" spans="1:16" x14ac:dyDescent="0.3">
      <c r="A570" s="4">
        <v>20</v>
      </c>
      <c r="B570" t="s">
        <v>11</v>
      </c>
      <c r="C570" s="4">
        <v>37.72</v>
      </c>
      <c r="D570" t="s">
        <v>12</v>
      </c>
      <c r="E570" t="s">
        <v>20</v>
      </c>
      <c r="F570" s="4" t="s">
        <v>30</v>
      </c>
      <c r="G570" s="4" t="s">
        <v>32</v>
      </c>
      <c r="H570" s="4">
        <v>4</v>
      </c>
      <c r="I570" s="4">
        <v>5</v>
      </c>
      <c r="J570" s="1">
        <v>45442</v>
      </c>
      <c r="K570" s="2">
        <v>2.1590277777777778E-2</v>
      </c>
      <c r="M570" s="4" t="str">
        <f t="shared" si="24"/>
        <v>HIGH</v>
      </c>
      <c r="N570" s="4" t="str" cm="1">
        <f t="array" ref="N570">_xlfn.IFS(C570&gt;35,"HIGH",C570&gt;25,"MIDDLE",TRUE,"LOW")</f>
        <v>HIGH</v>
      </c>
      <c r="O570" s="4" t="str">
        <f t="shared" si="25"/>
        <v>OTHERS</v>
      </c>
      <c r="P570" s="4" t="str">
        <f t="shared" si="26"/>
        <v>PREMINUM MORNING</v>
      </c>
    </row>
    <row r="571" spans="1:16" x14ac:dyDescent="0.3">
      <c r="A571" s="4">
        <v>20</v>
      </c>
      <c r="B571" t="s">
        <v>11</v>
      </c>
      <c r="C571" s="4">
        <v>37.72</v>
      </c>
      <c r="D571" t="s">
        <v>16</v>
      </c>
      <c r="E571" t="s">
        <v>20</v>
      </c>
      <c r="F571" s="4" t="s">
        <v>30</v>
      </c>
      <c r="G571" s="4" t="s">
        <v>32</v>
      </c>
      <c r="H571" s="4">
        <v>4</v>
      </c>
      <c r="I571" s="4">
        <v>5</v>
      </c>
      <c r="J571" s="1">
        <v>45442</v>
      </c>
      <c r="K571" s="2">
        <v>3.210416666666667E-2</v>
      </c>
      <c r="M571" s="4" t="str">
        <f t="shared" si="24"/>
        <v>HIGH</v>
      </c>
      <c r="N571" s="4" t="str" cm="1">
        <f t="array" ref="N571">_xlfn.IFS(C571&gt;35,"HIGH",C571&gt;25,"MIDDLE",TRUE,"LOW")</f>
        <v>HIGH</v>
      </c>
      <c r="O571" s="4" t="str">
        <f t="shared" si="25"/>
        <v>OTHERS</v>
      </c>
      <c r="P571" s="4" t="str">
        <f t="shared" si="26"/>
        <v>PREMINUM MORNING</v>
      </c>
    </row>
    <row r="572" spans="1:16" x14ac:dyDescent="0.3">
      <c r="A572" s="4">
        <v>20</v>
      </c>
      <c r="B572" t="s">
        <v>11</v>
      </c>
      <c r="C572" s="4">
        <v>32.82</v>
      </c>
      <c r="D572" t="s">
        <v>19</v>
      </c>
      <c r="E572" t="s">
        <v>20</v>
      </c>
      <c r="F572" s="4" t="s">
        <v>30</v>
      </c>
      <c r="G572" s="4" t="s">
        <v>32</v>
      </c>
      <c r="H572" s="4">
        <v>4</v>
      </c>
      <c r="I572" s="4">
        <v>5</v>
      </c>
      <c r="J572" s="1">
        <v>45442</v>
      </c>
      <c r="K572" s="2">
        <v>3.2888888888888891E-2</v>
      </c>
      <c r="M572" s="4" t="str">
        <f t="shared" si="24"/>
        <v>LOW</v>
      </c>
      <c r="N572" s="4" t="str" cm="1">
        <f t="array" ref="N572">_xlfn.IFS(C572&gt;35,"HIGH",C572&gt;25,"MIDDLE",TRUE,"LOW")</f>
        <v>MIDDLE</v>
      </c>
      <c r="O572" s="4" t="str">
        <f t="shared" si="25"/>
        <v>OTHERS</v>
      </c>
      <c r="P572" s="4" t="str">
        <f t="shared" si="26"/>
        <v>OTHERS</v>
      </c>
    </row>
    <row r="573" spans="1:16" x14ac:dyDescent="0.3">
      <c r="A573" s="4">
        <v>7</v>
      </c>
      <c r="B573" t="s">
        <v>11</v>
      </c>
      <c r="C573" s="4">
        <v>32.82</v>
      </c>
      <c r="D573" t="s">
        <v>19</v>
      </c>
      <c r="E573" t="s">
        <v>13</v>
      </c>
      <c r="F573" s="4" t="s">
        <v>14</v>
      </c>
      <c r="G573" s="4" t="s">
        <v>32</v>
      </c>
      <c r="H573" s="4">
        <v>5</v>
      </c>
      <c r="I573" s="4">
        <v>5</v>
      </c>
      <c r="J573" s="1">
        <v>45443</v>
      </c>
      <c r="K573" s="2">
        <v>3.7468750000000002E-2</v>
      </c>
      <c r="M573" s="4" t="str">
        <f t="shared" si="24"/>
        <v>LOW</v>
      </c>
      <c r="N573" s="4" t="str" cm="1">
        <f t="array" ref="N573">_xlfn.IFS(C573&gt;35,"HIGH",C573&gt;25,"MIDDLE",TRUE,"LOW")</f>
        <v>MIDDLE</v>
      </c>
      <c r="O573" s="4" t="str">
        <f t="shared" si="25"/>
        <v>OTHERS</v>
      </c>
      <c r="P573" s="4" t="str">
        <f t="shared" si="26"/>
        <v>PREMINUM MORNING</v>
      </c>
    </row>
    <row r="574" spans="1:16" x14ac:dyDescent="0.3">
      <c r="A574" s="4">
        <v>9</v>
      </c>
      <c r="B574" t="s">
        <v>11</v>
      </c>
      <c r="C574" s="4">
        <v>37.72</v>
      </c>
      <c r="D574" t="s">
        <v>12</v>
      </c>
      <c r="E574" t="s">
        <v>13</v>
      </c>
      <c r="F574" s="4" t="s">
        <v>14</v>
      </c>
      <c r="G574" s="4" t="s">
        <v>32</v>
      </c>
      <c r="H574" s="4">
        <v>5</v>
      </c>
      <c r="I574" s="4">
        <v>5</v>
      </c>
      <c r="J574" s="1">
        <v>45443</v>
      </c>
      <c r="K574" s="2">
        <v>1.4673611111111111E-2</v>
      </c>
      <c r="M574" s="4" t="str">
        <f t="shared" si="24"/>
        <v>HIGH</v>
      </c>
      <c r="N574" s="4" t="str" cm="1">
        <f t="array" ref="N574">_xlfn.IFS(C574&gt;35,"HIGH",C574&gt;25,"MIDDLE",TRUE,"LOW")</f>
        <v>HIGH</v>
      </c>
      <c r="O574" s="4" t="str">
        <f t="shared" si="25"/>
        <v>PREMINUM MORNING</v>
      </c>
      <c r="P574" s="4" t="str">
        <f t="shared" si="26"/>
        <v>PREMINUM MORNING</v>
      </c>
    </row>
    <row r="575" spans="1:16" x14ac:dyDescent="0.3">
      <c r="A575" s="4">
        <v>10</v>
      </c>
      <c r="B575" t="s">
        <v>11</v>
      </c>
      <c r="C575" s="4">
        <v>37.72</v>
      </c>
      <c r="D575" t="s">
        <v>16</v>
      </c>
      <c r="E575" t="s">
        <v>13</v>
      </c>
      <c r="F575" s="4" t="s">
        <v>14</v>
      </c>
      <c r="G575" s="4" t="s">
        <v>32</v>
      </c>
      <c r="H575" s="4">
        <v>5</v>
      </c>
      <c r="I575" s="4">
        <v>5</v>
      </c>
      <c r="J575" s="1">
        <v>45443</v>
      </c>
      <c r="K575" s="2">
        <v>2.6480324074074076E-2</v>
      </c>
      <c r="M575" s="4" t="str">
        <f t="shared" si="24"/>
        <v>HIGH</v>
      </c>
      <c r="N575" s="4" t="str" cm="1">
        <f t="array" ref="N575">_xlfn.IFS(C575&gt;35,"HIGH",C575&gt;25,"MIDDLE",TRUE,"LOW")</f>
        <v>HIGH</v>
      </c>
      <c r="O575" s="4" t="str">
        <f t="shared" si="25"/>
        <v>PREMINUM MORNING</v>
      </c>
      <c r="P575" s="4" t="str">
        <f t="shared" si="26"/>
        <v>PREMINUM MORNING</v>
      </c>
    </row>
    <row r="576" spans="1:16" x14ac:dyDescent="0.3">
      <c r="A576" s="4">
        <v>10</v>
      </c>
      <c r="B576" t="s">
        <v>11</v>
      </c>
      <c r="C576" s="4">
        <v>37.72</v>
      </c>
      <c r="D576" t="s">
        <v>21</v>
      </c>
      <c r="E576" t="s">
        <v>13</v>
      </c>
      <c r="F576" s="4" t="s">
        <v>14</v>
      </c>
      <c r="G576" s="4" t="s">
        <v>32</v>
      </c>
      <c r="H576" s="4">
        <v>5</v>
      </c>
      <c r="I576" s="4">
        <v>5</v>
      </c>
      <c r="J576" s="1">
        <v>45443</v>
      </c>
      <c r="K576" s="2">
        <v>2.7153935185185184E-2</v>
      </c>
      <c r="M576" s="4" t="str">
        <f t="shared" si="24"/>
        <v>HIGH</v>
      </c>
      <c r="N576" s="4" t="str" cm="1">
        <f t="array" ref="N576">_xlfn.IFS(C576&gt;35,"HIGH",C576&gt;25,"MIDDLE",TRUE,"LOW")</f>
        <v>HIGH</v>
      </c>
      <c r="O576" s="4" t="str">
        <f t="shared" si="25"/>
        <v>PREMINUM MORNING</v>
      </c>
      <c r="P576" s="4" t="str">
        <f t="shared" si="26"/>
        <v>PREMINUM MORNING</v>
      </c>
    </row>
    <row r="577" spans="1:16" x14ac:dyDescent="0.3">
      <c r="A577" s="4">
        <v>14</v>
      </c>
      <c r="B577" t="s">
        <v>11</v>
      </c>
      <c r="C577" s="4">
        <v>32.82</v>
      </c>
      <c r="D577" t="s">
        <v>19</v>
      </c>
      <c r="E577" t="s">
        <v>17</v>
      </c>
      <c r="F577" s="4" t="s">
        <v>14</v>
      </c>
      <c r="G577" s="4" t="s">
        <v>32</v>
      </c>
      <c r="H577" s="4">
        <v>5</v>
      </c>
      <c r="I577" s="4">
        <v>5</v>
      </c>
      <c r="J577" s="1">
        <v>45443</v>
      </c>
      <c r="K577" s="2">
        <v>3.4872685185185187E-2</v>
      </c>
      <c r="M577" s="4" t="str">
        <f t="shared" si="24"/>
        <v>LOW</v>
      </c>
      <c r="N577" s="4" t="str" cm="1">
        <f t="array" ref="N577">_xlfn.IFS(C577&gt;35,"HIGH",C577&gt;25,"MIDDLE",TRUE,"LOW")</f>
        <v>MIDDLE</v>
      </c>
      <c r="O577" s="4" t="str">
        <f t="shared" si="25"/>
        <v>OTHERS</v>
      </c>
      <c r="P577" s="4" t="str">
        <f t="shared" si="26"/>
        <v>OTHERS</v>
      </c>
    </row>
    <row r="578" spans="1:16" x14ac:dyDescent="0.3">
      <c r="A578" s="4">
        <v>18</v>
      </c>
      <c r="B578" t="s">
        <v>11</v>
      </c>
      <c r="C578" s="4">
        <v>37.72</v>
      </c>
      <c r="D578" t="s">
        <v>12</v>
      </c>
      <c r="E578" t="s">
        <v>20</v>
      </c>
      <c r="F578" s="4" t="s">
        <v>14</v>
      </c>
      <c r="G578" s="4" t="s">
        <v>32</v>
      </c>
      <c r="H578" s="4">
        <v>5</v>
      </c>
      <c r="I578" s="4">
        <v>5</v>
      </c>
      <c r="J578" s="1">
        <v>45443</v>
      </c>
      <c r="K578" s="2">
        <v>1.6488425925925924E-2</v>
      </c>
      <c r="M578" s="4" t="str">
        <f t="shared" si="24"/>
        <v>HIGH</v>
      </c>
      <c r="N578" s="4" t="str" cm="1">
        <f t="array" ref="N578">_xlfn.IFS(C578&gt;35,"HIGH",C578&gt;25,"MIDDLE",TRUE,"LOW")</f>
        <v>HIGH</v>
      </c>
      <c r="O578" s="4" t="str">
        <f t="shared" si="25"/>
        <v>OTHERS</v>
      </c>
      <c r="P578" s="4" t="str">
        <f t="shared" si="26"/>
        <v>PREMINUM MORNING</v>
      </c>
    </row>
    <row r="579" spans="1:16" x14ac:dyDescent="0.3">
      <c r="A579" s="4">
        <v>18</v>
      </c>
      <c r="B579" t="s">
        <v>11</v>
      </c>
      <c r="C579" s="4">
        <v>37.72</v>
      </c>
      <c r="D579" t="s">
        <v>12</v>
      </c>
      <c r="E579" t="s">
        <v>20</v>
      </c>
      <c r="F579" s="4" t="s">
        <v>14</v>
      </c>
      <c r="G579" s="4" t="s">
        <v>32</v>
      </c>
      <c r="H579" s="4">
        <v>5</v>
      </c>
      <c r="I579" s="4">
        <v>5</v>
      </c>
      <c r="J579" s="1">
        <v>45443</v>
      </c>
      <c r="K579" s="2">
        <v>1.7399305555555557E-2</v>
      </c>
      <c r="M579" s="4" t="str">
        <f t="shared" ref="M579:M642" si="27">IF(C579&gt;35,"HIGH","LOW")</f>
        <v>HIGH</v>
      </c>
      <c r="N579" s="4" t="str" cm="1">
        <f t="array" ref="N579">_xlfn.IFS(C579&gt;35,"HIGH",C579&gt;25,"MIDDLE",TRUE,"LOW")</f>
        <v>HIGH</v>
      </c>
      <c r="O579" s="4" t="str">
        <f t="shared" ref="O579:O642" si="28">IF(AND(C579&gt;35,E579="MORNING"),"PREMINUM MORNING","OTHERS")</f>
        <v>OTHERS</v>
      </c>
      <c r="P579" s="4" t="str">
        <f t="shared" ref="P579:P642" si="29">IF(OR(C579&gt;35,E579="MORNING"),"PREMINUM MORNING","OTHERS")</f>
        <v>PREMINUM MORNING</v>
      </c>
    </row>
    <row r="580" spans="1:16" x14ac:dyDescent="0.3">
      <c r="A580" s="4">
        <v>20</v>
      </c>
      <c r="B580" t="s">
        <v>11</v>
      </c>
      <c r="C580" s="4">
        <v>37.72</v>
      </c>
      <c r="D580" t="s">
        <v>29</v>
      </c>
      <c r="E580" t="s">
        <v>20</v>
      </c>
      <c r="F580" s="4" t="s">
        <v>14</v>
      </c>
      <c r="G580" s="4" t="s">
        <v>32</v>
      </c>
      <c r="H580" s="4">
        <v>5</v>
      </c>
      <c r="I580" s="4">
        <v>5</v>
      </c>
      <c r="J580" s="1">
        <v>45443</v>
      </c>
      <c r="K580" s="2">
        <v>4.6203703703703702E-3</v>
      </c>
      <c r="M580" s="4" t="str">
        <f t="shared" si="27"/>
        <v>HIGH</v>
      </c>
      <c r="N580" s="4" t="str" cm="1">
        <f t="array" ref="N580">_xlfn.IFS(C580&gt;35,"HIGH",C580&gt;25,"MIDDLE",TRUE,"LOW")</f>
        <v>HIGH</v>
      </c>
      <c r="O580" s="4" t="str">
        <f t="shared" si="28"/>
        <v>OTHERS</v>
      </c>
      <c r="P580" s="4" t="str">
        <f t="shared" si="29"/>
        <v>PREMINUM MORNING</v>
      </c>
    </row>
    <row r="581" spans="1:16" x14ac:dyDescent="0.3">
      <c r="A581" s="4">
        <v>20</v>
      </c>
      <c r="B581" t="s">
        <v>11</v>
      </c>
      <c r="C581" s="4">
        <v>32.82</v>
      </c>
      <c r="D581" t="s">
        <v>19</v>
      </c>
      <c r="E581" t="s">
        <v>20</v>
      </c>
      <c r="F581" s="4" t="s">
        <v>14</v>
      </c>
      <c r="G581" s="4" t="s">
        <v>32</v>
      </c>
      <c r="H581" s="4">
        <v>5</v>
      </c>
      <c r="I581" s="4">
        <v>5</v>
      </c>
      <c r="J581" s="1">
        <v>45443</v>
      </c>
      <c r="K581" s="2">
        <v>2.2990740740740742E-2</v>
      </c>
      <c r="M581" s="4" t="str">
        <f t="shared" si="27"/>
        <v>LOW</v>
      </c>
      <c r="N581" s="4" t="str" cm="1">
        <f t="array" ref="N581">_xlfn.IFS(C581&gt;35,"HIGH",C581&gt;25,"MIDDLE",TRUE,"LOW")</f>
        <v>MIDDLE</v>
      </c>
      <c r="O581" s="4" t="str">
        <f t="shared" si="28"/>
        <v>OTHERS</v>
      </c>
      <c r="P581" s="4" t="str">
        <f t="shared" si="29"/>
        <v>OTHERS</v>
      </c>
    </row>
    <row r="582" spans="1:16" x14ac:dyDescent="0.3">
      <c r="A582" s="4">
        <v>20</v>
      </c>
      <c r="B582" t="s">
        <v>11</v>
      </c>
      <c r="C582" s="4">
        <v>37.72</v>
      </c>
      <c r="D582" t="s">
        <v>12</v>
      </c>
      <c r="E582" t="s">
        <v>20</v>
      </c>
      <c r="F582" s="4" t="s">
        <v>14</v>
      </c>
      <c r="G582" s="4" t="s">
        <v>32</v>
      </c>
      <c r="H582" s="4">
        <v>5</v>
      </c>
      <c r="I582" s="4">
        <v>5</v>
      </c>
      <c r="J582" s="1">
        <v>45443</v>
      </c>
      <c r="K582" s="2">
        <v>2.3991898148148148E-2</v>
      </c>
      <c r="M582" s="4" t="str">
        <f t="shared" si="27"/>
        <v>HIGH</v>
      </c>
      <c r="N582" s="4" t="str" cm="1">
        <f t="array" ref="N582">_xlfn.IFS(C582&gt;35,"HIGH",C582&gt;25,"MIDDLE",TRUE,"LOW")</f>
        <v>HIGH</v>
      </c>
      <c r="O582" s="4" t="str">
        <f t="shared" si="28"/>
        <v>OTHERS</v>
      </c>
      <c r="P582" s="4" t="str">
        <f t="shared" si="29"/>
        <v>PREMINUM MORNING</v>
      </c>
    </row>
    <row r="583" spans="1:16" x14ac:dyDescent="0.3">
      <c r="A583" s="4">
        <v>22</v>
      </c>
      <c r="B583" t="s">
        <v>11</v>
      </c>
      <c r="C583" s="4">
        <v>37.72</v>
      </c>
      <c r="D583" t="s">
        <v>29</v>
      </c>
      <c r="E583" t="s">
        <v>20</v>
      </c>
      <c r="F583" s="4" t="s">
        <v>14</v>
      </c>
      <c r="G583" s="4" t="s">
        <v>32</v>
      </c>
      <c r="H583" s="4">
        <v>5</v>
      </c>
      <c r="I583" s="4">
        <v>5</v>
      </c>
      <c r="J583" s="1">
        <v>45443</v>
      </c>
      <c r="K583" s="2">
        <v>4.0173611111111113E-3</v>
      </c>
      <c r="M583" s="4" t="str">
        <f t="shared" si="27"/>
        <v>HIGH</v>
      </c>
      <c r="N583" s="4" t="str" cm="1">
        <f t="array" ref="N583">_xlfn.IFS(C583&gt;35,"HIGH",C583&gt;25,"MIDDLE",TRUE,"LOW")</f>
        <v>HIGH</v>
      </c>
      <c r="O583" s="4" t="str">
        <f t="shared" si="28"/>
        <v>OTHERS</v>
      </c>
      <c r="P583" s="4" t="str">
        <f t="shared" si="29"/>
        <v>PREMINUM MORNING</v>
      </c>
    </row>
    <row r="584" spans="1:16" x14ac:dyDescent="0.3">
      <c r="A584" s="4">
        <v>22</v>
      </c>
      <c r="B584" t="s">
        <v>11</v>
      </c>
      <c r="C584" s="4">
        <v>32.82</v>
      </c>
      <c r="D584" t="s">
        <v>19</v>
      </c>
      <c r="E584" t="s">
        <v>20</v>
      </c>
      <c r="F584" s="4" t="s">
        <v>14</v>
      </c>
      <c r="G584" s="4" t="s">
        <v>32</v>
      </c>
      <c r="H584" s="4">
        <v>5</v>
      </c>
      <c r="I584" s="4">
        <v>5</v>
      </c>
      <c r="J584" s="1">
        <v>45443</v>
      </c>
      <c r="K584" s="2">
        <v>4.7743055555555559E-3</v>
      </c>
      <c r="M584" s="4" t="str">
        <f t="shared" si="27"/>
        <v>LOW</v>
      </c>
      <c r="N584" s="4" t="str" cm="1">
        <f t="array" ref="N584">_xlfn.IFS(C584&gt;35,"HIGH",C584&gt;25,"MIDDLE",TRUE,"LOW")</f>
        <v>MIDDLE</v>
      </c>
      <c r="O584" s="4" t="str">
        <f t="shared" si="28"/>
        <v>OTHERS</v>
      </c>
      <c r="P584" s="4" t="str">
        <f t="shared" si="29"/>
        <v>OTHERS</v>
      </c>
    </row>
    <row r="585" spans="1:16" x14ac:dyDescent="0.3">
      <c r="A585" s="4">
        <v>22</v>
      </c>
      <c r="B585" t="s">
        <v>11</v>
      </c>
      <c r="C585" s="4">
        <v>27.92</v>
      </c>
      <c r="D585" t="s">
        <v>24</v>
      </c>
      <c r="E585" t="s">
        <v>20</v>
      </c>
      <c r="F585" s="4" t="s">
        <v>14</v>
      </c>
      <c r="G585" s="4" t="s">
        <v>32</v>
      </c>
      <c r="H585" s="4">
        <v>5</v>
      </c>
      <c r="I585" s="4">
        <v>5</v>
      </c>
      <c r="J585" s="1">
        <v>45443</v>
      </c>
      <c r="K585" s="2">
        <v>5.5023148148148149E-3</v>
      </c>
      <c r="M585" s="4" t="str">
        <f t="shared" si="27"/>
        <v>LOW</v>
      </c>
      <c r="N585" s="4" t="str" cm="1">
        <f t="array" ref="N585">_xlfn.IFS(C585&gt;35,"HIGH",C585&gt;25,"MIDDLE",TRUE,"LOW")</f>
        <v>MIDDLE</v>
      </c>
      <c r="O585" s="4" t="str">
        <f t="shared" si="28"/>
        <v>OTHERS</v>
      </c>
      <c r="P585" s="4" t="str">
        <f t="shared" si="29"/>
        <v>OTHERS</v>
      </c>
    </row>
    <row r="586" spans="1:16" x14ac:dyDescent="0.3">
      <c r="A586" s="4">
        <v>8</v>
      </c>
      <c r="B586" t="s">
        <v>11</v>
      </c>
      <c r="C586" s="4">
        <v>27.92</v>
      </c>
      <c r="D586" t="s">
        <v>24</v>
      </c>
      <c r="E586" t="s">
        <v>13</v>
      </c>
      <c r="F586" s="4" t="s">
        <v>22</v>
      </c>
      <c r="G586" s="4" t="s">
        <v>33</v>
      </c>
      <c r="H586" s="4">
        <v>6</v>
      </c>
      <c r="I586" s="4">
        <v>6</v>
      </c>
      <c r="J586" s="1">
        <v>45444</v>
      </c>
      <c r="K586" s="2">
        <v>1.8769675925925926E-2</v>
      </c>
      <c r="M586" s="4" t="str">
        <f t="shared" si="27"/>
        <v>LOW</v>
      </c>
      <c r="N586" s="4" t="str" cm="1">
        <f t="array" ref="N586">_xlfn.IFS(C586&gt;35,"HIGH",C586&gt;25,"MIDDLE",TRUE,"LOW")</f>
        <v>MIDDLE</v>
      </c>
      <c r="O586" s="4" t="str">
        <f t="shared" si="28"/>
        <v>OTHERS</v>
      </c>
      <c r="P586" s="4" t="str">
        <f t="shared" si="29"/>
        <v>PREMINUM MORNING</v>
      </c>
    </row>
    <row r="587" spans="1:16" x14ac:dyDescent="0.3">
      <c r="A587" s="4">
        <v>9</v>
      </c>
      <c r="B587" t="s">
        <v>11</v>
      </c>
      <c r="C587" s="4">
        <v>37.72</v>
      </c>
      <c r="D587" t="s">
        <v>12</v>
      </c>
      <c r="E587" t="s">
        <v>13</v>
      </c>
      <c r="F587" s="4" t="s">
        <v>22</v>
      </c>
      <c r="G587" s="4" t="s">
        <v>33</v>
      </c>
      <c r="H587" s="4">
        <v>6</v>
      </c>
      <c r="I587" s="4">
        <v>6</v>
      </c>
      <c r="J587" s="1">
        <v>45444</v>
      </c>
      <c r="K587" s="2">
        <v>3.3619212962962962E-2</v>
      </c>
      <c r="M587" s="4" t="str">
        <f t="shared" si="27"/>
        <v>HIGH</v>
      </c>
      <c r="N587" s="4" t="str" cm="1">
        <f t="array" ref="N587">_xlfn.IFS(C587&gt;35,"HIGH",C587&gt;25,"MIDDLE",TRUE,"LOW")</f>
        <v>HIGH</v>
      </c>
      <c r="O587" s="4" t="str">
        <f t="shared" si="28"/>
        <v>PREMINUM MORNING</v>
      </c>
      <c r="P587" s="4" t="str">
        <f t="shared" si="29"/>
        <v>PREMINUM MORNING</v>
      </c>
    </row>
    <row r="588" spans="1:16" x14ac:dyDescent="0.3">
      <c r="A588" s="4">
        <v>11</v>
      </c>
      <c r="B588" t="s">
        <v>11</v>
      </c>
      <c r="C588" s="4">
        <v>37.72</v>
      </c>
      <c r="D588" t="s">
        <v>12</v>
      </c>
      <c r="E588" t="s">
        <v>13</v>
      </c>
      <c r="F588" s="4" t="s">
        <v>22</v>
      </c>
      <c r="G588" s="4" t="s">
        <v>33</v>
      </c>
      <c r="H588" s="4">
        <v>6</v>
      </c>
      <c r="I588" s="4">
        <v>6</v>
      </c>
      <c r="J588" s="1">
        <v>45444</v>
      </c>
      <c r="K588" s="2">
        <v>2.6497685185185187E-2</v>
      </c>
      <c r="M588" s="4" t="str">
        <f t="shared" si="27"/>
        <v>HIGH</v>
      </c>
      <c r="N588" s="4" t="str" cm="1">
        <f t="array" ref="N588">_xlfn.IFS(C588&gt;35,"HIGH",C588&gt;25,"MIDDLE",TRUE,"LOW")</f>
        <v>HIGH</v>
      </c>
      <c r="O588" s="4" t="str">
        <f t="shared" si="28"/>
        <v>PREMINUM MORNING</v>
      </c>
      <c r="P588" s="4" t="str">
        <f t="shared" si="29"/>
        <v>PREMINUM MORNING</v>
      </c>
    </row>
    <row r="589" spans="1:16" x14ac:dyDescent="0.3">
      <c r="A589" s="4">
        <v>14</v>
      </c>
      <c r="B589" t="s">
        <v>11</v>
      </c>
      <c r="C589" s="4">
        <v>32.82</v>
      </c>
      <c r="D589" t="s">
        <v>19</v>
      </c>
      <c r="E589" t="s">
        <v>17</v>
      </c>
      <c r="F589" s="4" t="s">
        <v>22</v>
      </c>
      <c r="G589" s="4" t="s">
        <v>33</v>
      </c>
      <c r="H589" s="4">
        <v>6</v>
      </c>
      <c r="I589" s="4">
        <v>6</v>
      </c>
      <c r="J589" s="1">
        <v>45444</v>
      </c>
      <c r="K589" s="2">
        <v>2.0065972222222221E-2</v>
      </c>
      <c r="M589" s="4" t="str">
        <f t="shared" si="27"/>
        <v>LOW</v>
      </c>
      <c r="N589" s="4" t="str" cm="1">
        <f t="array" ref="N589">_xlfn.IFS(C589&gt;35,"HIGH",C589&gt;25,"MIDDLE",TRUE,"LOW")</f>
        <v>MIDDLE</v>
      </c>
      <c r="O589" s="4" t="str">
        <f t="shared" si="28"/>
        <v>OTHERS</v>
      </c>
      <c r="P589" s="4" t="str">
        <f t="shared" si="29"/>
        <v>OTHERS</v>
      </c>
    </row>
    <row r="590" spans="1:16" x14ac:dyDescent="0.3">
      <c r="A590" s="4">
        <v>18</v>
      </c>
      <c r="B590" t="s">
        <v>11</v>
      </c>
      <c r="C590" s="4">
        <v>32.82</v>
      </c>
      <c r="D590" t="s">
        <v>19</v>
      </c>
      <c r="E590" t="s">
        <v>20</v>
      </c>
      <c r="F590" s="4" t="s">
        <v>22</v>
      </c>
      <c r="G590" s="4" t="s">
        <v>33</v>
      </c>
      <c r="H590" s="4">
        <v>6</v>
      </c>
      <c r="I590" s="4">
        <v>6</v>
      </c>
      <c r="J590" s="1">
        <v>45444</v>
      </c>
      <c r="K590" s="2">
        <v>1.4037037037037037E-2</v>
      </c>
      <c r="M590" s="4" t="str">
        <f t="shared" si="27"/>
        <v>LOW</v>
      </c>
      <c r="N590" s="4" t="str" cm="1">
        <f t="array" ref="N590">_xlfn.IFS(C590&gt;35,"HIGH",C590&gt;25,"MIDDLE",TRUE,"LOW")</f>
        <v>MIDDLE</v>
      </c>
      <c r="O590" s="4" t="str">
        <f t="shared" si="28"/>
        <v>OTHERS</v>
      </c>
      <c r="P590" s="4" t="str">
        <f t="shared" si="29"/>
        <v>OTHERS</v>
      </c>
    </row>
    <row r="591" spans="1:16" x14ac:dyDescent="0.3">
      <c r="A591" s="4">
        <v>18</v>
      </c>
      <c r="B591" t="s">
        <v>11</v>
      </c>
      <c r="C591" s="4">
        <v>32.82</v>
      </c>
      <c r="D591" t="s">
        <v>19</v>
      </c>
      <c r="E591" t="s">
        <v>20</v>
      </c>
      <c r="F591" s="4" t="s">
        <v>22</v>
      </c>
      <c r="G591" s="4" t="s">
        <v>33</v>
      </c>
      <c r="H591" s="4">
        <v>6</v>
      </c>
      <c r="I591" s="4">
        <v>6</v>
      </c>
      <c r="J591" s="1">
        <v>45444</v>
      </c>
      <c r="K591" s="2">
        <v>1.4761574074074075E-2</v>
      </c>
      <c r="M591" s="4" t="str">
        <f t="shared" si="27"/>
        <v>LOW</v>
      </c>
      <c r="N591" s="4" t="str" cm="1">
        <f t="array" ref="N591">_xlfn.IFS(C591&gt;35,"HIGH",C591&gt;25,"MIDDLE",TRUE,"LOW")</f>
        <v>MIDDLE</v>
      </c>
      <c r="O591" s="4" t="str">
        <f t="shared" si="28"/>
        <v>OTHERS</v>
      </c>
      <c r="P591" s="4" t="str">
        <f t="shared" si="29"/>
        <v>OTHERS</v>
      </c>
    </row>
    <row r="592" spans="1:16" x14ac:dyDescent="0.3">
      <c r="A592" s="4">
        <v>20</v>
      </c>
      <c r="B592" t="s">
        <v>11</v>
      </c>
      <c r="C592" s="4">
        <v>37.72</v>
      </c>
      <c r="D592" t="s">
        <v>29</v>
      </c>
      <c r="E592" t="s">
        <v>20</v>
      </c>
      <c r="F592" s="4" t="s">
        <v>22</v>
      </c>
      <c r="G592" s="4" t="s">
        <v>33</v>
      </c>
      <c r="H592" s="4">
        <v>6</v>
      </c>
      <c r="I592" s="4">
        <v>6</v>
      </c>
      <c r="J592" s="1">
        <v>45444</v>
      </c>
      <c r="K592" s="2">
        <v>3.484375E-2</v>
      </c>
      <c r="M592" s="4" t="str">
        <f t="shared" si="27"/>
        <v>HIGH</v>
      </c>
      <c r="N592" s="4" t="str" cm="1">
        <f t="array" ref="N592">_xlfn.IFS(C592&gt;35,"HIGH",C592&gt;25,"MIDDLE",TRUE,"LOW")</f>
        <v>HIGH</v>
      </c>
      <c r="O592" s="4" t="str">
        <f t="shared" si="28"/>
        <v>OTHERS</v>
      </c>
      <c r="P592" s="4" t="str">
        <f t="shared" si="29"/>
        <v>PREMINUM MORNING</v>
      </c>
    </row>
    <row r="593" spans="1:16" x14ac:dyDescent="0.3">
      <c r="A593" s="4">
        <v>20</v>
      </c>
      <c r="B593" t="s">
        <v>11</v>
      </c>
      <c r="C593" s="4">
        <v>37.72</v>
      </c>
      <c r="D593" t="s">
        <v>29</v>
      </c>
      <c r="E593" t="s">
        <v>20</v>
      </c>
      <c r="F593" s="4" t="s">
        <v>22</v>
      </c>
      <c r="G593" s="4" t="s">
        <v>33</v>
      </c>
      <c r="H593" s="4">
        <v>6</v>
      </c>
      <c r="I593" s="4">
        <v>6</v>
      </c>
      <c r="J593" s="1">
        <v>45444</v>
      </c>
      <c r="K593" s="2">
        <v>3.557407407407407E-2</v>
      </c>
      <c r="M593" s="4" t="str">
        <f t="shared" si="27"/>
        <v>HIGH</v>
      </c>
      <c r="N593" s="4" t="str" cm="1">
        <f t="array" ref="N593">_xlfn.IFS(C593&gt;35,"HIGH",C593&gt;25,"MIDDLE",TRUE,"LOW")</f>
        <v>HIGH</v>
      </c>
      <c r="O593" s="4" t="str">
        <f t="shared" si="28"/>
        <v>OTHERS</v>
      </c>
      <c r="P593" s="4" t="str">
        <f t="shared" si="29"/>
        <v>PREMINUM MORNING</v>
      </c>
    </row>
    <row r="594" spans="1:16" x14ac:dyDescent="0.3">
      <c r="A594" s="4">
        <v>20</v>
      </c>
      <c r="B594" t="s">
        <v>11</v>
      </c>
      <c r="C594" s="4">
        <v>37.72</v>
      </c>
      <c r="D594" t="s">
        <v>21</v>
      </c>
      <c r="E594" t="s">
        <v>20</v>
      </c>
      <c r="F594" s="4" t="s">
        <v>22</v>
      </c>
      <c r="G594" s="4" t="s">
        <v>33</v>
      </c>
      <c r="H594" s="4">
        <v>6</v>
      </c>
      <c r="I594" s="4">
        <v>6</v>
      </c>
      <c r="J594" s="1">
        <v>45444</v>
      </c>
      <c r="K594" s="2">
        <v>4.1084490740740741E-2</v>
      </c>
      <c r="M594" s="4" t="str">
        <f t="shared" si="27"/>
        <v>HIGH</v>
      </c>
      <c r="N594" s="4" t="str" cm="1">
        <f t="array" ref="N594">_xlfn.IFS(C594&gt;35,"HIGH",C594&gt;25,"MIDDLE",TRUE,"LOW")</f>
        <v>HIGH</v>
      </c>
      <c r="O594" s="4" t="str">
        <f t="shared" si="28"/>
        <v>OTHERS</v>
      </c>
      <c r="P594" s="4" t="str">
        <f t="shared" si="29"/>
        <v>PREMINUM MORNING</v>
      </c>
    </row>
    <row r="595" spans="1:16" x14ac:dyDescent="0.3">
      <c r="A595" s="4">
        <v>21</v>
      </c>
      <c r="B595" t="s">
        <v>11</v>
      </c>
      <c r="C595" s="4">
        <v>32.82</v>
      </c>
      <c r="D595" t="s">
        <v>19</v>
      </c>
      <c r="E595" t="s">
        <v>20</v>
      </c>
      <c r="F595" s="4" t="s">
        <v>22</v>
      </c>
      <c r="G595" s="4" t="s">
        <v>33</v>
      </c>
      <c r="H595" s="4">
        <v>6</v>
      </c>
      <c r="I595" s="4">
        <v>6</v>
      </c>
      <c r="J595" s="1">
        <v>45444</v>
      </c>
      <c r="K595" s="2">
        <v>3.5474537037037034E-2</v>
      </c>
      <c r="M595" s="4" t="str">
        <f t="shared" si="27"/>
        <v>LOW</v>
      </c>
      <c r="N595" s="4" t="str" cm="1">
        <f t="array" ref="N595">_xlfn.IFS(C595&gt;35,"HIGH",C595&gt;25,"MIDDLE",TRUE,"LOW")</f>
        <v>MIDDLE</v>
      </c>
      <c r="O595" s="4" t="str">
        <f t="shared" si="28"/>
        <v>OTHERS</v>
      </c>
      <c r="P595" s="4" t="str">
        <f t="shared" si="29"/>
        <v>OTHERS</v>
      </c>
    </row>
    <row r="596" spans="1:16" x14ac:dyDescent="0.3">
      <c r="A596" s="4">
        <v>20</v>
      </c>
      <c r="B596" t="s">
        <v>11</v>
      </c>
      <c r="C596" s="4">
        <v>37.72</v>
      </c>
      <c r="D596" t="s">
        <v>12</v>
      </c>
      <c r="E596" t="s">
        <v>20</v>
      </c>
      <c r="F596" s="4" t="s">
        <v>23</v>
      </c>
      <c r="G596" s="4" t="s">
        <v>33</v>
      </c>
      <c r="H596" s="4">
        <v>7</v>
      </c>
      <c r="I596" s="4">
        <v>6</v>
      </c>
      <c r="J596" s="1">
        <v>45445</v>
      </c>
      <c r="K596" s="2">
        <v>2.3819444444444448E-3</v>
      </c>
      <c r="M596" s="4" t="str">
        <f t="shared" si="27"/>
        <v>HIGH</v>
      </c>
      <c r="N596" s="4" t="str" cm="1">
        <f t="array" ref="N596">_xlfn.IFS(C596&gt;35,"HIGH",C596&gt;25,"MIDDLE",TRUE,"LOW")</f>
        <v>HIGH</v>
      </c>
      <c r="O596" s="4" t="str">
        <f t="shared" si="28"/>
        <v>OTHERS</v>
      </c>
      <c r="P596" s="4" t="str">
        <f t="shared" si="29"/>
        <v>PREMINUM MORNING</v>
      </c>
    </row>
    <row r="597" spans="1:16" x14ac:dyDescent="0.3">
      <c r="A597" s="4">
        <v>20</v>
      </c>
      <c r="B597" t="s">
        <v>11</v>
      </c>
      <c r="C597" s="4">
        <v>32.82</v>
      </c>
      <c r="D597" t="s">
        <v>19</v>
      </c>
      <c r="E597" t="s">
        <v>20</v>
      </c>
      <c r="F597" s="4" t="s">
        <v>23</v>
      </c>
      <c r="G597" s="4" t="s">
        <v>33</v>
      </c>
      <c r="H597" s="4">
        <v>7</v>
      </c>
      <c r="I597" s="4">
        <v>6</v>
      </c>
      <c r="J597" s="1">
        <v>45445</v>
      </c>
      <c r="K597" s="2">
        <v>1.6694444444444446E-2</v>
      </c>
      <c r="M597" s="4" t="str">
        <f t="shared" si="27"/>
        <v>LOW</v>
      </c>
      <c r="N597" s="4" t="str" cm="1">
        <f t="array" ref="N597">_xlfn.IFS(C597&gt;35,"HIGH",C597&gt;25,"MIDDLE",TRUE,"LOW")</f>
        <v>MIDDLE</v>
      </c>
      <c r="O597" s="4" t="str">
        <f t="shared" si="28"/>
        <v>OTHERS</v>
      </c>
      <c r="P597" s="4" t="str">
        <f t="shared" si="29"/>
        <v>OTHERS</v>
      </c>
    </row>
    <row r="598" spans="1:16" x14ac:dyDescent="0.3">
      <c r="A598" s="4">
        <v>20</v>
      </c>
      <c r="B598" t="s">
        <v>11</v>
      </c>
      <c r="C598" s="4">
        <v>37.72</v>
      </c>
      <c r="D598" t="s">
        <v>29</v>
      </c>
      <c r="E598" t="s">
        <v>20</v>
      </c>
      <c r="F598" s="4" t="s">
        <v>23</v>
      </c>
      <c r="G598" s="4" t="s">
        <v>33</v>
      </c>
      <c r="H598" s="4">
        <v>7</v>
      </c>
      <c r="I598" s="4">
        <v>6</v>
      </c>
      <c r="J598" s="1">
        <v>45445</v>
      </c>
      <c r="K598" s="2">
        <v>1.7444444444444446E-2</v>
      </c>
      <c r="M598" s="4" t="str">
        <f t="shared" si="27"/>
        <v>HIGH</v>
      </c>
      <c r="N598" s="4" t="str" cm="1">
        <f t="array" ref="N598">_xlfn.IFS(C598&gt;35,"HIGH",C598&gt;25,"MIDDLE",TRUE,"LOW")</f>
        <v>HIGH</v>
      </c>
      <c r="O598" s="4" t="str">
        <f t="shared" si="28"/>
        <v>OTHERS</v>
      </c>
      <c r="P598" s="4" t="str">
        <f t="shared" si="29"/>
        <v>PREMINUM MORNING</v>
      </c>
    </row>
    <row r="599" spans="1:16" x14ac:dyDescent="0.3">
      <c r="A599" s="4">
        <v>21</v>
      </c>
      <c r="B599" t="s">
        <v>11</v>
      </c>
      <c r="C599" s="4">
        <v>32.82</v>
      </c>
      <c r="D599" t="s">
        <v>19</v>
      </c>
      <c r="E599" t="s">
        <v>20</v>
      </c>
      <c r="F599" s="4" t="s">
        <v>23</v>
      </c>
      <c r="G599" s="4" t="s">
        <v>33</v>
      </c>
      <c r="H599" s="4">
        <v>7</v>
      </c>
      <c r="I599" s="4">
        <v>6</v>
      </c>
      <c r="J599" s="1">
        <v>45445</v>
      </c>
      <c r="K599" s="2">
        <v>5.0983796296296298E-3</v>
      </c>
      <c r="M599" s="4" t="str">
        <f t="shared" si="27"/>
        <v>LOW</v>
      </c>
      <c r="N599" s="4" t="str" cm="1">
        <f t="array" ref="N599">_xlfn.IFS(C599&gt;35,"HIGH",C599&gt;25,"MIDDLE",TRUE,"LOW")</f>
        <v>MIDDLE</v>
      </c>
      <c r="O599" s="4" t="str">
        <f t="shared" si="28"/>
        <v>OTHERS</v>
      </c>
      <c r="P599" s="4" t="str">
        <f t="shared" si="29"/>
        <v>OTHERS</v>
      </c>
    </row>
    <row r="600" spans="1:16" x14ac:dyDescent="0.3">
      <c r="A600" s="4">
        <v>21</v>
      </c>
      <c r="B600" t="s">
        <v>11</v>
      </c>
      <c r="C600" s="4">
        <v>37.72</v>
      </c>
      <c r="D600" t="s">
        <v>12</v>
      </c>
      <c r="E600" t="s">
        <v>20</v>
      </c>
      <c r="F600" s="4" t="s">
        <v>23</v>
      </c>
      <c r="G600" s="4" t="s">
        <v>33</v>
      </c>
      <c r="H600" s="4">
        <v>7</v>
      </c>
      <c r="I600" s="4">
        <v>6</v>
      </c>
      <c r="J600" s="1">
        <v>45445</v>
      </c>
      <c r="K600" s="2">
        <v>2.0976851851851854E-2</v>
      </c>
      <c r="M600" s="4" t="str">
        <f t="shared" si="27"/>
        <v>HIGH</v>
      </c>
      <c r="N600" s="4" t="str" cm="1">
        <f t="array" ref="N600">_xlfn.IFS(C600&gt;35,"HIGH",C600&gt;25,"MIDDLE",TRUE,"LOW")</f>
        <v>HIGH</v>
      </c>
      <c r="O600" s="4" t="str">
        <f t="shared" si="28"/>
        <v>OTHERS</v>
      </c>
      <c r="P600" s="4" t="str">
        <f t="shared" si="29"/>
        <v>PREMINUM MORNING</v>
      </c>
    </row>
    <row r="601" spans="1:16" x14ac:dyDescent="0.3">
      <c r="A601" s="4">
        <v>10</v>
      </c>
      <c r="B601" t="s">
        <v>11</v>
      </c>
      <c r="C601" s="4">
        <v>37.72</v>
      </c>
      <c r="D601" t="s">
        <v>12</v>
      </c>
      <c r="E601" t="s">
        <v>13</v>
      </c>
      <c r="F601" s="4" t="s">
        <v>25</v>
      </c>
      <c r="G601" s="4" t="s">
        <v>33</v>
      </c>
      <c r="H601" s="4">
        <v>1</v>
      </c>
      <c r="I601" s="4">
        <v>6</v>
      </c>
      <c r="J601" s="1">
        <v>45446</v>
      </c>
      <c r="K601" s="2">
        <v>8.3807870370370373E-3</v>
      </c>
      <c r="M601" s="4" t="str">
        <f t="shared" si="27"/>
        <v>HIGH</v>
      </c>
      <c r="N601" s="4" t="str" cm="1">
        <f t="array" ref="N601">_xlfn.IFS(C601&gt;35,"HIGH",C601&gt;25,"MIDDLE",TRUE,"LOW")</f>
        <v>HIGH</v>
      </c>
      <c r="O601" s="4" t="str">
        <f t="shared" si="28"/>
        <v>PREMINUM MORNING</v>
      </c>
      <c r="P601" s="4" t="str">
        <f t="shared" si="29"/>
        <v>PREMINUM MORNING</v>
      </c>
    </row>
    <row r="602" spans="1:16" x14ac:dyDescent="0.3">
      <c r="A602" s="4">
        <v>10</v>
      </c>
      <c r="B602" t="s">
        <v>11</v>
      </c>
      <c r="C602" s="4">
        <v>37.72</v>
      </c>
      <c r="D602" t="s">
        <v>12</v>
      </c>
      <c r="E602" t="s">
        <v>13</v>
      </c>
      <c r="F602" s="4" t="s">
        <v>25</v>
      </c>
      <c r="G602" s="4" t="s">
        <v>33</v>
      </c>
      <c r="H602" s="4">
        <v>1</v>
      </c>
      <c r="I602" s="4">
        <v>6</v>
      </c>
      <c r="J602" s="1">
        <v>45446</v>
      </c>
      <c r="K602" s="2">
        <v>1.9326388888888889E-2</v>
      </c>
      <c r="M602" s="4" t="str">
        <f t="shared" si="27"/>
        <v>HIGH</v>
      </c>
      <c r="N602" s="4" t="str" cm="1">
        <f t="array" ref="N602">_xlfn.IFS(C602&gt;35,"HIGH",C602&gt;25,"MIDDLE",TRUE,"LOW")</f>
        <v>HIGH</v>
      </c>
      <c r="O602" s="4" t="str">
        <f t="shared" si="28"/>
        <v>PREMINUM MORNING</v>
      </c>
      <c r="P602" s="4" t="str">
        <f t="shared" si="29"/>
        <v>PREMINUM MORNING</v>
      </c>
    </row>
    <row r="603" spans="1:16" x14ac:dyDescent="0.3">
      <c r="A603" s="4">
        <v>14</v>
      </c>
      <c r="B603" t="s">
        <v>11</v>
      </c>
      <c r="C603" s="4">
        <v>37.72</v>
      </c>
      <c r="D603" t="s">
        <v>29</v>
      </c>
      <c r="E603" t="s">
        <v>17</v>
      </c>
      <c r="F603" s="4" t="s">
        <v>25</v>
      </c>
      <c r="G603" s="4" t="s">
        <v>33</v>
      </c>
      <c r="H603" s="4">
        <v>1</v>
      </c>
      <c r="I603" s="4">
        <v>6</v>
      </c>
      <c r="J603" s="1">
        <v>45446</v>
      </c>
      <c r="K603" s="2">
        <v>2.2017361111111109E-2</v>
      </c>
      <c r="M603" s="4" t="str">
        <f t="shared" si="27"/>
        <v>HIGH</v>
      </c>
      <c r="N603" s="4" t="str" cm="1">
        <f t="array" ref="N603">_xlfn.IFS(C603&gt;35,"HIGH",C603&gt;25,"MIDDLE",TRUE,"LOW")</f>
        <v>HIGH</v>
      </c>
      <c r="O603" s="4" t="str">
        <f t="shared" si="28"/>
        <v>OTHERS</v>
      </c>
      <c r="P603" s="4" t="str">
        <f t="shared" si="29"/>
        <v>PREMINUM MORNING</v>
      </c>
    </row>
    <row r="604" spans="1:16" x14ac:dyDescent="0.3">
      <c r="A604" s="4">
        <v>14</v>
      </c>
      <c r="B604" t="s">
        <v>11</v>
      </c>
      <c r="C604" s="4">
        <v>32.82</v>
      </c>
      <c r="D604" t="s">
        <v>19</v>
      </c>
      <c r="E604" t="s">
        <v>17</v>
      </c>
      <c r="F604" s="4" t="s">
        <v>25</v>
      </c>
      <c r="G604" s="4" t="s">
        <v>33</v>
      </c>
      <c r="H604" s="4">
        <v>1</v>
      </c>
      <c r="I604" s="4">
        <v>6</v>
      </c>
      <c r="J604" s="1">
        <v>45446</v>
      </c>
      <c r="K604" s="2">
        <v>2.2928240740740742E-2</v>
      </c>
      <c r="M604" s="4" t="str">
        <f t="shared" si="27"/>
        <v>LOW</v>
      </c>
      <c r="N604" s="4" t="str" cm="1">
        <f t="array" ref="N604">_xlfn.IFS(C604&gt;35,"HIGH",C604&gt;25,"MIDDLE",TRUE,"LOW")</f>
        <v>MIDDLE</v>
      </c>
      <c r="O604" s="4" t="str">
        <f t="shared" si="28"/>
        <v>OTHERS</v>
      </c>
      <c r="P604" s="4" t="str">
        <f t="shared" si="29"/>
        <v>OTHERS</v>
      </c>
    </row>
    <row r="605" spans="1:16" x14ac:dyDescent="0.3">
      <c r="A605" s="4">
        <v>14</v>
      </c>
      <c r="B605" t="s">
        <v>11</v>
      </c>
      <c r="C605" s="4">
        <v>37.72</v>
      </c>
      <c r="D605" t="s">
        <v>12</v>
      </c>
      <c r="E605" t="s">
        <v>17</v>
      </c>
      <c r="F605" s="4" t="s">
        <v>25</v>
      </c>
      <c r="G605" s="4" t="s">
        <v>33</v>
      </c>
      <c r="H605" s="4">
        <v>1</v>
      </c>
      <c r="I605" s="4">
        <v>6</v>
      </c>
      <c r="J605" s="1">
        <v>45446</v>
      </c>
      <c r="K605" s="2">
        <v>2.3690972222222224E-2</v>
      </c>
      <c r="M605" s="4" t="str">
        <f t="shared" si="27"/>
        <v>HIGH</v>
      </c>
      <c r="N605" s="4" t="str" cm="1">
        <f t="array" ref="N605">_xlfn.IFS(C605&gt;35,"HIGH",C605&gt;25,"MIDDLE",TRUE,"LOW")</f>
        <v>HIGH</v>
      </c>
      <c r="O605" s="4" t="str">
        <f t="shared" si="28"/>
        <v>OTHERS</v>
      </c>
      <c r="P605" s="4" t="str">
        <f t="shared" si="29"/>
        <v>PREMINUM MORNING</v>
      </c>
    </row>
    <row r="606" spans="1:16" x14ac:dyDescent="0.3">
      <c r="A606" s="4">
        <v>9</v>
      </c>
      <c r="B606" t="s">
        <v>11</v>
      </c>
      <c r="C606" s="4">
        <v>27.92</v>
      </c>
      <c r="D606" t="s">
        <v>24</v>
      </c>
      <c r="E606" t="s">
        <v>13</v>
      </c>
      <c r="F606" s="4" t="s">
        <v>27</v>
      </c>
      <c r="G606" s="4" t="s">
        <v>33</v>
      </c>
      <c r="H606" s="4">
        <v>2</v>
      </c>
      <c r="I606" s="4">
        <v>6</v>
      </c>
      <c r="J606" s="1">
        <v>45447</v>
      </c>
      <c r="K606" s="2">
        <v>1.6468750000000001E-2</v>
      </c>
      <c r="M606" s="4" t="str">
        <f t="shared" si="27"/>
        <v>LOW</v>
      </c>
      <c r="N606" s="4" t="str" cm="1">
        <f t="array" ref="N606">_xlfn.IFS(C606&gt;35,"HIGH",C606&gt;25,"MIDDLE",TRUE,"LOW")</f>
        <v>MIDDLE</v>
      </c>
      <c r="O606" s="4" t="str">
        <f t="shared" si="28"/>
        <v>OTHERS</v>
      </c>
      <c r="P606" s="4" t="str">
        <f t="shared" si="29"/>
        <v>PREMINUM MORNING</v>
      </c>
    </row>
    <row r="607" spans="1:16" x14ac:dyDescent="0.3">
      <c r="A607" s="4">
        <v>10</v>
      </c>
      <c r="B607" t="s">
        <v>11</v>
      </c>
      <c r="C607" s="4">
        <v>32.82</v>
      </c>
      <c r="D607" t="s">
        <v>19</v>
      </c>
      <c r="E607" t="s">
        <v>13</v>
      </c>
      <c r="F607" s="4" t="s">
        <v>27</v>
      </c>
      <c r="G607" s="4" t="s">
        <v>33</v>
      </c>
      <c r="H607" s="4">
        <v>2</v>
      </c>
      <c r="I607" s="4">
        <v>6</v>
      </c>
      <c r="J607" s="1">
        <v>45447</v>
      </c>
      <c r="K607" s="2">
        <v>1.8912037037037036E-2</v>
      </c>
      <c r="M607" s="4" t="str">
        <f t="shared" si="27"/>
        <v>LOW</v>
      </c>
      <c r="N607" s="4" t="str" cm="1">
        <f t="array" ref="N607">_xlfn.IFS(C607&gt;35,"HIGH",C607&gt;25,"MIDDLE",TRUE,"LOW")</f>
        <v>MIDDLE</v>
      </c>
      <c r="O607" s="4" t="str">
        <f t="shared" si="28"/>
        <v>OTHERS</v>
      </c>
      <c r="P607" s="4" t="str">
        <f t="shared" si="29"/>
        <v>PREMINUM MORNING</v>
      </c>
    </row>
    <row r="608" spans="1:16" x14ac:dyDescent="0.3">
      <c r="A608" s="4">
        <v>12</v>
      </c>
      <c r="B608" t="s">
        <v>11</v>
      </c>
      <c r="C608" s="4">
        <v>37.72</v>
      </c>
      <c r="D608" t="s">
        <v>12</v>
      </c>
      <c r="E608" t="s">
        <v>17</v>
      </c>
      <c r="F608" s="4" t="s">
        <v>27</v>
      </c>
      <c r="G608" s="4" t="s">
        <v>33</v>
      </c>
      <c r="H608" s="4">
        <v>2</v>
      </c>
      <c r="I608" s="4">
        <v>6</v>
      </c>
      <c r="J608" s="1">
        <v>45447</v>
      </c>
      <c r="K608" s="2">
        <v>1.5069444444444442E-3</v>
      </c>
      <c r="M608" s="4" t="str">
        <f t="shared" si="27"/>
        <v>HIGH</v>
      </c>
      <c r="N608" s="4" t="str" cm="1">
        <f t="array" ref="N608">_xlfn.IFS(C608&gt;35,"HIGH",C608&gt;25,"MIDDLE",TRUE,"LOW")</f>
        <v>HIGH</v>
      </c>
      <c r="O608" s="4" t="str">
        <f t="shared" si="28"/>
        <v>OTHERS</v>
      </c>
      <c r="P608" s="4" t="str">
        <f t="shared" si="29"/>
        <v>PREMINUM MORNING</v>
      </c>
    </row>
    <row r="609" spans="1:16" x14ac:dyDescent="0.3">
      <c r="A609" s="4">
        <v>12</v>
      </c>
      <c r="B609" t="s">
        <v>11</v>
      </c>
      <c r="C609" s="4">
        <v>37.72</v>
      </c>
      <c r="D609" t="s">
        <v>16</v>
      </c>
      <c r="E609" t="s">
        <v>17</v>
      </c>
      <c r="F609" s="4" t="s">
        <v>27</v>
      </c>
      <c r="G609" s="4" t="s">
        <v>33</v>
      </c>
      <c r="H609" s="4">
        <v>2</v>
      </c>
      <c r="I609" s="4">
        <v>6</v>
      </c>
      <c r="J609" s="1">
        <v>45447</v>
      </c>
      <c r="K609" s="2">
        <v>3.8101851851851851E-3</v>
      </c>
      <c r="M609" s="4" t="str">
        <f t="shared" si="27"/>
        <v>HIGH</v>
      </c>
      <c r="N609" s="4" t="str" cm="1">
        <f t="array" ref="N609">_xlfn.IFS(C609&gt;35,"HIGH",C609&gt;25,"MIDDLE",TRUE,"LOW")</f>
        <v>HIGH</v>
      </c>
      <c r="O609" s="4" t="str">
        <f t="shared" si="28"/>
        <v>OTHERS</v>
      </c>
      <c r="P609" s="4" t="str">
        <f t="shared" si="29"/>
        <v>PREMINUM MORNING</v>
      </c>
    </row>
    <row r="610" spans="1:16" x14ac:dyDescent="0.3">
      <c r="A610" s="4">
        <v>15</v>
      </c>
      <c r="B610" t="s">
        <v>11</v>
      </c>
      <c r="C610" s="4">
        <v>37.72</v>
      </c>
      <c r="D610" t="s">
        <v>12</v>
      </c>
      <c r="E610" t="s">
        <v>17</v>
      </c>
      <c r="F610" s="4" t="s">
        <v>27</v>
      </c>
      <c r="G610" s="4" t="s">
        <v>33</v>
      </c>
      <c r="H610" s="4">
        <v>2</v>
      </c>
      <c r="I610" s="4">
        <v>6</v>
      </c>
      <c r="J610" s="1">
        <v>45447</v>
      </c>
      <c r="K610" s="2">
        <v>2.1209490740740741E-2</v>
      </c>
      <c r="M610" s="4" t="str">
        <f t="shared" si="27"/>
        <v>HIGH</v>
      </c>
      <c r="N610" s="4" t="str" cm="1">
        <f t="array" ref="N610">_xlfn.IFS(C610&gt;35,"HIGH",C610&gt;25,"MIDDLE",TRUE,"LOW")</f>
        <v>HIGH</v>
      </c>
      <c r="O610" s="4" t="str">
        <f t="shared" si="28"/>
        <v>OTHERS</v>
      </c>
      <c r="P610" s="4" t="str">
        <f t="shared" si="29"/>
        <v>PREMINUM MORNING</v>
      </c>
    </row>
    <row r="611" spans="1:16" x14ac:dyDescent="0.3">
      <c r="A611" s="4">
        <v>17</v>
      </c>
      <c r="B611" t="s">
        <v>11</v>
      </c>
      <c r="C611" s="4">
        <v>27.92</v>
      </c>
      <c r="D611" t="s">
        <v>24</v>
      </c>
      <c r="E611" t="s">
        <v>20</v>
      </c>
      <c r="F611" s="4" t="s">
        <v>27</v>
      </c>
      <c r="G611" s="4" t="s">
        <v>33</v>
      </c>
      <c r="H611" s="4">
        <v>2</v>
      </c>
      <c r="I611" s="4">
        <v>6</v>
      </c>
      <c r="J611" s="1">
        <v>45447</v>
      </c>
      <c r="K611" s="2">
        <v>3.2369212962962961E-2</v>
      </c>
      <c r="M611" s="4" t="str">
        <f t="shared" si="27"/>
        <v>LOW</v>
      </c>
      <c r="N611" s="4" t="str" cm="1">
        <f t="array" ref="N611">_xlfn.IFS(C611&gt;35,"HIGH",C611&gt;25,"MIDDLE",TRUE,"LOW")</f>
        <v>MIDDLE</v>
      </c>
      <c r="O611" s="4" t="str">
        <f t="shared" si="28"/>
        <v>OTHERS</v>
      </c>
      <c r="P611" s="4" t="str">
        <f t="shared" si="29"/>
        <v>OTHERS</v>
      </c>
    </row>
    <row r="612" spans="1:16" x14ac:dyDescent="0.3">
      <c r="A612" s="4">
        <v>17</v>
      </c>
      <c r="B612" t="s">
        <v>11</v>
      </c>
      <c r="C612" s="4">
        <v>37.72</v>
      </c>
      <c r="D612" t="s">
        <v>29</v>
      </c>
      <c r="E612" t="s">
        <v>20</v>
      </c>
      <c r="F612" s="4" t="s">
        <v>27</v>
      </c>
      <c r="G612" s="4" t="s">
        <v>33</v>
      </c>
      <c r="H612" s="4">
        <v>2</v>
      </c>
      <c r="I612" s="4">
        <v>6</v>
      </c>
      <c r="J612" s="1">
        <v>45447</v>
      </c>
      <c r="K612" s="2">
        <v>3.2972222222222222E-2</v>
      </c>
      <c r="M612" s="4" t="str">
        <f t="shared" si="27"/>
        <v>HIGH</v>
      </c>
      <c r="N612" s="4" t="str" cm="1">
        <f t="array" ref="N612">_xlfn.IFS(C612&gt;35,"HIGH",C612&gt;25,"MIDDLE",TRUE,"LOW")</f>
        <v>HIGH</v>
      </c>
      <c r="O612" s="4" t="str">
        <f t="shared" si="28"/>
        <v>OTHERS</v>
      </c>
      <c r="P612" s="4" t="str">
        <f t="shared" si="29"/>
        <v>PREMINUM MORNING</v>
      </c>
    </row>
    <row r="613" spans="1:16" x14ac:dyDescent="0.3">
      <c r="A613" s="4">
        <v>20</v>
      </c>
      <c r="B613" t="s">
        <v>11</v>
      </c>
      <c r="C613" s="4">
        <v>37.72</v>
      </c>
      <c r="D613" t="s">
        <v>16</v>
      </c>
      <c r="E613" t="s">
        <v>20</v>
      </c>
      <c r="F613" s="4" t="s">
        <v>27</v>
      </c>
      <c r="G613" s="4" t="s">
        <v>33</v>
      </c>
      <c r="H613" s="4">
        <v>2</v>
      </c>
      <c r="I613" s="4">
        <v>6</v>
      </c>
      <c r="J613" s="1">
        <v>45447</v>
      </c>
      <c r="K613" s="2">
        <v>9.0416666666666666E-3</v>
      </c>
      <c r="M613" s="4" t="str">
        <f t="shared" si="27"/>
        <v>HIGH</v>
      </c>
      <c r="N613" s="4" t="str" cm="1">
        <f t="array" ref="N613">_xlfn.IFS(C613&gt;35,"HIGH",C613&gt;25,"MIDDLE",TRUE,"LOW")</f>
        <v>HIGH</v>
      </c>
      <c r="O613" s="4" t="str">
        <f t="shared" si="28"/>
        <v>OTHERS</v>
      </c>
      <c r="P613" s="4" t="str">
        <f t="shared" si="29"/>
        <v>PREMINUM MORNING</v>
      </c>
    </row>
    <row r="614" spans="1:16" x14ac:dyDescent="0.3">
      <c r="A614" s="4">
        <v>20</v>
      </c>
      <c r="B614" t="s">
        <v>11</v>
      </c>
      <c r="C614" s="4">
        <v>37.72</v>
      </c>
      <c r="D614" t="s">
        <v>29</v>
      </c>
      <c r="E614" t="s">
        <v>20</v>
      </c>
      <c r="F614" s="4" t="s">
        <v>27</v>
      </c>
      <c r="G614" s="4" t="s">
        <v>33</v>
      </c>
      <c r="H614" s="4">
        <v>2</v>
      </c>
      <c r="I614" s="4">
        <v>6</v>
      </c>
      <c r="J614" s="1">
        <v>45447</v>
      </c>
      <c r="K614" s="2">
        <v>3.5114583333333331E-2</v>
      </c>
      <c r="M614" s="4" t="str">
        <f t="shared" si="27"/>
        <v>HIGH</v>
      </c>
      <c r="N614" s="4" t="str" cm="1">
        <f t="array" ref="N614">_xlfn.IFS(C614&gt;35,"HIGH",C614&gt;25,"MIDDLE",TRUE,"LOW")</f>
        <v>HIGH</v>
      </c>
      <c r="O614" s="4" t="str">
        <f t="shared" si="28"/>
        <v>OTHERS</v>
      </c>
      <c r="P614" s="4" t="str">
        <f t="shared" si="29"/>
        <v>PREMINUM MORNING</v>
      </c>
    </row>
    <row r="615" spans="1:16" x14ac:dyDescent="0.3">
      <c r="A615" s="4">
        <v>21</v>
      </c>
      <c r="B615" t="s">
        <v>11</v>
      </c>
      <c r="C615" s="4">
        <v>27.92</v>
      </c>
      <c r="D615" t="s">
        <v>24</v>
      </c>
      <c r="E615" t="s">
        <v>20</v>
      </c>
      <c r="F615" s="4" t="s">
        <v>27</v>
      </c>
      <c r="G615" s="4" t="s">
        <v>33</v>
      </c>
      <c r="H615" s="4">
        <v>2</v>
      </c>
      <c r="I615" s="4">
        <v>6</v>
      </c>
      <c r="J615" s="1">
        <v>45447</v>
      </c>
      <c r="K615" s="2">
        <v>2.2209490740740741E-2</v>
      </c>
      <c r="M615" s="4" t="str">
        <f t="shared" si="27"/>
        <v>LOW</v>
      </c>
      <c r="N615" s="4" t="str" cm="1">
        <f t="array" ref="N615">_xlfn.IFS(C615&gt;35,"HIGH",C615&gt;25,"MIDDLE",TRUE,"LOW")</f>
        <v>MIDDLE</v>
      </c>
      <c r="O615" s="4" t="str">
        <f t="shared" si="28"/>
        <v>OTHERS</v>
      </c>
      <c r="P615" s="4" t="str">
        <f t="shared" si="29"/>
        <v>OTHERS</v>
      </c>
    </row>
    <row r="616" spans="1:16" x14ac:dyDescent="0.3">
      <c r="A616" s="4">
        <v>21</v>
      </c>
      <c r="B616" t="s">
        <v>11</v>
      </c>
      <c r="C616" s="4">
        <v>32.82</v>
      </c>
      <c r="D616" t="s">
        <v>19</v>
      </c>
      <c r="E616" t="s">
        <v>20</v>
      </c>
      <c r="F616" s="4" t="s">
        <v>27</v>
      </c>
      <c r="G616" s="4" t="s">
        <v>33</v>
      </c>
      <c r="H616" s="4">
        <v>2</v>
      </c>
      <c r="I616" s="4">
        <v>6</v>
      </c>
      <c r="J616" s="1">
        <v>45447</v>
      </c>
      <c r="K616" s="2">
        <v>2.2946759259259257E-2</v>
      </c>
      <c r="M616" s="4" t="str">
        <f t="shared" si="27"/>
        <v>LOW</v>
      </c>
      <c r="N616" s="4" t="str" cm="1">
        <f t="array" ref="N616">_xlfn.IFS(C616&gt;35,"HIGH",C616&gt;25,"MIDDLE",TRUE,"LOW")</f>
        <v>MIDDLE</v>
      </c>
      <c r="O616" s="4" t="str">
        <f t="shared" si="28"/>
        <v>OTHERS</v>
      </c>
      <c r="P616" s="4" t="str">
        <f t="shared" si="29"/>
        <v>OTHERS</v>
      </c>
    </row>
    <row r="617" spans="1:16" x14ac:dyDescent="0.3">
      <c r="A617" s="4">
        <v>21</v>
      </c>
      <c r="B617" t="s">
        <v>11</v>
      </c>
      <c r="C617" s="4">
        <v>32.82</v>
      </c>
      <c r="D617" t="s">
        <v>19</v>
      </c>
      <c r="E617" t="s">
        <v>20</v>
      </c>
      <c r="F617" s="4" t="s">
        <v>27</v>
      </c>
      <c r="G617" s="4" t="s">
        <v>33</v>
      </c>
      <c r="H617" s="4">
        <v>2</v>
      </c>
      <c r="I617" s="4">
        <v>6</v>
      </c>
      <c r="J617" s="1">
        <v>45447</v>
      </c>
      <c r="K617" s="2">
        <v>2.4255787037037034E-2</v>
      </c>
      <c r="M617" s="4" t="str">
        <f t="shared" si="27"/>
        <v>LOW</v>
      </c>
      <c r="N617" s="4" t="str" cm="1">
        <f t="array" ref="N617">_xlfn.IFS(C617&gt;35,"HIGH",C617&gt;25,"MIDDLE",TRUE,"LOW")</f>
        <v>MIDDLE</v>
      </c>
      <c r="O617" s="4" t="str">
        <f t="shared" si="28"/>
        <v>OTHERS</v>
      </c>
      <c r="P617" s="4" t="str">
        <f t="shared" si="29"/>
        <v>OTHERS</v>
      </c>
    </row>
    <row r="618" spans="1:16" x14ac:dyDescent="0.3">
      <c r="A618" s="4">
        <v>21</v>
      </c>
      <c r="B618" t="s">
        <v>11</v>
      </c>
      <c r="C618" s="4">
        <v>32.82</v>
      </c>
      <c r="D618" t="s">
        <v>19</v>
      </c>
      <c r="E618" t="s">
        <v>20</v>
      </c>
      <c r="F618" s="4" t="s">
        <v>27</v>
      </c>
      <c r="G618" s="4" t="s">
        <v>33</v>
      </c>
      <c r="H618" s="4">
        <v>2</v>
      </c>
      <c r="I618" s="4">
        <v>6</v>
      </c>
      <c r="J618" s="1">
        <v>45447</v>
      </c>
      <c r="K618" s="2">
        <v>2.5079861111111112E-2</v>
      </c>
      <c r="M618" s="4" t="str">
        <f t="shared" si="27"/>
        <v>LOW</v>
      </c>
      <c r="N618" s="4" t="str" cm="1">
        <f t="array" ref="N618">_xlfn.IFS(C618&gt;35,"HIGH",C618&gt;25,"MIDDLE",TRUE,"LOW")</f>
        <v>MIDDLE</v>
      </c>
      <c r="O618" s="4" t="str">
        <f t="shared" si="28"/>
        <v>OTHERS</v>
      </c>
      <c r="P618" s="4" t="str">
        <f t="shared" si="29"/>
        <v>OTHERS</v>
      </c>
    </row>
    <row r="619" spans="1:16" x14ac:dyDescent="0.3">
      <c r="A619" s="4">
        <v>21</v>
      </c>
      <c r="B619" t="s">
        <v>11</v>
      </c>
      <c r="C619" s="4">
        <v>32.82</v>
      </c>
      <c r="D619" t="s">
        <v>19</v>
      </c>
      <c r="E619" t="s">
        <v>20</v>
      </c>
      <c r="F619" s="4" t="s">
        <v>27</v>
      </c>
      <c r="G619" s="4" t="s">
        <v>33</v>
      </c>
      <c r="H619" s="4">
        <v>2</v>
      </c>
      <c r="I619" s="4">
        <v>6</v>
      </c>
      <c r="J619" s="1">
        <v>45447</v>
      </c>
      <c r="K619" s="2">
        <v>2.587037037037037E-2</v>
      </c>
      <c r="M619" s="4" t="str">
        <f t="shared" si="27"/>
        <v>LOW</v>
      </c>
      <c r="N619" s="4" t="str" cm="1">
        <f t="array" ref="N619">_xlfn.IFS(C619&gt;35,"HIGH",C619&gt;25,"MIDDLE",TRUE,"LOW")</f>
        <v>MIDDLE</v>
      </c>
      <c r="O619" s="4" t="str">
        <f t="shared" si="28"/>
        <v>OTHERS</v>
      </c>
      <c r="P619" s="4" t="str">
        <f t="shared" si="29"/>
        <v>OTHERS</v>
      </c>
    </row>
    <row r="620" spans="1:16" x14ac:dyDescent="0.3">
      <c r="A620" s="4">
        <v>8</v>
      </c>
      <c r="B620" t="s">
        <v>11</v>
      </c>
      <c r="C620" s="4">
        <v>37.72</v>
      </c>
      <c r="D620" t="s">
        <v>29</v>
      </c>
      <c r="E620" t="s">
        <v>13</v>
      </c>
      <c r="F620" s="4" t="s">
        <v>28</v>
      </c>
      <c r="G620" s="4" t="s">
        <v>33</v>
      </c>
      <c r="H620" s="4">
        <v>3</v>
      </c>
      <c r="I620" s="4">
        <v>6</v>
      </c>
      <c r="J620" s="1">
        <v>45448</v>
      </c>
      <c r="K620" s="2">
        <v>1.5150462962962963E-2</v>
      </c>
      <c r="M620" s="4" t="str">
        <f t="shared" si="27"/>
        <v>HIGH</v>
      </c>
      <c r="N620" s="4" t="str" cm="1">
        <f t="array" ref="N620">_xlfn.IFS(C620&gt;35,"HIGH",C620&gt;25,"MIDDLE",TRUE,"LOW")</f>
        <v>HIGH</v>
      </c>
      <c r="O620" s="4" t="str">
        <f t="shared" si="28"/>
        <v>PREMINUM MORNING</v>
      </c>
      <c r="P620" s="4" t="str">
        <f t="shared" si="29"/>
        <v>PREMINUM MORNING</v>
      </c>
    </row>
    <row r="621" spans="1:16" x14ac:dyDescent="0.3">
      <c r="A621" s="4">
        <v>8</v>
      </c>
      <c r="B621" t="s">
        <v>11</v>
      </c>
      <c r="C621" s="4">
        <v>37.72</v>
      </c>
      <c r="D621" t="s">
        <v>29</v>
      </c>
      <c r="E621" t="s">
        <v>13</v>
      </c>
      <c r="F621" s="4" t="s">
        <v>28</v>
      </c>
      <c r="G621" s="4" t="s">
        <v>33</v>
      </c>
      <c r="H621" s="4">
        <v>3</v>
      </c>
      <c r="I621" s="4">
        <v>6</v>
      </c>
      <c r="J621" s="1">
        <v>45448</v>
      </c>
      <c r="K621" s="2">
        <v>1.6049768518518519E-2</v>
      </c>
      <c r="M621" s="4" t="str">
        <f t="shared" si="27"/>
        <v>HIGH</v>
      </c>
      <c r="N621" s="4" t="str" cm="1">
        <f t="array" ref="N621">_xlfn.IFS(C621&gt;35,"HIGH",C621&gt;25,"MIDDLE",TRUE,"LOW")</f>
        <v>HIGH</v>
      </c>
      <c r="O621" s="4" t="str">
        <f t="shared" si="28"/>
        <v>PREMINUM MORNING</v>
      </c>
      <c r="P621" s="4" t="str">
        <f t="shared" si="29"/>
        <v>PREMINUM MORNING</v>
      </c>
    </row>
    <row r="622" spans="1:16" x14ac:dyDescent="0.3">
      <c r="A622" s="4">
        <v>9</v>
      </c>
      <c r="B622" t="s">
        <v>11</v>
      </c>
      <c r="C622" s="4">
        <v>27.92</v>
      </c>
      <c r="D622" t="s">
        <v>18</v>
      </c>
      <c r="E622" t="s">
        <v>13</v>
      </c>
      <c r="F622" s="4" t="s">
        <v>28</v>
      </c>
      <c r="G622" s="4" t="s">
        <v>33</v>
      </c>
      <c r="H622" s="4">
        <v>3</v>
      </c>
      <c r="I622" s="4">
        <v>6</v>
      </c>
      <c r="J622" s="1">
        <v>45448</v>
      </c>
      <c r="K622" s="2">
        <v>1.5776620370370368E-2</v>
      </c>
      <c r="M622" s="4" t="str">
        <f t="shared" si="27"/>
        <v>LOW</v>
      </c>
      <c r="N622" s="4" t="str" cm="1">
        <f t="array" ref="N622">_xlfn.IFS(C622&gt;35,"HIGH",C622&gt;25,"MIDDLE",TRUE,"LOW")</f>
        <v>MIDDLE</v>
      </c>
      <c r="O622" s="4" t="str">
        <f t="shared" si="28"/>
        <v>OTHERS</v>
      </c>
      <c r="P622" s="4" t="str">
        <f t="shared" si="29"/>
        <v>PREMINUM MORNING</v>
      </c>
    </row>
    <row r="623" spans="1:16" x14ac:dyDescent="0.3">
      <c r="A623" s="4">
        <v>10</v>
      </c>
      <c r="B623" t="s">
        <v>11</v>
      </c>
      <c r="C623" s="4">
        <v>37.72</v>
      </c>
      <c r="D623" t="s">
        <v>12</v>
      </c>
      <c r="E623" t="s">
        <v>13</v>
      </c>
      <c r="F623" s="4" t="s">
        <v>28</v>
      </c>
      <c r="G623" s="4" t="s">
        <v>33</v>
      </c>
      <c r="H623" s="4">
        <v>3</v>
      </c>
      <c r="I623" s="4">
        <v>6</v>
      </c>
      <c r="J623" s="1">
        <v>45448</v>
      </c>
      <c r="K623" s="2">
        <v>2.0030092592592592E-2</v>
      </c>
      <c r="M623" s="4" t="str">
        <f t="shared" si="27"/>
        <v>HIGH</v>
      </c>
      <c r="N623" s="4" t="str" cm="1">
        <f t="array" ref="N623">_xlfn.IFS(C623&gt;35,"HIGH",C623&gt;25,"MIDDLE",TRUE,"LOW")</f>
        <v>HIGH</v>
      </c>
      <c r="O623" s="4" t="str">
        <f t="shared" si="28"/>
        <v>PREMINUM MORNING</v>
      </c>
      <c r="P623" s="4" t="str">
        <f t="shared" si="29"/>
        <v>PREMINUM MORNING</v>
      </c>
    </row>
    <row r="624" spans="1:16" x14ac:dyDescent="0.3">
      <c r="A624" s="4">
        <v>10</v>
      </c>
      <c r="B624" t="s">
        <v>11</v>
      </c>
      <c r="C624" s="4">
        <v>32.82</v>
      </c>
      <c r="D624" t="s">
        <v>19</v>
      </c>
      <c r="E624" t="s">
        <v>13</v>
      </c>
      <c r="F624" s="4" t="s">
        <v>28</v>
      </c>
      <c r="G624" s="4" t="s">
        <v>33</v>
      </c>
      <c r="H624" s="4">
        <v>3</v>
      </c>
      <c r="I624" s="4">
        <v>6</v>
      </c>
      <c r="J624" s="1">
        <v>45448</v>
      </c>
      <c r="K624" s="2">
        <v>2.8393518518518516E-2</v>
      </c>
      <c r="M624" s="4" t="str">
        <f t="shared" si="27"/>
        <v>LOW</v>
      </c>
      <c r="N624" s="4" t="str" cm="1">
        <f t="array" ref="N624">_xlfn.IFS(C624&gt;35,"HIGH",C624&gt;25,"MIDDLE",TRUE,"LOW")</f>
        <v>MIDDLE</v>
      </c>
      <c r="O624" s="4" t="str">
        <f t="shared" si="28"/>
        <v>OTHERS</v>
      </c>
      <c r="P624" s="4" t="str">
        <f t="shared" si="29"/>
        <v>PREMINUM MORNING</v>
      </c>
    </row>
    <row r="625" spans="1:16" x14ac:dyDescent="0.3">
      <c r="A625" s="4">
        <v>19</v>
      </c>
      <c r="B625" t="s">
        <v>11</v>
      </c>
      <c r="C625" s="4">
        <v>32.82</v>
      </c>
      <c r="D625" t="s">
        <v>19</v>
      </c>
      <c r="E625" t="s">
        <v>20</v>
      </c>
      <c r="F625" s="4" t="s">
        <v>28</v>
      </c>
      <c r="G625" s="4" t="s">
        <v>33</v>
      </c>
      <c r="H625" s="4">
        <v>3</v>
      </c>
      <c r="I625" s="4">
        <v>6</v>
      </c>
      <c r="J625" s="1">
        <v>45448</v>
      </c>
      <c r="K625" s="2">
        <v>3.0528935185185183E-2</v>
      </c>
      <c r="M625" s="4" t="str">
        <f t="shared" si="27"/>
        <v>LOW</v>
      </c>
      <c r="N625" s="4" t="str" cm="1">
        <f t="array" ref="N625">_xlfn.IFS(C625&gt;35,"HIGH",C625&gt;25,"MIDDLE",TRUE,"LOW")</f>
        <v>MIDDLE</v>
      </c>
      <c r="O625" s="4" t="str">
        <f t="shared" si="28"/>
        <v>OTHERS</v>
      </c>
      <c r="P625" s="4" t="str">
        <f t="shared" si="29"/>
        <v>OTHERS</v>
      </c>
    </row>
    <row r="626" spans="1:16" x14ac:dyDescent="0.3">
      <c r="A626" s="4">
        <v>19</v>
      </c>
      <c r="B626" t="s">
        <v>11</v>
      </c>
      <c r="C626" s="4">
        <v>37.72</v>
      </c>
      <c r="D626" t="s">
        <v>12</v>
      </c>
      <c r="E626" t="s">
        <v>20</v>
      </c>
      <c r="F626" s="4" t="s">
        <v>28</v>
      </c>
      <c r="G626" s="4" t="s">
        <v>33</v>
      </c>
      <c r="H626" s="4">
        <v>3</v>
      </c>
      <c r="I626" s="4">
        <v>6</v>
      </c>
      <c r="J626" s="1">
        <v>45448</v>
      </c>
      <c r="K626" s="2">
        <v>4.1591435185185183E-2</v>
      </c>
      <c r="M626" s="4" t="str">
        <f t="shared" si="27"/>
        <v>HIGH</v>
      </c>
      <c r="N626" s="4" t="str" cm="1">
        <f t="array" ref="N626">_xlfn.IFS(C626&gt;35,"HIGH",C626&gt;25,"MIDDLE",TRUE,"LOW")</f>
        <v>HIGH</v>
      </c>
      <c r="O626" s="4" t="str">
        <f t="shared" si="28"/>
        <v>OTHERS</v>
      </c>
      <c r="P626" s="4" t="str">
        <f t="shared" si="29"/>
        <v>PREMINUM MORNING</v>
      </c>
    </row>
    <row r="627" spans="1:16" x14ac:dyDescent="0.3">
      <c r="A627" s="4">
        <v>20</v>
      </c>
      <c r="B627" t="s">
        <v>11</v>
      </c>
      <c r="C627" s="4">
        <v>37.72</v>
      </c>
      <c r="D627" t="s">
        <v>21</v>
      </c>
      <c r="E627" t="s">
        <v>20</v>
      </c>
      <c r="F627" s="4" t="s">
        <v>28</v>
      </c>
      <c r="G627" s="4" t="s">
        <v>33</v>
      </c>
      <c r="H627" s="4">
        <v>3</v>
      </c>
      <c r="I627" s="4">
        <v>6</v>
      </c>
      <c r="J627" s="1">
        <v>45448</v>
      </c>
      <c r="K627" s="2">
        <v>7.495370370370371E-3</v>
      </c>
      <c r="M627" s="4" t="str">
        <f t="shared" si="27"/>
        <v>HIGH</v>
      </c>
      <c r="N627" s="4" t="str" cm="1">
        <f t="array" ref="N627">_xlfn.IFS(C627&gt;35,"HIGH",C627&gt;25,"MIDDLE",TRUE,"LOW")</f>
        <v>HIGH</v>
      </c>
      <c r="O627" s="4" t="str">
        <f t="shared" si="28"/>
        <v>OTHERS</v>
      </c>
      <c r="P627" s="4" t="str">
        <f t="shared" si="29"/>
        <v>PREMINUM MORNING</v>
      </c>
    </row>
    <row r="628" spans="1:16" x14ac:dyDescent="0.3">
      <c r="A628" s="4">
        <v>20</v>
      </c>
      <c r="B628" t="s">
        <v>11</v>
      </c>
      <c r="C628" s="4">
        <v>27.92</v>
      </c>
      <c r="D628" t="s">
        <v>24</v>
      </c>
      <c r="E628" t="s">
        <v>20</v>
      </c>
      <c r="F628" s="4" t="s">
        <v>28</v>
      </c>
      <c r="G628" s="4" t="s">
        <v>33</v>
      </c>
      <c r="H628" s="4">
        <v>3</v>
      </c>
      <c r="I628" s="4">
        <v>6</v>
      </c>
      <c r="J628" s="1">
        <v>45448</v>
      </c>
      <c r="K628" s="2">
        <v>8.3530092592592597E-3</v>
      </c>
      <c r="M628" s="4" t="str">
        <f t="shared" si="27"/>
        <v>LOW</v>
      </c>
      <c r="N628" s="4" t="str" cm="1">
        <f t="array" ref="N628">_xlfn.IFS(C628&gt;35,"HIGH",C628&gt;25,"MIDDLE",TRUE,"LOW")</f>
        <v>MIDDLE</v>
      </c>
      <c r="O628" s="4" t="str">
        <f t="shared" si="28"/>
        <v>OTHERS</v>
      </c>
      <c r="P628" s="4" t="str">
        <f t="shared" si="29"/>
        <v>OTHERS</v>
      </c>
    </row>
    <row r="629" spans="1:16" x14ac:dyDescent="0.3">
      <c r="A629" s="4">
        <v>8</v>
      </c>
      <c r="B629" t="s">
        <v>11</v>
      </c>
      <c r="C629" s="4">
        <v>32.82</v>
      </c>
      <c r="D629" t="s">
        <v>19</v>
      </c>
      <c r="E629" t="s">
        <v>13</v>
      </c>
      <c r="F629" s="4" t="s">
        <v>30</v>
      </c>
      <c r="G629" s="4" t="s">
        <v>33</v>
      </c>
      <c r="H629" s="4">
        <v>4</v>
      </c>
      <c r="I629" s="4">
        <v>6</v>
      </c>
      <c r="J629" s="1">
        <v>45449</v>
      </c>
      <c r="K629" s="2">
        <v>3.6763888888888888E-2</v>
      </c>
      <c r="M629" s="4" t="str">
        <f t="shared" si="27"/>
        <v>LOW</v>
      </c>
      <c r="N629" s="4" t="str" cm="1">
        <f t="array" ref="N629">_xlfn.IFS(C629&gt;35,"HIGH",C629&gt;25,"MIDDLE",TRUE,"LOW")</f>
        <v>MIDDLE</v>
      </c>
      <c r="O629" s="4" t="str">
        <f t="shared" si="28"/>
        <v>OTHERS</v>
      </c>
      <c r="P629" s="4" t="str">
        <f t="shared" si="29"/>
        <v>PREMINUM MORNING</v>
      </c>
    </row>
    <row r="630" spans="1:16" x14ac:dyDescent="0.3">
      <c r="A630" s="4">
        <v>8</v>
      </c>
      <c r="B630" t="s">
        <v>11</v>
      </c>
      <c r="C630" s="4">
        <v>32.82</v>
      </c>
      <c r="D630" t="s">
        <v>19</v>
      </c>
      <c r="E630" t="s">
        <v>13</v>
      </c>
      <c r="F630" s="4" t="s">
        <v>30</v>
      </c>
      <c r="G630" s="4" t="s">
        <v>33</v>
      </c>
      <c r="H630" s="4">
        <v>4</v>
      </c>
      <c r="I630" s="4">
        <v>6</v>
      </c>
      <c r="J630" s="1">
        <v>45449</v>
      </c>
      <c r="K630" s="2">
        <v>3.7598379629629627E-2</v>
      </c>
      <c r="M630" s="4" t="str">
        <f t="shared" si="27"/>
        <v>LOW</v>
      </c>
      <c r="N630" s="4" t="str" cm="1">
        <f t="array" ref="N630">_xlfn.IFS(C630&gt;35,"HIGH",C630&gt;25,"MIDDLE",TRUE,"LOW")</f>
        <v>MIDDLE</v>
      </c>
      <c r="O630" s="4" t="str">
        <f t="shared" si="28"/>
        <v>OTHERS</v>
      </c>
      <c r="P630" s="4" t="str">
        <f t="shared" si="29"/>
        <v>PREMINUM MORNING</v>
      </c>
    </row>
    <row r="631" spans="1:16" x14ac:dyDescent="0.3">
      <c r="A631" s="4">
        <v>10</v>
      </c>
      <c r="B631" t="s">
        <v>11</v>
      </c>
      <c r="C631" s="4">
        <v>37.72</v>
      </c>
      <c r="D631" t="s">
        <v>12</v>
      </c>
      <c r="E631" t="s">
        <v>13</v>
      </c>
      <c r="F631" s="4" t="s">
        <v>30</v>
      </c>
      <c r="G631" s="4" t="s">
        <v>33</v>
      </c>
      <c r="H631" s="4">
        <v>4</v>
      </c>
      <c r="I631" s="4">
        <v>6</v>
      </c>
      <c r="J631" s="1">
        <v>45449</v>
      </c>
      <c r="K631" s="2">
        <v>2.5112268518518516E-2</v>
      </c>
      <c r="M631" s="4" t="str">
        <f t="shared" si="27"/>
        <v>HIGH</v>
      </c>
      <c r="N631" s="4" t="str" cm="1">
        <f t="array" ref="N631">_xlfn.IFS(C631&gt;35,"HIGH",C631&gt;25,"MIDDLE",TRUE,"LOW")</f>
        <v>HIGH</v>
      </c>
      <c r="O631" s="4" t="str">
        <f t="shared" si="28"/>
        <v>PREMINUM MORNING</v>
      </c>
      <c r="P631" s="4" t="str">
        <f t="shared" si="29"/>
        <v>PREMINUM MORNING</v>
      </c>
    </row>
    <row r="632" spans="1:16" x14ac:dyDescent="0.3">
      <c r="A632" s="4">
        <v>12</v>
      </c>
      <c r="B632" t="s">
        <v>11</v>
      </c>
      <c r="C632" s="4">
        <v>27.92</v>
      </c>
      <c r="D632" t="s">
        <v>18</v>
      </c>
      <c r="E632" t="s">
        <v>17</v>
      </c>
      <c r="F632" s="4" t="s">
        <v>30</v>
      </c>
      <c r="G632" s="4" t="s">
        <v>33</v>
      </c>
      <c r="H632" s="4">
        <v>4</v>
      </c>
      <c r="I632" s="4">
        <v>6</v>
      </c>
      <c r="J632" s="1">
        <v>45449</v>
      </c>
      <c r="K632" s="2">
        <v>1.2285879629629629E-2</v>
      </c>
      <c r="M632" s="4" t="str">
        <f t="shared" si="27"/>
        <v>LOW</v>
      </c>
      <c r="N632" s="4" t="str" cm="1">
        <f t="array" ref="N632">_xlfn.IFS(C632&gt;35,"HIGH",C632&gt;25,"MIDDLE",TRUE,"LOW")</f>
        <v>MIDDLE</v>
      </c>
      <c r="O632" s="4" t="str">
        <f t="shared" si="28"/>
        <v>OTHERS</v>
      </c>
      <c r="P632" s="4" t="str">
        <f t="shared" si="29"/>
        <v>OTHERS</v>
      </c>
    </row>
    <row r="633" spans="1:16" x14ac:dyDescent="0.3">
      <c r="A633" s="4">
        <v>15</v>
      </c>
      <c r="B633" t="s">
        <v>11</v>
      </c>
      <c r="C633" s="4">
        <v>32.82</v>
      </c>
      <c r="D633" t="s">
        <v>19</v>
      </c>
      <c r="E633" t="s">
        <v>17</v>
      </c>
      <c r="F633" s="4" t="s">
        <v>30</v>
      </c>
      <c r="G633" s="4" t="s">
        <v>33</v>
      </c>
      <c r="H633" s="4">
        <v>4</v>
      </c>
      <c r="I633" s="4">
        <v>6</v>
      </c>
      <c r="J633" s="1">
        <v>45449</v>
      </c>
      <c r="K633" s="2">
        <v>7.8032407407407417E-3</v>
      </c>
      <c r="M633" s="4" t="str">
        <f t="shared" si="27"/>
        <v>LOW</v>
      </c>
      <c r="N633" s="4" t="str" cm="1">
        <f t="array" ref="N633">_xlfn.IFS(C633&gt;35,"HIGH",C633&gt;25,"MIDDLE",TRUE,"LOW")</f>
        <v>MIDDLE</v>
      </c>
      <c r="O633" s="4" t="str">
        <f t="shared" si="28"/>
        <v>OTHERS</v>
      </c>
      <c r="P633" s="4" t="str">
        <f t="shared" si="29"/>
        <v>OTHERS</v>
      </c>
    </row>
    <row r="634" spans="1:16" x14ac:dyDescent="0.3">
      <c r="A634" s="4">
        <v>15</v>
      </c>
      <c r="B634" t="s">
        <v>11</v>
      </c>
      <c r="C634" s="4">
        <v>37.72</v>
      </c>
      <c r="D634" t="s">
        <v>29</v>
      </c>
      <c r="E634" t="s">
        <v>17</v>
      </c>
      <c r="F634" s="4" t="s">
        <v>30</v>
      </c>
      <c r="G634" s="4" t="s">
        <v>33</v>
      </c>
      <c r="H634" s="4">
        <v>4</v>
      </c>
      <c r="I634" s="4">
        <v>6</v>
      </c>
      <c r="J634" s="1">
        <v>45449</v>
      </c>
      <c r="K634" s="2">
        <v>1.6738425925925927E-2</v>
      </c>
      <c r="M634" s="4" t="str">
        <f t="shared" si="27"/>
        <v>HIGH</v>
      </c>
      <c r="N634" s="4" t="str" cm="1">
        <f t="array" ref="N634">_xlfn.IFS(C634&gt;35,"HIGH",C634&gt;25,"MIDDLE",TRUE,"LOW")</f>
        <v>HIGH</v>
      </c>
      <c r="O634" s="4" t="str">
        <f t="shared" si="28"/>
        <v>OTHERS</v>
      </c>
      <c r="P634" s="4" t="str">
        <f t="shared" si="29"/>
        <v>PREMINUM MORNING</v>
      </c>
    </row>
    <row r="635" spans="1:16" x14ac:dyDescent="0.3">
      <c r="A635" s="4">
        <v>21</v>
      </c>
      <c r="B635" t="s">
        <v>11</v>
      </c>
      <c r="C635" s="4">
        <v>37.72</v>
      </c>
      <c r="D635" t="s">
        <v>12</v>
      </c>
      <c r="E635" t="s">
        <v>20</v>
      </c>
      <c r="F635" s="4" t="s">
        <v>30</v>
      </c>
      <c r="G635" s="4" t="s">
        <v>33</v>
      </c>
      <c r="H635" s="4">
        <v>4</v>
      </c>
      <c r="I635" s="4">
        <v>6</v>
      </c>
      <c r="J635" s="1">
        <v>45449</v>
      </c>
      <c r="K635" s="2">
        <v>9.78125E-3</v>
      </c>
      <c r="M635" s="4" t="str">
        <f t="shared" si="27"/>
        <v>HIGH</v>
      </c>
      <c r="N635" s="4" t="str" cm="1">
        <f t="array" ref="N635">_xlfn.IFS(C635&gt;35,"HIGH",C635&gt;25,"MIDDLE",TRUE,"LOW")</f>
        <v>HIGH</v>
      </c>
      <c r="O635" s="4" t="str">
        <f t="shared" si="28"/>
        <v>OTHERS</v>
      </c>
      <c r="P635" s="4" t="str">
        <f t="shared" si="29"/>
        <v>PREMINUM MORNING</v>
      </c>
    </row>
    <row r="636" spans="1:16" x14ac:dyDescent="0.3">
      <c r="A636" s="4">
        <v>21</v>
      </c>
      <c r="B636" t="s">
        <v>11</v>
      </c>
      <c r="C636" s="4">
        <v>37.72</v>
      </c>
      <c r="D636" t="s">
        <v>12</v>
      </c>
      <c r="E636" t="s">
        <v>20</v>
      </c>
      <c r="F636" s="4" t="s">
        <v>30</v>
      </c>
      <c r="G636" s="4" t="s">
        <v>33</v>
      </c>
      <c r="H636" s="4">
        <v>4</v>
      </c>
      <c r="I636" s="4">
        <v>6</v>
      </c>
      <c r="J636" s="1">
        <v>45449</v>
      </c>
      <c r="K636" s="2">
        <v>1.0905092592592593E-2</v>
      </c>
      <c r="M636" s="4" t="str">
        <f t="shared" si="27"/>
        <v>HIGH</v>
      </c>
      <c r="N636" s="4" t="str" cm="1">
        <f t="array" ref="N636">_xlfn.IFS(C636&gt;35,"HIGH",C636&gt;25,"MIDDLE",TRUE,"LOW")</f>
        <v>HIGH</v>
      </c>
      <c r="O636" s="4" t="str">
        <f t="shared" si="28"/>
        <v>OTHERS</v>
      </c>
      <c r="P636" s="4" t="str">
        <f t="shared" si="29"/>
        <v>PREMINUM MORNING</v>
      </c>
    </row>
    <row r="637" spans="1:16" x14ac:dyDescent="0.3">
      <c r="A637" s="4">
        <v>21</v>
      </c>
      <c r="B637" t="s">
        <v>11</v>
      </c>
      <c r="C637" s="4">
        <v>37.72</v>
      </c>
      <c r="D637" t="s">
        <v>29</v>
      </c>
      <c r="E637" t="s">
        <v>20</v>
      </c>
      <c r="F637" s="4" t="s">
        <v>30</v>
      </c>
      <c r="G637" s="4" t="s">
        <v>33</v>
      </c>
      <c r="H637" s="4">
        <v>4</v>
      </c>
      <c r="I637" s="4">
        <v>6</v>
      </c>
      <c r="J637" s="1">
        <v>45449</v>
      </c>
      <c r="K637" s="2">
        <v>1.2809027777777779E-2</v>
      </c>
      <c r="M637" s="4" t="str">
        <f t="shared" si="27"/>
        <v>HIGH</v>
      </c>
      <c r="N637" s="4" t="str" cm="1">
        <f t="array" ref="N637">_xlfn.IFS(C637&gt;35,"HIGH",C637&gt;25,"MIDDLE",TRUE,"LOW")</f>
        <v>HIGH</v>
      </c>
      <c r="O637" s="4" t="str">
        <f t="shared" si="28"/>
        <v>OTHERS</v>
      </c>
      <c r="P637" s="4" t="str">
        <f t="shared" si="29"/>
        <v>PREMINUM MORNING</v>
      </c>
    </row>
    <row r="638" spans="1:16" x14ac:dyDescent="0.3">
      <c r="A638" s="4">
        <v>21</v>
      </c>
      <c r="B638" t="s">
        <v>11</v>
      </c>
      <c r="C638" s="4">
        <v>32.82</v>
      </c>
      <c r="D638" t="s">
        <v>19</v>
      </c>
      <c r="E638" t="s">
        <v>20</v>
      </c>
      <c r="F638" s="4" t="s">
        <v>30</v>
      </c>
      <c r="G638" s="4" t="s">
        <v>33</v>
      </c>
      <c r="H638" s="4">
        <v>4</v>
      </c>
      <c r="I638" s="4">
        <v>6</v>
      </c>
      <c r="J638" s="1">
        <v>45449</v>
      </c>
      <c r="K638" s="2">
        <v>1.3546296296296298E-2</v>
      </c>
      <c r="M638" s="4" t="str">
        <f t="shared" si="27"/>
        <v>LOW</v>
      </c>
      <c r="N638" s="4" t="str" cm="1">
        <f t="array" ref="N638">_xlfn.IFS(C638&gt;35,"HIGH",C638&gt;25,"MIDDLE",TRUE,"LOW")</f>
        <v>MIDDLE</v>
      </c>
      <c r="O638" s="4" t="str">
        <f t="shared" si="28"/>
        <v>OTHERS</v>
      </c>
      <c r="P638" s="4" t="str">
        <f t="shared" si="29"/>
        <v>OTHERS</v>
      </c>
    </row>
    <row r="639" spans="1:16" x14ac:dyDescent="0.3">
      <c r="A639" s="4">
        <v>21</v>
      </c>
      <c r="B639" t="s">
        <v>11</v>
      </c>
      <c r="C639" s="4">
        <v>37.72</v>
      </c>
      <c r="D639" t="s">
        <v>12</v>
      </c>
      <c r="E639" t="s">
        <v>20</v>
      </c>
      <c r="F639" s="4" t="s">
        <v>30</v>
      </c>
      <c r="G639" s="4" t="s">
        <v>33</v>
      </c>
      <c r="H639" s="4">
        <v>4</v>
      </c>
      <c r="I639" s="4">
        <v>6</v>
      </c>
      <c r="J639" s="1">
        <v>45449</v>
      </c>
      <c r="K639" s="2">
        <v>1.463425925925926E-2</v>
      </c>
      <c r="M639" s="4" t="str">
        <f t="shared" si="27"/>
        <v>HIGH</v>
      </c>
      <c r="N639" s="4" t="str" cm="1">
        <f t="array" ref="N639">_xlfn.IFS(C639&gt;35,"HIGH",C639&gt;25,"MIDDLE",TRUE,"LOW")</f>
        <v>HIGH</v>
      </c>
      <c r="O639" s="4" t="str">
        <f t="shared" si="28"/>
        <v>OTHERS</v>
      </c>
      <c r="P639" s="4" t="str">
        <f t="shared" si="29"/>
        <v>PREMINUM MORNING</v>
      </c>
    </row>
    <row r="640" spans="1:16" x14ac:dyDescent="0.3">
      <c r="A640" s="4">
        <v>8</v>
      </c>
      <c r="B640" t="s">
        <v>11</v>
      </c>
      <c r="C640" s="4">
        <v>37.72</v>
      </c>
      <c r="D640" t="s">
        <v>29</v>
      </c>
      <c r="E640" t="s">
        <v>13</v>
      </c>
      <c r="F640" s="4" t="s">
        <v>14</v>
      </c>
      <c r="G640" s="4" t="s">
        <v>33</v>
      </c>
      <c r="H640" s="4">
        <v>5</v>
      </c>
      <c r="I640" s="4">
        <v>6</v>
      </c>
      <c r="J640" s="1">
        <v>45450</v>
      </c>
      <c r="K640" s="2">
        <v>1.2549768518518517E-2</v>
      </c>
      <c r="M640" s="4" t="str">
        <f t="shared" si="27"/>
        <v>HIGH</v>
      </c>
      <c r="N640" s="4" t="str" cm="1">
        <f t="array" ref="N640">_xlfn.IFS(C640&gt;35,"HIGH",C640&gt;25,"MIDDLE",TRUE,"LOW")</f>
        <v>HIGH</v>
      </c>
      <c r="O640" s="4" t="str">
        <f t="shared" si="28"/>
        <v>PREMINUM MORNING</v>
      </c>
      <c r="P640" s="4" t="str">
        <f t="shared" si="29"/>
        <v>PREMINUM MORNING</v>
      </c>
    </row>
    <row r="641" spans="1:16" x14ac:dyDescent="0.3">
      <c r="A641" s="4">
        <v>10</v>
      </c>
      <c r="B641" t="s">
        <v>11</v>
      </c>
      <c r="C641" s="4">
        <v>23.02</v>
      </c>
      <c r="D641" t="s">
        <v>26</v>
      </c>
      <c r="E641" t="s">
        <v>13</v>
      </c>
      <c r="F641" s="4" t="s">
        <v>14</v>
      </c>
      <c r="G641" s="4" t="s">
        <v>33</v>
      </c>
      <c r="H641" s="4">
        <v>5</v>
      </c>
      <c r="I641" s="4">
        <v>6</v>
      </c>
      <c r="J641" s="1">
        <v>45450</v>
      </c>
      <c r="K641" s="2">
        <v>2.4630787037037034E-2</v>
      </c>
      <c r="M641" s="4" t="str">
        <f t="shared" si="27"/>
        <v>LOW</v>
      </c>
      <c r="N641" s="4" t="str" cm="1">
        <f t="array" ref="N641">_xlfn.IFS(C641&gt;35,"HIGH",C641&gt;25,"MIDDLE",TRUE,"LOW")</f>
        <v>LOW</v>
      </c>
      <c r="O641" s="4" t="str">
        <f t="shared" si="28"/>
        <v>OTHERS</v>
      </c>
      <c r="P641" s="4" t="str">
        <f t="shared" si="29"/>
        <v>PREMINUM MORNING</v>
      </c>
    </row>
    <row r="642" spans="1:16" x14ac:dyDescent="0.3">
      <c r="A642" s="4">
        <v>13</v>
      </c>
      <c r="B642" t="s">
        <v>11</v>
      </c>
      <c r="C642" s="4">
        <v>32.82</v>
      </c>
      <c r="D642" t="s">
        <v>19</v>
      </c>
      <c r="E642" t="s">
        <v>17</v>
      </c>
      <c r="F642" s="4" t="s">
        <v>14</v>
      </c>
      <c r="G642" s="4" t="s">
        <v>33</v>
      </c>
      <c r="H642" s="4">
        <v>5</v>
      </c>
      <c r="I642" s="4">
        <v>6</v>
      </c>
      <c r="J642" s="1">
        <v>45450</v>
      </c>
      <c r="K642" s="2">
        <v>2.3822916666666669E-2</v>
      </c>
      <c r="M642" s="4" t="str">
        <f t="shared" si="27"/>
        <v>LOW</v>
      </c>
      <c r="N642" s="4" t="str" cm="1">
        <f t="array" ref="N642">_xlfn.IFS(C642&gt;35,"HIGH",C642&gt;25,"MIDDLE",TRUE,"LOW")</f>
        <v>MIDDLE</v>
      </c>
      <c r="O642" s="4" t="str">
        <f t="shared" si="28"/>
        <v>OTHERS</v>
      </c>
      <c r="P642" s="4" t="str">
        <f t="shared" si="29"/>
        <v>OTHERS</v>
      </c>
    </row>
    <row r="643" spans="1:16" x14ac:dyDescent="0.3">
      <c r="A643" s="4">
        <v>16</v>
      </c>
      <c r="B643" t="s">
        <v>11</v>
      </c>
      <c r="C643" s="4">
        <v>27.92</v>
      </c>
      <c r="D643" t="s">
        <v>24</v>
      </c>
      <c r="E643" t="s">
        <v>17</v>
      </c>
      <c r="F643" s="4" t="s">
        <v>14</v>
      </c>
      <c r="G643" s="4" t="s">
        <v>33</v>
      </c>
      <c r="H643" s="4">
        <v>5</v>
      </c>
      <c r="I643" s="4">
        <v>6</v>
      </c>
      <c r="J643" s="1">
        <v>45450</v>
      </c>
      <c r="K643" s="2">
        <v>3.1738425925925927E-2</v>
      </c>
      <c r="M643" s="4" t="str">
        <f t="shared" ref="M643:M706" si="30">IF(C643&gt;35,"HIGH","LOW")</f>
        <v>LOW</v>
      </c>
      <c r="N643" s="4" t="str" cm="1">
        <f t="array" ref="N643">_xlfn.IFS(C643&gt;35,"HIGH",C643&gt;25,"MIDDLE",TRUE,"LOW")</f>
        <v>MIDDLE</v>
      </c>
      <c r="O643" s="4" t="str">
        <f t="shared" ref="O643:O706" si="31">IF(AND(C643&gt;35,E643="MORNING"),"PREMINUM MORNING","OTHERS")</f>
        <v>OTHERS</v>
      </c>
      <c r="P643" s="4" t="str">
        <f t="shared" ref="P643:P706" si="32">IF(OR(C643&gt;35,E643="MORNING"),"PREMINUM MORNING","OTHERS")</f>
        <v>OTHERS</v>
      </c>
    </row>
    <row r="644" spans="1:16" x14ac:dyDescent="0.3">
      <c r="A644" s="4">
        <v>16</v>
      </c>
      <c r="B644" t="s">
        <v>11</v>
      </c>
      <c r="C644" s="4">
        <v>27.92</v>
      </c>
      <c r="D644" t="s">
        <v>24</v>
      </c>
      <c r="E644" t="s">
        <v>17</v>
      </c>
      <c r="F644" s="4" t="s">
        <v>14</v>
      </c>
      <c r="G644" s="4" t="s">
        <v>33</v>
      </c>
      <c r="H644" s="4">
        <v>5</v>
      </c>
      <c r="I644" s="4">
        <v>6</v>
      </c>
      <c r="J644" s="1">
        <v>45450</v>
      </c>
      <c r="K644" s="2">
        <v>3.2818287037037035E-2</v>
      </c>
      <c r="M644" s="4" t="str">
        <f t="shared" si="30"/>
        <v>LOW</v>
      </c>
      <c r="N644" s="4" t="str" cm="1">
        <f t="array" ref="N644">_xlfn.IFS(C644&gt;35,"HIGH",C644&gt;25,"MIDDLE",TRUE,"LOW")</f>
        <v>MIDDLE</v>
      </c>
      <c r="O644" s="4" t="str">
        <f t="shared" si="31"/>
        <v>OTHERS</v>
      </c>
      <c r="P644" s="4" t="str">
        <f t="shared" si="32"/>
        <v>OTHERS</v>
      </c>
    </row>
    <row r="645" spans="1:16" x14ac:dyDescent="0.3">
      <c r="A645" s="4">
        <v>9</v>
      </c>
      <c r="B645" t="s">
        <v>11</v>
      </c>
      <c r="C645" s="4">
        <v>27.92</v>
      </c>
      <c r="D645" t="s">
        <v>24</v>
      </c>
      <c r="E645" t="s">
        <v>13</v>
      </c>
      <c r="F645" s="4" t="s">
        <v>22</v>
      </c>
      <c r="G645" s="4" t="s">
        <v>33</v>
      </c>
      <c r="H645" s="4">
        <v>6</v>
      </c>
      <c r="I645" s="4">
        <v>6</v>
      </c>
      <c r="J645" s="1">
        <v>45451</v>
      </c>
      <c r="K645" s="2">
        <v>3.0092592592592593E-3</v>
      </c>
      <c r="M645" s="4" t="str">
        <f t="shared" si="30"/>
        <v>LOW</v>
      </c>
      <c r="N645" s="4" t="str" cm="1">
        <f t="array" ref="N645">_xlfn.IFS(C645&gt;35,"HIGH",C645&gt;25,"MIDDLE",TRUE,"LOW")</f>
        <v>MIDDLE</v>
      </c>
      <c r="O645" s="4" t="str">
        <f t="shared" si="31"/>
        <v>OTHERS</v>
      </c>
      <c r="P645" s="4" t="str">
        <f t="shared" si="32"/>
        <v>PREMINUM MORNING</v>
      </c>
    </row>
    <row r="646" spans="1:16" x14ac:dyDescent="0.3">
      <c r="A646" s="4">
        <v>9</v>
      </c>
      <c r="B646" t="s">
        <v>11</v>
      </c>
      <c r="C646" s="4">
        <v>32.82</v>
      </c>
      <c r="D646" t="s">
        <v>19</v>
      </c>
      <c r="E646" t="s">
        <v>13</v>
      </c>
      <c r="F646" s="4" t="s">
        <v>22</v>
      </c>
      <c r="G646" s="4" t="s">
        <v>33</v>
      </c>
      <c r="H646" s="4">
        <v>6</v>
      </c>
      <c r="I646" s="4">
        <v>6</v>
      </c>
      <c r="J646" s="1">
        <v>45451</v>
      </c>
      <c r="K646" s="2">
        <v>1.8185185185185186E-2</v>
      </c>
      <c r="M646" s="4" t="str">
        <f t="shared" si="30"/>
        <v>LOW</v>
      </c>
      <c r="N646" s="4" t="str" cm="1">
        <f t="array" ref="N646">_xlfn.IFS(C646&gt;35,"HIGH",C646&gt;25,"MIDDLE",TRUE,"LOW")</f>
        <v>MIDDLE</v>
      </c>
      <c r="O646" s="4" t="str">
        <f t="shared" si="31"/>
        <v>OTHERS</v>
      </c>
      <c r="P646" s="4" t="str">
        <f t="shared" si="32"/>
        <v>PREMINUM MORNING</v>
      </c>
    </row>
    <row r="647" spans="1:16" x14ac:dyDescent="0.3">
      <c r="A647" s="4">
        <v>20</v>
      </c>
      <c r="B647" t="s">
        <v>11</v>
      </c>
      <c r="C647" s="4">
        <v>37.72</v>
      </c>
      <c r="D647" t="s">
        <v>29</v>
      </c>
      <c r="E647" t="s">
        <v>20</v>
      </c>
      <c r="F647" s="4" t="s">
        <v>22</v>
      </c>
      <c r="G647" s="4" t="s">
        <v>33</v>
      </c>
      <c r="H647" s="4">
        <v>6</v>
      </c>
      <c r="I647" s="4">
        <v>6</v>
      </c>
      <c r="J647" s="1">
        <v>45451</v>
      </c>
      <c r="K647" s="2">
        <v>1.7295138888888888E-2</v>
      </c>
      <c r="M647" s="4" t="str">
        <f t="shared" si="30"/>
        <v>HIGH</v>
      </c>
      <c r="N647" s="4" t="str" cm="1">
        <f t="array" ref="N647">_xlfn.IFS(C647&gt;35,"HIGH",C647&gt;25,"MIDDLE",TRUE,"LOW")</f>
        <v>HIGH</v>
      </c>
      <c r="O647" s="4" t="str">
        <f t="shared" si="31"/>
        <v>OTHERS</v>
      </c>
      <c r="P647" s="4" t="str">
        <f t="shared" si="32"/>
        <v>PREMINUM MORNING</v>
      </c>
    </row>
    <row r="648" spans="1:16" x14ac:dyDescent="0.3">
      <c r="A648" s="4">
        <v>20</v>
      </c>
      <c r="B648" t="s">
        <v>11</v>
      </c>
      <c r="C648" s="4">
        <v>37.72</v>
      </c>
      <c r="D648" t="s">
        <v>29</v>
      </c>
      <c r="E648" t="s">
        <v>20</v>
      </c>
      <c r="F648" s="4" t="s">
        <v>22</v>
      </c>
      <c r="G648" s="4" t="s">
        <v>33</v>
      </c>
      <c r="H648" s="4">
        <v>6</v>
      </c>
      <c r="I648" s="4">
        <v>6</v>
      </c>
      <c r="J648" s="1">
        <v>45451</v>
      </c>
      <c r="K648" s="2">
        <v>1.801273148148148E-2</v>
      </c>
      <c r="M648" s="4" t="str">
        <f t="shared" si="30"/>
        <v>HIGH</v>
      </c>
      <c r="N648" s="4" t="str" cm="1">
        <f t="array" ref="N648">_xlfn.IFS(C648&gt;35,"HIGH",C648&gt;25,"MIDDLE",TRUE,"LOW")</f>
        <v>HIGH</v>
      </c>
      <c r="O648" s="4" t="str">
        <f t="shared" si="31"/>
        <v>OTHERS</v>
      </c>
      <c r="P648" s="4" t="str">
        <f t="shared" si="32"/>
        <v>PREMINUM MORNING</v>
      </c>
    </row>
    <row r="649" spans="1:16" x14ac:dyDescent="0.3">
      <c r="A649" s="4">
        <v>8</v>
      </c>
      <c r="B649" t="s">
        <v>11</v>
      </c>
      <c r="C649" s="4">
        <v>37.72</v>
      </c>
      <c r="D649" t="s">
        <v>12</v>
      </c>
      <c r="E649" t="s">
        <v>13</v>
      </c>
      <c r="F649" s="4" t="s">
        <v>23</v>
      </c>
      <c r="G649" s="4" t="s">
        <v>33</v>
      </c>
      <c r="H649" s="4">
        <v>7</v>
      </c>
      <c r="I649" s="4">
        <v>6</v>
      </c>
      <c r="J649" s="1">
        <v>45452</v>
      </c>
      <c r="K649" s="2">
        <v>1.1027777777777777E-2</v>
      </c>
      <c r="M649" s="4" t="str">
        <f t="shared" si="30"/>
        <v>HIGH</v>
      </c>
      <c r="N649" s="4" t="str" cm="1">
        <f t="array" ref="N649">_xlfn.IFS(C649&gt;35,"HIGH",C649&gt;25,"MIDDLE",TRUE,"LOW")</f>
        <v>HIGH</v>
      </c>
      <c r="O649" s="4" t="str">
        <f t="shared" si="31"/>
        <v>PREMINUM MORNING</v>
      </c>
      <c r="P649" s="4" t="str">
        <f t="shared" si="32"/>
        <v>PREMINUM MORNING</v>
      </c>
    </row>
    <row r="650" spans="1:16" x14ac:dyDescent="0.3">
      <c r="A650" s="4">
        <v>10</v>
      </c>
      <c r="B650" t="s">
        <v>11</v>
      </c>
      <c r="C650" s="4">
        <v>37.72</v>
      </c>
      <c r="D650" t="s">
        <v>12</v>
      </c>
      <c r="E650" t="s">
        <v>13</v>
      </c>
      <c r="F650" s="4" t="s">
        <v>23</v>
      </c>
      <c r="G650" s="4" t="s">
        <v>33</v>
      </c>
      <c r="H650" s="4">
        <v>7</v>
      </c>
      <c r="I650" s="4">
        <v>6</v>
      </c>
      <c r="J650" s="1">
        <v>45452</v>
      </c>
      <c r="K650" s="2">
        <v>2.0885416666666667E-2</v>
      </c>
      <c r="M650" s="4" t="str">
        <f t="shared" si="30"/>
        <v>HIGH</v>
      </c>
      <c r="N650" s="4" t="str" cm="1">
        <f t="array" ref="N650">_xlfn.IFS(C650&gt;35,"HIGH",C650&gt;25,"MIDDLE",TRUE,"LOW")</f>
        <v>HIGH</v>
      </c>
      <c r="O650" s="4" t="str">
        <f t="shared" si="31"/>
        <v>PREMINUM MORNING</v>
      </c>
      <c r="P650" s="4" t="str">
        <f t="shared" si="32"/>
        <v>PREMINUM MORNING</v>
      </c>
    </row>
    <row r="651" spans="1:16" x14ac:dyDescent="0.3">
      <c r="A651" s="4">
        <v>10</v>
      </c>
      <c r="B651" t="s">
        <v>11</v>
      </c>
      <c r="C651" s="4">
        <v>37.72</v>
      </c>
      <c r="D651" t="s">
        <v>29</v>
      </c>
      <c r="E651" t="s">
        <v>13</v>
      </c>
      <c r="F651" s="4" t="s">
        <v>23</v>
      </c>
      <c r="G651" s="4" t="s">
        <v>33</v>
      </c>
      <c r="H651" s="4">
        <v>7</v>
      </c>
      <c r="I651" s="4">
        <v>6</v>
      </c>
      <c r="J651" s="1">
        <v>45452</v>
      </c>
      <c r="K651" s="2">
        <v>3.617824074074074E-2</v>
      </c>
      <c r="M651" s="4" t="str">
        <f t="shared" si="30"/>
        <v>HIGH</v>
      </c>
      <c r="N651" s="4" t="str" cm="1">
        <f t="array" ref="N651">_xlfn.IFS(C651&gt;35,"HIGH",C651&gt;25,"MIDDLE",TRUE,"LOW")</f>
        <v>HIGH</v>
      </c>
      <c r="O651" s="4" t="str">
        <f t="shared" si="31"/>
        <v>PREMINUM MORNING</v>
      </c>
      <c r="P651" s="4" t="str">
        <f t="shared" si="32"/>
        <v>PREMINUM MORNING</v>
      </c>
    </row>
    <row r="652" spans="1:16" x14ac:dyDescent="0.3">
      <c r="A652" s="4">
        <v>11</v>
      </c>
      <c r="B652" t="s">
        <v>11</v>
      </c>
      <c r="C652" s="4">
        <v>27.92</v>
      </c>
      <c r="D652" t="s">
        <v>24</v>
      </c>
      <c r="E652" t="s">
        <v>13</v>
      </c>
      <c r="F652" s="4" t="s">
        <v>23</v>
      </c>
      <c r="G652" s="4" t="s">
        <v>33</v>
      </c>
      <c r="H652" s="4">
        <v>7</v>
      </c>
      <c r="I652" s="4">
        <v>6</v>
      </c>
      <c r="J652" s="1">
        <v>45452</v>
      </c>
      <c r="K652" s="2">
        <v>3.2557870370370371E-3</v>
      </c>
      <c r="M652" s="4" t="str">
        <f t="shared" si="30"/>
        <v>LOW</v>
      </c>
      <c r="N652" s="4" t="str" cm="1">
        <f t="array" ref="N652">_xlfn.IFS(C652&gt;35,"HIGH",C652&gt;25,"MIDDLE",TRUE,"LOW")</f>
        <v>MIDDLE</v>
      </c>
      <c r="O652" s="4" t="str">
        <f t="shared" si="31"/>
        <v>OTHERS</v>
      </c>
      <c r="P652" s="4" t="str">
        <f t="shared" si="32"/>
        <v>PREMINUM MORNING</v>
      </c>
    </row>
    <row r="653" spans="1:16" x14ac:dyDescent="0.3">
      <c r="A653" s="4">
        <v>11</v>
      </c>
      <c r="B653" t="s">
        <v>11</v>
      </c>
      <c r="C653" s="4">
        <v>23.02</v>
      </c>
      <c r="D653" t="s">
        <v>26</v>
      </c>
      <c r="E653" t="s">
        <v>13</v>
      </c>
      <c r="F653" s="4" t="s">
        <v>23</v>
      </c>
      <c r="G653" s="4" t="s">
        <v>33</v>
      </c>
      <c r="H653" s="4">
        <v>7</v>
      </c>
      <c r="I653" s="4">
        <v>6</v>
      </c>
      <c r="J653" s="1">
        <v>45452</v>
      </c>
      <c r="K653" s="2">
        <v>4.9548611111111113E-3</v>
      </c>
      <c r="M653" s="4" t="str">
        <f t="shared" si="30"/>
        <v>LOW</v>
      </c>
      <c r="N653" s="4" t="str" cm="1">
        <f t="array" ref="N653">_xlfn.IFS(C653&gt;35,"HIGH",C653&gt;25,"MIDDLE",TRUE,"LOW")</f>
        <v>LOW</v>
      </c>
      <c r="O653" s="4" t="str">
        <f t="shared" si="31"/>
        <v>OTHERS</v>
      </c>
      <c r="P653" s="4" t="str">
        <f t="shared" si="32"/>
        <v>PREMINUM MORNING</v>
      </c>
    </row>
    <row r="654" spans="1:16" x14ac:dyDescent="0.3">
      <c r="A654" s="4">
        <v>11</v>
      </c>
      <c r="B654" t="s">
        <v>11</v>
      </c>
      <c r="C654" s="4">
        <v>37.72</v>
      </c>
      <c r="D654" t="s">
        <v>29</v>
      </c>
      <c r="E654" t="s">
        <v>13</v>
      </c>
      <c r="F654" s="4" t="s">
        <v>23</v>
      </c>
      <c r="G654" s="4" t="s">
        <v>33</v>
      </c>
      <c r="H654" s="4">
        <v>7</v>
      </c>
      <c r="I654" s="4">
        <v>6</v>
      </c>
      <c r="J654" s="1">
        <v>45452</v>
      </c>
      <c r="K654" s="2">
        <v>3.6685185185185182E-2</v>
      </c>
      <c r="M654" s="4" t="str">
        <f t="shared" si="30"/>
        <v>HIGH</v>
      </c>
      <c r="N654" s="4" t="str" cm="1">
        <f t="array" ref="N654">_xlfn.IFS(C654&gt;35,"HIGH",C654&gt;25,"MIDDLE",TRUE,"LOW")</f>
        <v>HIGH</v>
      </c>
      <c r="O654" s="4" t="str">
        <f t="shared" si="31"/>
        <v>PREMINUM MORNING</v>
      </c>
      <c r="P654" s="4" t="str">
        <f t="shared" si="32"/>
        <v>PREMINUM MORNING</v>
      </c>
    </row>
    <row r="655" spans="1:16" x14ac:dyDescent="0.3">
      <c r="A655" s="4">
        <v>12</v>
      </c>
      <c r="B655" t="s">
        <v>11</v>
      </c>
      <c r="C655" s="4">
        <v>32.82</v>
      </c>
      <c r="D655" t="s">
        <v>19</v>
      </c>
      <c r="E655" t="s">
        <v>17</v>
      </c>
      <c r="F655" s="4" t="s">
        <v>23</v>
      </c>
      <c r="G655" s="4" t="s">
        <v>33</v>
      </c>
      <c r="H655" s="4">
        <v>7</v>
      </c>
      <c r="I655" s="4">
        <v>6</v>
      </c>
      <c r="J655" s="1">
        <v>45452</v>
      </c>
      <c r="K655" s="2">
        <v>7.9120370370370369E-3</v>
      </c>
      <c r="M655" s="4" t="str">
        <f t="shared" si="30"/>
        <v>LOW</v>
      </c>
      <c r="N655" s="4" t="str" cm="1">
        <f t="array" ref="N655">_xlfn.IFS(C655&gt;35,"HIGH",C655&gt;25,"MIDDLE",TRUE,"LOW")</f>
        <v>MIDDLE</v>
      </c>
      <c r="O655" s="4" t="str">
        <f t="shared" si="31"/>
        <v>OTHERS</v>
      </c>
      <c r="P655" s="4" t="str">
        <f t="shared" si="32"/>
        <v>OTHERS</v>
      </c>
    </row>
    <row r="656" spans="1:16" x14ac:dyDescent="0.3">
      <c r="A656" s="4">
        <v>12</v>
      </c>
      <c r="B656" t="s">
        <v>11</v>
      </c>
      <c r="C656" s="4">
        <v>37.72</v>
      </c>
      <c r="D656" t="s">
        <v>12</v>
      </c>
      <c r="E656" t="s">
        <v>17</v>
      </c>
      <c r="F656" s="4" t="s">
        <v>23</v>
      </c>
      <c r="G656" s="4" t="s">
        <v>33</v>
      </c>
      <c r="H656" s="4">
        <v>7</v>
      </c>
      <c r="I656" s="4">
        <v>6</v>
      </c>
      <c r="J656" s="1">
        <v>45452</v>
      </c>
      <c r="K656" s="2">
        <v>9.1215277777777787E-3</v>
      </c>
      <c r="M656" s="4" t="str">
        <f t="shared" si="30"/>
        <v>HIGH</v>
      </c>
      <c r="N656" s="4" t="str" cm="1">
        <f t="array" ref="N656">_xlfn.IFS(C656&gt;35,"HIGH",C656&gt;25,"MIDDLE",TRUE,"LOW")</f>
        <v>HIGH</v>
      </c>
      <c r="O656" s="4" t="str">
        <f t="shared" si="31"/>
        <v>OTHERS</v>
      </c>
      <c r="P656" s="4" t="str">
        <f t="shared" si="32"/>
        <v>PREMINUM MORNING</v>
      </c>
    </row>
    <row r="657" spans="1:16" x14ac:dyDescent="0.3">
      <c r="A657" s="4">
        <v>12</v>
      </c>
      <c r="B657" t="s">
        <v>11</v>
      </c>
      <c r="C657" s="4">
        <v>37.72</v>
      </c>
      <c r="D657" t="s">
        <v>12</v>
      </c>
      <c r="E657" t="s">
        <v>17</v>
      </c>
      <c r="F657" s="4" t="s">
        <v>23</v>
      </c>
      <c r="G657" s="4" t="s">
        <v>33</v>
      </c>
      <c r="H657" s="4">
        <v>7</v>
      </c>
      <c r="I657" s="4">
        <v>6</v>
      </c>
      <c r="J657" s="1">
        <v>45452</v>
      </c>
      <c r="K657" s="2">
        <v>9.8472222222222225E-3</v>
      </c>
      <c r="M657" s="4" t="str">
        <f t="shared" si="30"/>
        <v>HIGH</v>
      </c>
      <c r="N657" s="4" t="str" cm="1">
        <f t="array" ref="N657">_xlfn.IFS(C657&gt;35,"HIGH",C657&gt;25,"MIDDLE",TRUE,"LOW")</f>
        <v>HIGH</v>
      </c>
      <c r="O657" s="4" t="str">
        <f t="shared" si="31"/>
        <v>OTHERS</v>
      </c>
      <c r="P657" s="4" t="str">
        <f t="shared" si="32"/>
        <v>PREMINUM MORNING</v>
      </c>
    </row>
    <row r="658" spans="1:16" x14ac:dyDescent="0.3">
      <c r="A658" s="4">
        <v>15</v>
      </c>
      <c r="B658" t="s">
        <v>11</v>
      </c>
      <c r="C658" s="4">
        <v>27.92</v>
      </c>
      <c r="D658" t="s">
        <v>24</v>
      </c>
      <c r="E658" t="s">
        <v>17</v>
      </c>
      <c r="F658" s="4" t="s">
        <v>23</v>
      </c>
      <c r="G658" s="4" t="s">
        <v>33</v>
      </c>
      <c r="H658" s="4">
        <v>7</v>
      </c>
      <c r="I658" s="4">
        <v>6</v>
      </c>
      <c r="J658" s="1">
        <v>45452</v>
      </c>
      <c r="K658" s="2">
        <v>7.2997685185185188E-3</v>
      </c>
      <c r="M658" s="4" t="str">
        <f t="shared" si="30"/>
        <v>LOW</v>
      </c>
      <c r="N658" s="4" t="str" cm="1">
        <f t="array" ref="N658">_xlfn.IFS(C658&gt;35,"HIGH",C658&gt;25,"MIDDLE",TRUE,"LOW")</f>
        <v>MIDDLE</v>
      </c>
      <c r="O658" s="4" t="str">
        <f t="shared" si="31"/>
        <v>OTHERS</v>
      </c>
      <c r="P658" s="4" t="str">
        <f t="shared" si="32"/>
        <v>OTHERS</v>
      </c>
    </row>
    <row r="659" spans="1:16" x14ac:dyDescent="0.3">
      <c r="A659" s="4">
        <v>16</v>
      </c>
      <c r="B659" t="s">
        <v>11</v>
      </c>
      <c r="C659" s="4">
        <v>37.72</v>
      </c>
      <c r="D659" t="s">
        <v>29</v>
      </c>
      <c r="E659" t="s">
        <v>17</v>
      </c>
      <c r="F659" s="4" t="s">
        <v>23</v>
      </c>
      <c r="G659" s="4" t="s">
        <v>33</v>
      </c>
      <c r="H659" s="4">
        <v>7</v>
      </c>
      <c r="I659" s="4">
        <v>6</v>
      </c>
      <c r="J659" s="1">
        <v>45452</v>
      </c>
      <c r="K659" s="2">
        <v>1.2131944444444445E-2</v>
      </c>
      <c r="M659" s="4" t="str">
        <f t="shared" si="30"/>
        <v>HIGH</v>
      </c>
      <c r="N659" s="4" t="str" cm="1">
        <f t="array" ref="N659">_xlfn.IFS(C659&gt;35,"HIGH",C659&gt;25,"MIDDLE",TRUE,"LOW")</f>
        <v>HIGH</v>
      </c>
      <c r="O659" s="4" t="str">
        <f t="shared" si="31"/>
        <v>OTHERS</v>
      </c>
      <c r="P659" s="4" t="str">
        <f t="shared" si="32"/>
        <v>PREMINUM MORNING</v>
      </c>
    </row>
    <row r="660" spans="1:16" x14ac:dyDescent="0.3">
      <c r="A660" s="4">
        <v>19</v>
      </c>
      <c r="B660" t="s">
        <v>11</v>
      </c>
      <c r="C660" s="4">
        <v>32.82</v>
      </c>
      <c r="D660" t="s">
        <v>19</v>
      </c>
      <c r="E660" t="s">
        <v>20</v>
      </c>
      <c r="F660" s="4" t="s">
        <v>23</v>
      </c>
      <c r="G660" s="4" t="s">
        <v>33</v>
      </c>
      <c r="H660" s="4">
        <v>7</v>
      </c>
      <c r="I660" s="4">
        <v>6</v>
      </c>
      <c r="J660" s="1">
        <v>45452</v>
      </c>
      <c r="K660" s="2">
        <v>1.4806712962962962E-2</v>
      </c>
      <c r="M660" s="4" t="str">
        <f t="shared" si="30"/>
        <v>LOW</v>
      </c>
      <c r="N660" s="4" t="str" cm="1">
        <f t="array" ref="N660">_xlfn.IFS(C660&gt;35,"HIGH",C660&gt;25,"MIDDLE",TRUE,"LOW")</f>
        <v>MIDDLE</v>
      </c>
      <c r="O660" s="4" t="str">
        <f t="shared" si="31"/>
        <v>OTHERS</v>
      </c>
      <c r="P660" s="4" t="str">
        <f t="shared" si="32"/>
        <v>OTHERS</v>
      </c>
    </row>
    <row r="661" spans="1:16" x14ac:dyDescent="0.3">
      <c r="A661" s="4">
        <v>21</v>
      </c>
      <c r="B661" t="s">
        <v>11</v>
      </c>
      <c r="C661" s="4">
        <v>27.92</v>
      </c>
      <c r="D661" t="s">
        <v>18</v>
      </c>
      <c r="E661" t="s">
        <v>20</v>
      </c>
      <c r="F661" s="4" t="s">
        <v>23</v>
      </c>
      <c r="G661" s="4" t="s">
        <v>33</v>
      </c>
      <c r="H661" s="4">
        <v>7</v>
      </c>
      <c r="I661" s="4">
        <v>6</v>
      </c>
      <c r="J661" s="1">
        <v>45452</v>
      </c>
      <c r="K661" s="2">
        <v>3.5740740740740741E-3</v>
      </c>
      <c r="M661" s="4" t="str">
        <f t="shared" si="30"/>
        <v>LOW</v>
      </c>
      <c r="N661" s="4" t="str" cm="1">
        <f t="array" ref="N661">_xlfn.IFS(C661&gt;35,"HIGH",C661&gt;25,"MIDDLE",TRUE,"LOW")</f>
        <v>MIDDLE</v>
      </c>
      <c r="O661" s="4" t="str">
        <f t="shared" si="31"/>
        <v>OTHERS</v>
      </c>
      <c r="P661" s="4" t="str">
        <f t="shared" si="32"/>
        <v>OTHERS</v>
      </c>
    </row>
    <row r="662" spans="1:16" x14ac:dyDescent="0.3">
      <c r="A662" s="4">
        <v>12</v>
      </c>
      <c r="B662" t="s">
        <v>11</v>
      </c>
      <c r="C662" s="4">
        <v>37.72</v>
      </c>
      <c r="D662" t="s">
        <v>29</v>
      </c>
      <c r="E662" t="s">
        <v>17</v>
      </c>
      <c r="F662" s="4" t="s">
        <v>25</v>
      </c>
      <c r="G662" s="4" t="s">
        <v>33</v>
      </c>
      <c r="H662" s="4">
        <v>1</v>
      </c>
      <c r="I662" s="4">
        <v>6</v>
      </c>
      <c r="J662" s="1">
        <v>45453</v>
      </c>
      <c r="K662" s="2">
        <v>3.3216435185185189E-2</v>
      </c>
      <c r="M662" s="4" t="str">
        <f t="shared" si="30"/>
        <v>HIGH</v>
      </c>
      <c r="N662" s="4" t="str" cm="1">
        <f t="array" ref="N662">_xlfn.IFS(C662&gt;35,"HIGH",C662&gt;25,"MIDDLE",TRUE,"LOW")</f>
        <v>HIGH</v>
      </c>
      <c r="O662" s="4" t="str">
        <f t="shared" si="31"/>
        <v>OTHERS</v>
      </c>
      <c r="P662" s="4" t="str">
        <f t="shared" si="32"/>
        <v>PREMINUM MORNING</v>
      </c>
    </row>
    <row r="663" spans="1:16" x14ac:dyDescent="0.3">
      <c r="A663" s="4">
        <v>12</v>
      </c>
      <c r="B663" t="s">
        <v>11</v>
      </c>
      <c r="C663" s="4">
        <v>37.72</v>
      </c>
      <c r="D663" t="s">
        <v>12</v>
      </c>
      <c r="E663" t="s">
        <v>17</v>
      </c>
      <c r="F663" s="4" t="s">
        <v>25</v>
      </c>
      <c r="G663" s="4" t="s">
        <v>33</v>
      </c>
      <c r="H663" s="4">
        <v>1</v>
      </c>
      <c r="I663" s="4">
        <v>6</v>
      </c>
      <c r="J663" s="1">
        <v>45453</v>
      </c>
      <c r="K663" s="2">
        <v>3.9447916666666666E-2</v>
      </c>
      <c r="M663" s="4" t="str">
        <f t="shared" si="30"/>
        <v>HIGH</v>
      </c>
      <c r="N663" s="4" t="str" cm="1">
        <f t="array" ref="N663">_xlfn.IFS(C663&gt;35,"HIGH",C663&gt;25,"MIDDLE",TRUE,"LOW")</f>
        <v>HIGH</v>
      </c>
      <c r="O663" s="4" t="str">
        <f t="shared" si="31"/>
        <v>OTHERS</v>
      </c>
      <c r="P663" s="4" t="str">
        <f t="shared" si="32"/>
        <v>PREMINUM MORNING</v>
      </c>
    </row>
    <row r="664" spans="1:16" x14ac:dyDescent="0.3">
      <c r="A664" s="4">
        <v>19</v>
      </c>
      <c r="B664" t="s">
        <v>11</v>
      </c>
      <c r="C664" s="4">
        <v>37.72</v>
      </c>
      <c r="D664" t="s">
        <v>16</v>
      </c>
      <c r="E664" t="s">
        <v>20</v>
      </c>
      <c r="F664" s="4" t="s">
        <v>25</v>
      </c>
      <c r="G664" s="4" t="s">
        <v>33</v>
      </c>
      <c r="H664" s="4">
        <v>1</v>
      </c>
      <c r="I664" s="4">
        <v>6</v>
      </c>
      <c r="J664" s="1">
        <v>45453</v>
      </c>
      <c r="K664" s="2">
        <v>3.1030092592592593E-3</v>
      </c>
      <c r="M664" s="4" t="str">
        <f t="shared" si="30"/>
        <v>HIGH</v>
      </c>
      <c r="N664" s="4" t="str" cm="1">
        <f t="array" ref="N664">_xlfn.IFS(C664&gt;35,"HIGH",C664&gt;25,"MIDDLE",TRUE,"LOW")</f>
        <v>HIGH</v>
      </c>
      <c r="O664" s="4" t="str">
        <f t="shared" si="31"/>
        <v>OTHERS</v>
      </c>
      <c r="P664" s="4" t="str">
        <f t="shared" si="32"/>
        <v>PREMINUM MORNING</v>
      </c>
    </row>
    <row r="665" spans="1:16" x14ac:dyDescent="0.3">
      <c r="A665" s="4">
        <v>19</v>
      </c>
      <c r="B665" t="s">
        <v>11</v>
      </c>
      <c r="C665" s="4">
        <v>37.72</v>
      </c>
      <c r="D665" t="s">
        <v>16</v>
      </c>
      <c r="E665" t="s">
        <v>20</v>
      </c>
      <c r="F665" s="4" t="s">
        <v>25</v>
      </c>
      <c r="G665" s="4" t="s">
        <v>33</v>
      </c>
      <c r="H665" s="4">
        <v>1</v>
      </c>
      <c r="I665" s="4">
        <v>6</v>
      </c>
      <c r="J665" s="1">
        <v>45453</v>
      </c>
      <c r="K665" s="2">
        <v>3.7361111111111111E-3</v>
      </c>
      <c r="M665" s="4" t="str">
        <f t="shared" si="30"/>
        <v>HIGH</v>
      </c>
      <c r="N665" s="4" t="str" cm="1">
        <f t="array" ref="N665">_xlfn.IFS(C665&gt;35,"HIGH",C665&gt;25,"MIDDLE",TRUE,"LOW")</f>
        <v>HIGH</v>
      </c>
      <c r="O665" s="4" t="str">
        <f t="shared" si="31"/>
        <v>OTHERS</v>
      </c>
      <c r="P665" s="4" t="str">
        <f t="shared" si="32"/>
        <v>PREMINUM MORNING</v>
      </c>
    </row>
    <row r="666" spans="1:16" x14ac:dyDescent="0.3">
      <c r="A666" s="4">
        <v>19</v>
      </c>
      <c r="B666" t="s">
        <v>11</v>
      </c>
      <c r="C666" s="4">
        <v>37.72</v>
      </c>
      <c r="D666" t="s">
        <v>12</v>
      </c>
      <c r="E666" t="s">
        <v>20</v>
      </c>
      <c r="F666" s="4" t="s">
        <v>25</v>
      </c>
      <c r="G666" s="4" t="s">
        <v>33</v>
      </c>
      <c r="H666" s="4">
        <v>1</v>
      </c>
      <c r="I666" s="4">
        <v>6</v>
      </c>
      <c r="J666" s="1">
        <v>45453</v>
      </c>
      <c r="K666" s="2">
        <v>2.5967592592592591E-2</v>
      </c>
      <c r="M666" s="4" t="str">
        <f t="shared" si="30"/>
        <v>HIGH</v>
      </c>
      <c r="N666" s="4" t="str" cm="1">
        <f t="array" ref="N666">_xlfn.IFS(C666&gt;35,"HIGH",C666&gt;25,"MIDDLE",TRUE,"LOW")</f>
        <v>HIGH</v>
      </c>
      <c r="O666" s="4" t="str">
        <f t="shared" si="31"/>
        <v>OTHERS</v>
      </c>
      <c r="P666" s="4" t="str">
        <f t="shared" si="32"/>
        <v>PREMINUM MORNING</v>
      </c>
    </row>
    <row r="667" spans="1:16" x14ac:dyDescent="0.3">
      <c r="A667" s="4">
        <v>19</v>
      </c>
      <c r="B667" t="s">
        <v>11</v>
      </c>
      <c r="C667" s="4">
        <v>37.72</v>
      </c>
      <c r="D667" t="s">
        <v>12</v>
      </c>
      <c r="E667" t="s">
        <v>20</v>
      </c>
      <c r="F667" s="4" t="s">
        <v>25</v>
      </c>
      <c r="G667" s="4" t="s">
        <v>33</v>
      </c>
      <c r="H667" s="4">
        <v>1</v>
      </c>
      <c r="I667" s="4">
        <v>6</v>
      </c>
      <c r="J667" s="1">
        <v>45453</v>
      </c>
      <c r="K667" s="2">
        <v>2.6616898148148146E-2</v>
      </c>
      <c r="M667" s="4" t="str">
        <f t="shared" si="30"/>
        <v>HIGH</v>
      </c>
      <c r="N667" s="4" t="str" cm="1">
        <f t="array" ref="N667">_xlfn.IFS(C667&gt;35,"HIGH",C667&gt;25,"MIDDLE",TRUE,"LOW")</f>
        <v>HIGH</v>
      </c>
      <c r="O667" s="4" t="str">
        <f t="shared" si="31"/>
        <v>OTHERS</v>
      </c>
      <c r="P667" s="4" t="str">
        <f t="shared" si="32"/>
        <v>PREMINUM MORNING</v>
      </c>
    </row>
    <row r="668" spans="1:16" x14ac:dyDescent="0.3">
      <c r="A668" s="4">
        <v>10</v>
      </c>
      <c r="B668" t="s">
        <v>11</v>
      </c>
      <c r="C668" s="4">
        <v>32.82</v>
      </c>
      <c r="D668" t="s">
        <v>19</v>
      </c>
      <c r="E668" t="s">
        <v>13</v>
      </c>
      <c r="F668" s="4" t="s">
        <v>27</v>
      </c>
      <c r="G668" s="4" t="s">
        <v>33</v>
      </c>
      <c r="H668" s="4">
        <v>2</v>
      </c>
      <c r="I668" s="4">
        <v>6</v>
      </c>
      <c r="J668" s="1">
        <v>45454</v>
      </c>
      <c r="K668" s="2">
        <v>2.6435185185185187E-2</v>
      </c>
      <c r="M668" s="4" t="str">
        <f t="shared" si="30"/>
        <v>LOW</v>
      </c>
      <c r="N668" s="4" t="str" cm="1">
        <f t="array" ref="N668">_xlfn.IFS(C668&gt;35,"HIGH",C668&gt;25,"MIDDLE",TRUE,"LOW")</f>
        <v>MIDDLE</v>
      </c>
      <c r="O668" s="4" t="str">
        <f t="shared" si="31"/>
        <v>OTHERS</v>
      </c>
      <c r="P668" s="4" t="str">
        <f t="shared" si="32"/>
        <v>PREMINUM MORNING</v>
      </c>
    </row>
    <row r="669" spans="1:16" x14ac:dyDescent="0.3">
      <c r="A669" s="4">
        <v>18</v>
      </c>
      <c r="B669" t="s">
        <v>11</v>
      </c>
      <c r="C669" s="4">
        <v>37.72</v>
      </c>
      <c r="D669" t="s">
        <v>12</v>
      </c>
      <c r="E669" t="s">
        <v>20</v>
      </c>
      <c r="F669" s="4" t="s">
        <v>27</v>
      </c>
      <c r="G669" s="4" t="s">
        <v>33</v>
      </c>
      <c r="H669" s="4">
        <v>2</v>
      </c>
      <c r="I669" s="4">
        <v>6</v>
      </c>
      <c r="J669" s="1">
        <v>45454</v>
      </c>
      <c r="K669" s="2">
        <v>3.362615740740741E-2</v>
      </c>
      <c r="M669" s="4" t="str">
        <f t="shared" si="30"/>
        <v>HIGH</v>
      </c>
      <c r="N669" s="4" t="str" cm="1">
        <f t="array" ref="N669">_xlfn.IFS(C669&gt;35,"HIGH",C669&gt;25,"MIDDLE",TRUE,"LOW")</f>
        <v>HIGH</v>
      </c>
      <c r="O669" s="4" t="str">
        <f t="shared" si="31"/>
        <v>OTHERS</v>
      </c>
      <c r="P669" s="4" t="str">
        <f t="shared" si="32"/>
        <v>PREMINUM MORNING</v>
      </c>
    </row>
    <row r="670" spans="1:16" x14ac:dyDescent="0.3">
      <c r="A670" s="4">
        <v>18</v>
      </c>
      <c r="B670" t="s">
        <v>11</v>
      </c>
      <c r="C670" s="4">
        <v>37.72</v>
      </c>
      <c r="D670" t="s">
        <v>12</v>
      </c>
      <c r="E670" t="s">
        <v>20</v>
      </c>
      <c r="F670" s="4" t="s">
        <v>27</v>
      </c>
      <c r="G670" s="4" t="s">
        <v>33</v>
      </c>
      <c r="H670" s="4">
        <v>2</v>
      </c>
      <c r="I670" s="4">
        <v>6</v>
      </c>
      <c r="J670" s="1">
        <v>45454</v>
      </c>
      <c r="K670" s="2">
        <v>3.4449074074074076E-2</v>
      </c>
      <c r="M670" s="4" t="str">
        <f t="shared" si="30"/>
        <v>HIGH</v>
      </c>
      <c r="N670" s="4" t="str" cm="1">
        <f t="array" ref="N670">_xlfn.IFS(C670&gt;35,"HIGH",C670&gt;25,"MIDDLE",TRUE,"LOW")</f>
        <v>HIGH</v>
      </c>
      <c r="O670" s="4" t="str">
        <f t="shared" si="31"/>
        <v>OTHERS</v>
      </c>
      <c r="P670" s="4" t="str">
        <f t="shared" si="32"/>
        <v>PREMINUM MORNING</v>
      </c>
    </row>
    <row r="671" spans="1:16" x14ac:dyDescent="0.3">
      <c r="A671" s="4">
        <v>21</v>
      </c>
      <c r="B671" t="s">
        <v>11</v>
      </c>
      <c r="C671" s="4">
        <v>37.72</v>
      </c>
      <c r="D671" t="s">
        <v>16</v>
      </c>
      <c r="E671" t="s">
        <v>20</v>
      </c>
      <c r="F671" s="4" t="s">
        <v>27</v>
      </c>
      <c r="G671" s="4" t="s">
        <v>33</v>
      </c>
      <c r="H671" s="4">
        <v>2</v>
      </c>
      <c r="I671" s="4">
        <v>6</v>
      </c>
      <c r="J671" s="1">
        <v>45454</v>
      </c>
      <c r="K671" s="2">
        <v>1.184375E-2</v>
      </c>
      <c r="M671" s="4" t="str">
        <f t="shared" si="30"/>
        <v>HIGH</v>
      </c>
      <c r="N671" s="4" t="str" cm="1">
        <f t="array" ref="N671">_xlfn.IFS(C671&gt;35,"HIGH",C671&gt;25,"MIDDLE",TRUE,"LOW")</f>
        <v>HIGH</v>
      </c>
      <c r="O671" s="4" t="str">
        <f t="shared" si="31"/>
        <v>OTHERS</v>
      </c>
      <c r="P671" s="4" t="str">
        <f t="shared" si="32"/>
        <v>PREMINUM MORNING</v>
      </c>
    </row>
    <row r="672" spans="1:16" x14ac:dyDescent="0.3">
      <c r="A672" s="4">
        <v>21</v>
      </c>
      <c r="B672" t="s">
        <v>11</v>
      </c>
      <c r="C672" s="4">
        <v>32.82</v>
      </c>
      <c r="D672" t="s">
        <v>19</v>
      </c>
      <c r="E672" t="s">
        <v>20</v>
      </c>
      <c r="F672" s="4" t="s">
        <v>27</v>
      </c>
      <c r="G672" s="4" t="s">
        <v>33</v>
      </c>
      <c r="H672" s="4">
        <v>2</v>
      </c>
      <c r="I672" s="4">
        <v>6</v>
      </c>
      <c r="J672" s="1">
        <v>45454</v>
      </c>
      <c r="K672" s="2">
        <v>1.9234953703703705E-2</v>
      </c>
      <c r="M672" s="4" t="str">
        <f t="shared" si="30"/>
        <v>LOW</v>
      </c>
      <c r="N672" s="4" t="str" cm="1">
        <f t="array" ref="N672">_xlfn.IFS(C672&gt;35,"HIGH",C672&gt;25,"MIDDLE",TRUE,"LOW")</f>
        <v>MIDDLE</v>
      </c>
      <c r="O672" s="4" t="str">
        <f t="shared" si="31"/>
        <v>OTHERS</v>
      </c>
      <c r="P672" s="4" t="str">
        <f t="shared" si="32"/>
        <v>OTHERS</v>
      </c>
    </row>
    <row r="673" spans="1:16" x14ac:dyDescent="0.3">
      <c r="A673" s="4">
        <v>21</v>
      </c>
      <c r="B673" t="s">
        <v>11</v>
      </c>
      <c r="C673" s="4">
        <v>32.82</v>
      </c>
      <c r="D673" t="s">
        <v>19</v>
      </c>
      <c r="E673" t="s">
        <v>20</v>
      </c>
      <c r="F673" s="4" t="s">
        <v>27</v>
      </c>
      <c r="G673" s="4" t="s">
        <v>33</v>
      </c>
      <c r="H673" s="4">
        <v>2</v>
      </c>
      <c r="I673" s="4">
        <v>6</v>
      </c>
      <c r="J673" s="1">
        <v>45454</v>
      </c>
      <c r="K673" s="2">
        <v>2.0025462962962964E-2</v>
      </c>
      <c r="M673" s="4" t="str">
        <f t="shared" si="30"/>
        <v>LOW</v>
      </c>
      <c r="N673" s="4" t="str" cm="1">
        <f t="array" ref="N673">_xlfn.IFS(C673&gt;35,"HIGH",C673&gt;25,"MIDDLE",TRUE,"LOW")</f>
        <v>MIDDLE</v>
      </c>
      <c r="O673" s="4" t="str">
        <f t="shared" si="31"/>
        <v>OTHERS</v>
      </c>
      <c r="P673" s="4" t="str">
        <f t="shared" si="32"/>
        <v>OTHERS</v>
      </c>
    </row>
    <row r="674" spans="1:16" x14ac:dyDescent="0.3">
      <c r="A674" s="4">
        <v>10</v>
      </c>
      <c r="B674" t="s">
        <v>11</v>
      </c>
      <c r="C674" s="4">
        <v>37.72</v>
      </c>
      <c r="D674" t="s">
        <v>16</v>
      </c>
      <c r="E674" t="s">
        <v>13</v>
      </c>
      <c r="F674" s="4" t="s">
        <v>28</v>
      </c>
      <c r="G674" s="4" t="s">
        <v>33</v>
      </c>
      <c r="H674" s="4">
        <v>3</v>
      </c>
      <c r="I674" s="4">
        <v>6</v>
      </c>
      <c r="J674" s="1">
        <v>45455</v>
      </c>
      <c r="K674" s="2">
        <v>1.2717592592592593E-2</v>
      </c>
      <c r="M674" s="4" t="str">
        <f t="shared" si="30"/>
        <v>HIGH</v>
      </c>
      <c r="N674" s="4" t="str" cm="1">
        <f t="array" ref="N674">_xlfn.IFS(C674&gt;35,"HIGH",C674&gt;25,"MIDDLE",TRUE,"LOW")</f>
        <v>HIGH</v>
      </c>
      <c r="O674" s="4" t="str">
        <f t="shared" si="31"/>
        <v>PREMINUM MORNING</v>
      </c>
      <c r="P674" s="4" t="str">
        <f t="shared" si="32"/>
        <v>PREMINUM MORNING</v>
      </c>
    </row>
    <row r="675" spans="1:16" x14ac:dyDescent="0.3">
      <c r="A675" s="4">
        <v>11</v>
      </c>
      <c r="B675" t="s">
        <v>11</v>
      </c>
      <c r="C675" s="4">
        <v>37.72</v>
      </c>
      <c r="D675" t="s">
        <v>29</v>
      </c>
      <c r="E675" t="s">
        <v>13</v>
      </c>
      <c r="F675" s="4" t="s">
        <v>28</v>
      </c>
      <c r="G675" s="4" t="s">
        <v>33</v>
      </c>
      <c r="H675" s="4">
        <v>3</v>
      </c>
      <c r="I675" s="4">
        <v>6</v>
      </c>
      <c r="J675" s="1">
        <v>45455</v>
      </c>
      <c r="K675" s="2">
        <v>3.5924768518518523E-2</v>
      </c>
      <c r="M675" s="4" t="str">
        <f t="shared" si="30"/>
        <v>HIGH</v>
      </c>
      <c r="N675" s="4" t="str" cm="1">
        <f t="array" ref="N675">_xlfn.IFS(C675&gt;35,"HIGH",C675&gt;25,"MIDDLE",TRUE,"LOW")</f>
        <v>HIGH</v>
      </c>
      <c r="O675" s="4" t="str">
        <f t="shared" si="31"/>
        <v>PREMINUM MORNING</v>
      </c>
      <c r="P675" s="4" t="str">
        <f t="shared" si="32"/>
        <v>PREMINUM MORNING</v>
      </c>
    </row>
    <row r="676" spans="1:16" x14ac:dyDescent="0.3">
      <c r="A676" s="4">
        <v>17</v>
      </c>
      <c r="B676" t="s">
        <v>11</v>
      </c>
      <c r="C676" s="4">
        <v>37.72</v>
      </c>
      <c r="D676" t="s">
        <v>12</v>
      </c>
      <c r="E676" t="s">
        <v>20</v>
      </c>
      <c r="F676" s="4" t="s">
        <v>28</v>
      </c>
      <c r="G676" s="4" t="s">
        <v>33</v>
      </c>
      <c r="H676" s="4">
        <v>3</v>
      </c>
      <c r="I676" s="4">
        <v>6</v>
      </c>
      <c r="J676" s="1">
        <v>45455</v>
      </c>
      <c r="K676" s="2">
        <v>2.8671296296296295E-2</v>
      </c>
      <c r="M676" s="4" t="str">
        <f t="shared" si="30"/>
        <v>HIGH</v>
      </c>
      <c r="N676" s="4" t="str" cm="1">
        <f t="array" ref="N676">_xlfn.IFS(C676&gt;35,"HIGH",C676&gt;25,"MIDDLE",TRUE,"LOW")</f>
        <v>HIGH</v>
      </c>
      <c r="O676" s="4" t="str">
        <f t="shared" si="31"/>
        <v>OTHERS</v>
      </c>
      <c r="P676" s="4" t="str">
        <f t="shared" si="32"/>
        <v>PREMINUM MORNING</v>
      </c>
    </row>
    <row r="677" spans="1:16" x14ac:dyDescent="0.3">
      <c r="A677" s="4">
        <v>17</v>
      </c>
      <c r="B677" t="s">
        <v>11</v>
      </c>
      <c r="C677" s="4">
        <v>37.72</v>
      </c>
      <c r="D677" t="s">
        <v>12</v>
      </c>
      <c r="E677" t="s">
        <v>20</v>
      </c>
      <c r="F677" s="4" t="s">
        <v>28</v>
      </c>
      <c r="G677" s="4" t="s">
        <v>33</v>
      </c>
      <c r="H677" s="4">
        <v>3</v>
      </c>
      <c r="I677" s="4">
        <v>6</v>
      </c>
      <c r="J677" s="1">
        <v>45455</v>
      </c>
      <c r="K677" s="2">
        <v>3.2961805555555557E-2</v>
      </c>
      <c r="M677" s="4" t="str">
        <f t="shared" si="30"/>
        <v>HIGH</v>
      </c>
      <c r="N677" s="4" t="str" cm="1">
        <f t="array" ref="N677">_xlfn.IFS(C677&gt;35,"HIGH",C677&gt;25,"MIDDLE",TRUE,"LOW")</f>
        <v>HIGH</v>
      </c>
      <c r="O677" s="4" t="str">
        <f t="shared" si="31"/>
        <v>OTHERS</v>
      </c>
      <c r="P677" s="4" t="str">
        <f t="shared" si="32"/>
        <v>PREMINUM MORNING</v>
      </c>
    </row>
    <row r="678" spans="1:16" x14ac:dyDescent="0.3">
      <c r="A678" s="4">
        <v>20</v>
      </c>
      <c r="B678" t="s">
        <v>11</v>
      </c>
      <c r="C678" s="4">
        <v>37.72</v>
      </c>
      <c r="D678" t="s">
        <v>16</v>
      </c>
      <c r="E678" t="s">
        <v>20</v>
      </c>
      <c r="F678" s="4" t="s">
        <v>28</v>
      </c>
      <c r="G678" s="4" t="s">
        <v>33</v>
      </c>
      <c r="H678" s="4">
        <v>3</v>
      </c>
      <c r="I678" s="4">
        <v>6</v>
      </c>
      <c r="J678" s="1">
        <v>45455</v>
      </c>
      <c r="K678" s="2">
        <v>1.15E-2</v>
      </c>
      <c r="M678" s="4" t="str">
        <f t="shared" si="30"/>
        <v>HIGH</v>
      </c>
      <c r="N678" s="4" t="str" cm="1">
        <f t="array" ref="N678">_xlfn.IFS(C678&gt;35,"HIGH",C678&gt;25,"MIDDLE",TRUE,"LOW")</f>
        <v>HIGH</v>
      </c>
      <c r="O678" s="4" t="str">
        <f t="shared" si="31"/>
        <v>OTHERS</v>
      </c>
      <c r="P678" s="4" t="str">
        <f t="shared" si="32"/>
        <v>PREMINUM MORNING</v>
      </c>
    </row>
    <row r="679" spans="1:16" x14ac:dyDescent="0.3">
      <c r="A679" s="4">
        <v>20</v>
      </c>
      <c r="B679" t="s">
        <v>11</v>
      </c>
      <c r="C679" s="4">
        <v>32.82</v>
      </c>
      <c r="D679" t="s">
        <v>19</v>
      </c>
      <c r="E679" t="s">
        <v>20</v>
      </c>
      <c r="F679" s="4" t="s">
        <v>28</v>
      </c>
      <c r="G679" s="4" t="s">
        <v>33</v>
      </c>
      <c r="H679" s="4">
        <v>3</v>
      </c>
      <c r="I679" s="4">
        <v>6</v>
      </c>
      <c r="J679" s="1">
        <v>45455</v>
      </c>
      <c r="K679" s="2">
        <v>1.7756944444444443E-2</v>
      </c>
      <c r="M679" s="4" t="str">
        <f t="shared" si="30"/>
        <v>LOW</v>
      </c>
      <c r="N679" s="4" t="str" cm="1">
        <f t="array" ref="N679">_xlfn.IFS(C679&gt;35,"HIGH",C679&gt;25,"MIDDLE",TRUE,"LOW")</f>
        <v>MIDDLE</v>
      </c>
      <c r="O679" s="4" t="str">
        <f t="shared" si="31"/>
        <v>OTHERS</v>
      </c>
      <c r="P679" s="4" t="str">
        <f t="shared" si="32"/>
        <v>OTHERS</v>
      </c>
    </row>
    <row r="680" spans="1:16" x14ac:dyDescent="0.3">
      <c r="A680" s="4">
        <v>8</v>
      </c>
      <c r="B680" t="s">
        <v>11</v>
      </c>
      <c r="C680" s="4">
        <v>27.92</v>
      </c>
      <c r="D680" t="s">
        <v>18</v>
      </c>
      <c r="E680" t="s">
        <v>13</v>
      </c>
      <c r="F680" s="4" t="s">
        <v>30</v>
      </c>
      <c r="G680" s="4" t="s">
        <v>33</v>
      </c>
      <c r="H680" s="4">
        <v>4</v>
      </c>
      <c r="I680" s="4">
        <v>6</v>
      </c>
      <c r="J680" s="1">
        <v>45456</v>
      </c>
      <c r="K680" s="2">
        <v>3.7780092592592587E-2</v>
      </c>
      <c r="M680" s="4" t="str">
        <f t="shared" si="30"/>
        <v>LOW</v>
      </c>
      <c r="N680" s="4" t="str" cm="1">
        <f t="array" ref="N680">_xlfn.IFS(C680&gt;35,"HIGH",C680&gt;25,"MIDDLE",TRUE,"LOW")</f>
        <v>MIDDLE</v>
      </c>
      <c r="O680" s="4" t="str">
        <f t="shared" si="31"/>
        <v>OTHERS</v>
      </c>
      <c r="P680" s="4" t="str">
        <f t="shared" si="32"/>
        <v>PREMINUM MORNING</v>
      </c>
    </row>
    <row r="681" spans="1:16" x14ac:dyDescent="0.3">
      <c r="A681" s="4">
        <v>8</v>
      </c>
      <c r="B681" t="s">
        <v>11</v>
      </c>
      <c r="C681" s="4">
        <v>37.72</v>
      </c>
      <c r="D681" t="s">
        <v>12</v>
      </c>
      <c r="E681" t="s">
        <v>13</v>
      </c>
      <c r="F681" s="4" t="s">
        <v>30</v>
      </c>
      <c r="G681" s="4" t="s">
        <v>33</v>
      </c>
      <c r="H681" s="4">
        <v>4</v>
      </c>
      <c r="I681" s="4">
        <v>6</v>
      </c>
      <c r="J681" s="1">
        <v>45456</v>
      </c>
      <c r="K681" s="2">
        <v>3.9879629629629626E-2</v>
      </c>
      <c r="M681" s="4" t="str">
        <f t="shared" si="30"/>
        <v>HIGH</v>
      </c>
      <c r="N681" s="4" t="str" cm="1">
        <f t="array" ref="N681">_xlfn.IFS(C681&gt;35,"HIGH",C681&gt;25,"MIDDLE",TRUE,"LOW")</f>
        <v>HIGH</v>
      </c>
      <c r="O681" s="4" t="str">
        <f t="shared" si="31"/>
        <v>PREMINUM MORNING</v>
      </c>
      <c r="P681" s="4" t="str">
        <f t="shared" si="32"/>
        <v>PREMINUM MORNING</v>
      </c>
    </row>
    <row r="682" spans="1:16" x14ac:dyDescent="0.3">
      <c r="A682" s="4">
        <v>9</v>
      </c>
      <c r="B682" t="s">
        <v>11</v>
      </c>
      <c r="C682" s="4">
        <v>32.82</v>
      </c>
      <c r="D682" t="s">
        <v>19</v>
      </c>
      <c r="E682" t="s">
        <v>13</v>
      </c>
      <c r="F682" s="4" t="s">
        <v>30</v>
      </c>
      <c r="G682" s="4" t="s">
        <v>33</v>
      </c>
      <c r="H682" s="4">
        <v>4</v>
      </c>
      <c r="I682" s="4">
        <v>6</v>
      </c>
      <c r="J682" s="1">
        <v>45456</v>
      </c>
      <c r="K682" s="2">
        <v>3.5011574074074077E-2</v>
      </c>
      <c r="M682" s="4" t="str">
        <f t="shared" si="30"/>
        <v>LOW</v>
      </c>
      <c r="N682" s="4" t="str" cm="1">
        <f t="array" ref="N682">_xlfn.IFS(C682&gt;35,"HIGH",C682&gt;25,"MIDDLE",TRUE,"LOW")</f>
        <v>MIDDLE</v>
      </c>
      <c r="O682" s="4" t="str">
        <f t="shared" si="31"/>
        <v>OTHERS</v>
      </c>
      <c r="P682" s="4" t="str">
        <f t="shared" si="32"/>
        <v>PREMINUM MORNING</v>
      </c>
    </row>
    <row r="683" spans="1:16" x14ac:dyDescent="0.3">
      <c r="A683" s="4">
        <v>9</v>
      </c>
      <c r="B683" t="s">
        <v>11</v>
      </c>
      <c r="C683" s="4">
        <v>27.92</v>
      </c>
      <c r="D683" t="s">
        <v>24</v>
      </c>
      <c r="E683" t="s">
        <v>13</v>
      </c>
      <c r="F683" s="4" t="s">
        <v>30</v>
      </c>
      <c r="G683" s="4" t="s">
        <v>33</v>
      </c>
      <c r="H683" s="4">
        <v>4</v>
      </c>
      <c r="I683" s="4">
        <v>6</v>
      </c>
      <c r="J683" s="1">
        <v>45456</v>
      </c>
      <c r="K683" s="2">
        <v>3.9716435185185188E-2</v>
      </c>
      <c r="M683" s="4" t="str">
        <f t="shared" si="30"/>
        <v>LOW</v>
      </c>
      <c r="N683" s="4" t="str" cm="1">
        <f t="array" ref="N683">_xlfn.IFS(C683&gt;35,"HIGH",C683&gt;25,"MIDDLE",TRUE,"LOW")</f>
        <v>MIDDLE</v>
      </c>
      <c r="O683" s="4" t="str">
        <f t="shared" si="31"/>
        <v>OTHERS</v>
      </c>
      <c r="P683" s="4" t="str">
        <f t="shared" si="32"/>
        <v>PREMINUM MORNING</v>
      </c>
    </row>
    <row r="684" spans="1:16" x14ac:dyDescent="0.3">
      <c r="A684" s="4">
        <v>17</v>
      </c>
      <c r="B684" t="s">
        <v>11</v>
      </c>
      <c r="C684" s="4">
        <v>32.82</v>
      </c>
      <c r="D684" t="s">
        <v>19</v>
      </c>
      <c r="E684" t="s">
        <v>20</v>
      </c>
      <c r="F684" s="4" t="s">
        <v>30</v>
      </c>
      <c r="G684" s="4" t="s">
        <v>33</v>
      </c>
      <c r="H684" s="4">
        <v>4</v>
      </c>
      <c r="I684" s="4">
        <v>6</v>
      </c>
      <c r="J684" s="1">
        <v>45456</v>
      </c>
      <c r="K684" s="2">
        <v>3.4560185185185189E-3</v>
      </c>
      <c r="M684" s="4" t="str">
        <f t="shared" si="30"/>
        <v>LOW</v>
      </c>
      <c r="N684" s="4" t="str" cm="1">
        <f t="array" ref="N684">_xlfn.IFS(C684&gt;35,"HIGH",C684&gt;25,"MIDDLE",TRUE,"LOW")</f>
        <v>MIDDLE</v>
      </c>
      <c r="O684" s="4" t="str">
        <f t="shared" si="31"/>
        <v>OTHERS</v>
      </c>
      <c r="P684" s="4" t="str">
        <f t="shared" si="32"/>
        <v>OTHERS</v>
      </c>
    </row>
    <row r="685" spans="1:16" x14ac:dyDescent="0.3">
      <c r="A685" s="4">
        <v>17</v>
      </c>
      <c r="B685" t="s">
        <v>11</v>
      </c>
      <c r="C685" s="4">
        <v>37.72</v>
      </c>
      <c r="D685" t="s">
        <v>16</v>
      </c>
      <c r="E685" t="s">
        <v>20</v>
      </c>
      <c r="F685" s="4" t="s">
        <v>30</v>
      </c>
      <c r="G685" s="4" t="s">
        <v>33</v>
      </c>
      <c r="H685" s="4">
        <v>4</v>
      </c>
      <c r="I685" s="4">
        <v>6</v>
      </c>
      <c r="J685" s="1">
        <v>45456</v>
      </c>
      <c r="K685" s="2">
        <v>1.9289351851851849E-2</v>
      </c>
      <c r="M685" s="4" t="str">
        <f t="shared" si="30"/>
        <v>HIGH</v>
      </c>
      <c r="N685" s="4" t="str" cm="1">
        <f t="array" ref="N685">_xlfn.IFS(C685&gt;35,"HIGH",C685&gt;25,"MIDDLE",TRUE,"LOW")</f>
        <v>HIGH</v>
      </c>
      <c r="O685" s="4" t="str">
        <f t="shared" si="31"/>
        <v>OTHERS</v>
      </c>
      <c r="P685" s="4" t="str">
        <f t="shared" si="32"/>
        <v>PREMINUM MORNING</v>
      </c>
    </row>
    <row r="686" spans="1:16" x14ac:dyDescent="0.3">
      <c r="A686" s="4">
        <v>19</v>
      </c>
      <c r="B686" t="s">
        <v>11</v>
      </c>
      <c r="C686" s="4">
        <v>37.72</v>
      </c>
      <c r="D686" t="s">
        <v>12</v>
      </c>
      <c r="E686" t="s">
        <v>20</v>
      </c>
      <c r="F686" s="4" t="s">
        <v>30</v>
      </c>
      <c r="G686" s="4" t="s">
        <v>33</v>
      </c>
      <c r="H686" s="4">
        <v>4</v>
      </c>
      <c r="I686" s="4">
        <v>6</v>
      </c>
      <c r="J686" s="1">
        <v>45456</v>
      </c>
      <c r="K686" s="2">
        <v>1.5498842592592592E-2</v>
      </c>
      <c r="M686" s="4" t="str">
        <f t="shared" si="30"/>
        <v>HIGH</v>
      </c>
      <c r="N686" s="4" t="str" cm="1">
        <f t="array" ref="N686">_xlfn.IFS(C686&gt;35,"HIGH",C686&gt;25,"MIDDLE",TRUE,"LOW")</f>
        <v>HIGH</v>
      </c>
      <c r="O686" s="4" t="str">
        <f t="shared" si="31"/>
        <v>OTHERS</v>
      </c>
      <c r="P686" s="4" t="str">
        <f t="shared" si="32"/>
        <v>PREMINUM MORNING</v>
      </c>
    </row>
    <row r="687" spans="1:16" x14ac:dyDescent="0.3">
      <c r="A687" s="4">
        <v>20</v>
      </c>
      <c r="B687" t="s">
        <v>11</v>
      </c>
      <c r="C687" s="4">
        <v>32.82</v>
      </c>
      <c r="D687" t="s">
        <v>19</v>
      </c>
      <c r="E687" t="s">
        <v>20</v>
      </c>
      <c r="F687" s="4" t="s">
        <v>30</v>
      </c>
      <c r="G687" s="4" t="s">
        <v>33</v>
      </c>
      <c r="H687" s="4">
        <v>4</v>
      </c>
      <c r="I687" s="4">
        <v>6</v>
      </c>
      <c r="J687" s="1">
        <v>45456</v>
      </c>
      <c r="K687" s="2">
        <v>1.4488425925925925E-2</v>
      </c>
      <c r="M687" s="4" t="str">
        <f t="shared" si="30"/>
        <v>LOW</v>
      </c>
      <c r="N687" s="4" t="str" cm="1">
        <f t="array" ref="N687">_xlfn.IFS(C687&gt;35,"HIGH",C687&gt;25,"MIDDLE",TRUE,"LOW")</f>
        <v>MIDDLE</v>
      </c>
      <c r="O687" s="4" t="str">
        <f t="shared" si="31"/>
        <v>OTHERS</v>
      </c>
      <c r="P687" s="4" t="str">
        <f t="shared" si="32"/>
        <v>OTHERS</v>
      </c>
    </row>
    <row r="688" spans="1:16" x14ac:dyDescent="0.3">
      <c r="A688" s="4">
        <v>20</v>
      </c>
      <c r="B688" t="s">
        <v>11</v>
      </c>
      <c r="C688" s="4">
        <v>23.02</v>
      </c>
      <c r="D688" t="s">
        <v>26</v>
      </c>
      <c r="E688" t="s">
        <v>20</v>
      </c>
      <c r="F688" s="4" t="s">
        <v>30</v>
      </c>
      <c r="G688" s="4" t="s">
        <v>33</v>
      </c>
      <c r="H688" s="4">
        <v>4</v>
      </c>
      <c r="I688" s="4">
        <v>6</v>
      </c>
      <c r="J688" s="1">
        <v>45456</v>
      </c>
      <c r="K688" s="2">
        <v>3.0393518518518518E-2</v>
      </c>
      <c r="M688" s="4" t="str">
        <f t="shared" si="30"/>
        <v>LOW</v>
      </c>
      <c r="N688" s="4" t="str" cm="1">
        <f t="array" ref="N688">_xlfn.IFS(C688&gt;35,"HIGH",C688&gt;25,"MIDDLE",TRUE,"LOW")</f>
        <v>LOW</v>
      </c>
      <c r="O688" s="4" t="str">
        <f t="shared" si="31"/>
        <v>OTHERS</v>
      </c>
      <c r="P688" s="4" t="str">
        <f t="shared" si="32"/>
        <v>OTHERS</v>
      </c>
    </row>
    <row r="689" spans="1:16" x14ac:dyDescent="0.3">
      <c r="A689" s="4">
        <v>20</v>
      </c>
      <c r="B689" t="s">
        <v>11</v>
      </c>
      <c r="C689" s="4">
        <v>23.02</v>
      </c>
      <c r="D689" t="s">
        <v>26</v>
      </c>
      <c r="E689" t="s">
        <v>20</v>
      </c>
      <c r="F689" s="4" t="s">
        <v>30</v>
      </c>
      <c r="G689" s="4" t="s">
        <v>33</v>
      </c>
      <c r="H689" s="4">
        <v>4</v>
      </c>
      <c r="I689" s="4">
        <v>6</v>
      </c>
      <c r="J689" s="1">
        <v>45456</v>
      </c>
      <c r="K689" s="2">
        <v>3.1256944444444441E-2</v>
      </c>
      <c r="M689" s="4" t="str">
        <f t="shared" si="30"/>
        <v>LOW</v>
      </c>
      <c r="N689" s="4" t="str" cm="1">
        <f t="array" ref="N689">_xlfn.IFS(C689&gt;35,"HIGH",C689&gt;25,"MIDDLE",TRUE,"LOW")</f>
        <v>LOW</v>
      </c>
      <c r="O689" s="4" t="str">
        <f t="shared" si="31"/>
        <v>OTHERS</v>
      </c>
      <c r="P689" s="4" t="str">
        <f t="shared" si="32"/>
        <v>OTHERS</v>
      </c>
    </row>
    <row r="690" spans="1:16" x14ac:dyDescent="0.3">
      <c r="A690" s="4">
        <v>20</v>
      </c>
      <c r="B690" t="s">
        <v>11</v>
      </c>
      <c r="C690" s="4">
        <v>32.82</v>
      </c>
      <c r="D690" t="s">
        <v>19</v>
      </c>
      <c r="E690" t="s">
        <v>20</v>
      </c>
      <c r="F690" s="4" t="s">
        <v>30</v>
      </c>
      <c r="G690" s="4" t="s">
        <v>33</v>
      </c>
      <c r="H690" s="4">
        <v>4</v>
      </c>
      <c r="I690" s="4">
        <v>6</v>
      </c>
      <c r="J690" s="1">
        <v>45456</v>
      </c>
      <c r="K690" s="2">
        <v>3.3540509259259263E-2</v>
      </c>
      <c r="M690" s="4" t="str">
        <f t="shared" si="30"/>
        <v>LOW</v>
      </c>
      <c r="N690" s="4" t="str" cm="1">
        <f t="array" ref="N690">_xlfn.IFS(C690&gt;35,"HIGH",C690&gt;25,"MIDDLE",TRUE,"LOW")</f>
        <v>MIDDLE</v>
      </c>
      <c r="O690" s="4" t="str">
        <f t="shared" si="31"/>
        <v>OTHERS</v>
      </c>
      <c r="P690" s="4" t="str">
        <f t="shared" si="32"/>
        <v>OTHERS</v>
      </c>
    </row>
    <row r="691" spans="1:16" x14ac:dyDescent="0.3">
      <c r="A691" s="4">
        <v>21</v>
      </c>
      <c r="B691" t="s">
        <v>11</v>
      </c>
      <c r="C691" s="4">
        <v>32.82</v>
      </c>
      <c r="D691" t="s">
        <v>19</v>
      </c>
      <c r="E691" t="s">
        <v>20</v>
      </c>
      <c r="F691" s="4" t="s">
        <v>30</v>
      </c>
      <c r="G691" s="4" t="s">
        <v>33</v>
      </c>
      <c r="H691" s="4">
        <v>4</v>
      </c>
      <c r="I691" s="4">
        <v>6</v>
      </c>
      <c r="J691" s="1">
        <v>45456</v>
      </c>
      <c r="K691" s="2">
        <v>1.7175925925925926E-3</v>
      </c>
      <c r="M691" s="4" t="str">
        <f t="shared" si="30"/>
        <v>LOW</v>
      </c>
      <c r="N691" s="4" t="str" cm="1">
        <f t="array" ref="N691">_xlfn.IFS(C691&gt;35,"HIGH",C691&gt;25,"MIDDLE",TRUE,"LOW")</f>
        <v>MIDDLE</v>
      </c>
      <c r="O691" s="4" t="str">
        <f t="shared" si="31"/>
        <v>OTHERS</v>
      </c>
      <c r="P691" s="4" t="str">
        <f t="shared" si="32"/>
        <v>OTHERS</v>
      </c>
    </row>
    <row r="692" spans="1:16" x14ac:dyDescent="0.3">
      <c r="A692" s="4">
        <v>7</v>
      </c>
      <c r="B692" t="s">
        <v>11</v>
      </c>
      <c r="C692" s="4">
        <v>27.92</v>
      </c>
      <c r="D692" t="s">
        <v>24</v>
      </c>
      <c r="E692" t="s">
        <v>13</v>
      </c>
      <c r="F692" s="4" t="s">
        <v>14</v>
      </c>
      <c r="G692" s="4" t="s">
        <v>33</v>
      </c>
      <c r="H692" s="4">
        <v>5</v>
      </c>
      <c r="I692" s="4">
        <v>6</v>
      </c>
      <c r="J692" s="1">
        <v>45457</v>
      </c>
      <c r="K692" s="2">
        <v>3.2097222222222221E-2</v>
      </c>
      <c r="M692" s="4" t="str">
        <f t="shared" si="30"/>
        <v>LOW</v>
      </c>
      <c r="N692" s="4" t="str" cm="1">
        <f t="array" ref="N692">_xlfn.IFS(C692&gt;35,"HIGH",C692&gt;25,"MIDDLE",TRUE,"LOW")</f>
        <v>MIDDLE</v>
      </c>
      <c r="O692" s="4" t="str">
        <f t="shared" si="31"/>
        <v>OTHERS</v>
      </c>
      <c r="P692" s="4" t="str">
        <f t="shared" si="32"/>
        <v>PREMINUM MORNING</v>
      </c>
    </row>
    <row r="693" spans="1:16" x14ac:dyDescent="0.3">
      <c r="A693" s="4">
        <v>10</v>
      </c>
      <c r="B693" t="s">
        <v>11</v>
      </c>
      <c r="C693" s="4">
        <v>27.92</v>
      </c>
      <c r="D693" t="s">
        <v>18</v>
      </c>
      <c r="E693" t="s">
        <v>13</v>
      </c>
      <c r="F693" s="4" t="s">
        <v>14</v>
      </c>
      <c r="G693" s="4" t="s">
        <v>33</v>
      </c>
      <c r="H693" s="4">
        <v>5</v>
      </c>
      <c r="I693" s="4">
        <v>6</v>
      </c>
      <c r="J693" s="1">
        <v>45457</v>
      </c>
      <c r="K693" s="2">
        <v>2.1199074074074072E-2</v>
      </c>
      <c r="M693" s="4" t="str">
        <f t="shared" si="30"/>
        <v>LOW</v>
      </c>
      <c r="N693" s="4" t="str" cm="1">
        <f t="array" ref="N693">_xlfn.IFS(C693&gt;35,"HIGH",C693&gt;25,"MIDDLE",TRUE,"LOW")</f>
        <v>MIDDLE</v>
      </c>
      <c r="O693" s="4" t="str">
        <f t="shared" si="31"/>
        <v>OTHERS</v>
      </c>
      <c r="P693" s="4" t="str">
        <f t="shared" si="32"/>
        <v>PREMINUM MORNING</v>
      </c>
    </row>
    <row r="694" spans="1:16" x14ac:dyDescent="0.3">
      <c r="A694" s="4">
        <v>12</v>
      </c>
      <c r="B694" t="s">
        <v>11</v>
      </c>
      <c r="C694" s="4">
        <v>37.72</v>
      </c>
      <c r="D694" t="s">
        <v>12</v>
      </c>
      <c r="E694" t="s">
        <v>17</v>
      </c>
      <c r="F694" s="4" t="s">
        <v>14</v>
      </c>
      <c r="G694" s="4" t="s">
        <v>33</v>
      </c>
      <c r="H694" s="4">
        <v>5</v>
      </c>
      <c r="I694" s="4">
        <v>6</v>
      </c>
      <c r="J694" s="1">
        <v>45457</v>
      </c>
      <c r="K694" s="2">
        <v>1.0204861111111112E-2</v>
      </c>
      <c r="M694" s="4" t="str">
        <f t="shared" si="30"/>
        <v>HIGH</v>
      </c>
      <c r="N694" s="4" t="str" cm="1">
        <f t="array" ref="N694">_xlfn.IFS(C694&gt;35,"HIGH",C694&gt;25,"MIDDLE",TRUE,"LOW")</f>
        <v>HIGH</v>
      </c>
      <c r="O694" s="4" t="str">
        <f t="shared" si="31"/>
        <v>OTHERS</v>
      </c>
      <c r="P694" s="4" t="str">
        <f t="shared" si="32"/>
        <v>PREMINUM MORNING</v>
      </c>
    </row>
    <row r="695" spans="1:16" x14ac:dyDescent="0.3">
      <c r="A695" s="4">
        <v>18</v>
      </c>
      <c r="B695" t="s">
        <v>11</v>
      </c>
      <c r="C695" s="4">
        <v>32.82</v>
      </c>
      <c r="D695" t="s">
        <v>19</v>
      </c>
      <c r="E695" t="s">
        <v>20</v>
      </c>
      <c r="F695" s="4" t="s">
        <v>14</v>
      </c>
      <c r="G695" s="4" t="s">
        <v>33</v>
      </c>
      <c r="H695" s="4">
        <v>5</v>
      </c>
      <c r="I695" s="4">
        <v>6</v>
      </c>
      <c r="J695" s="1">
        <v>45457</v>
      </c>
      <c r="K695" s="2">
        <v>2.0756944444444446E-2</v>
      </c>
      <c r="M695" s="4" t="str">
        <f t="shared" si="30"/>
        <v>LOW</v>
      </c>
      <c r="N695" s="4" t="str" cm="1">
        <f t="array" ref="N695">_xlfn.IFS(C695&gt;35,"HIGH",C695&gt;25,"MIDDLE",TRUE,"LOW")</f>
        <v>MIDDLE</v>
      </c>
      <c r="O695" s="4" t="str">
        <f t="shared" si="31"/>
        <v>OTHERS</v>
      </c>
      <c r="P695" s="4" t="str">
        <f t="shared" si="32"/>
        <v>OTHERS</v>
      </c>
    </row>
    <row r="696" spans="1:16" x14ac:dyDescent="0.3">
      <c r="A696" s="4">
        <v>11</v>
      </c>
      <c r="B696" t="s">
        <v>11</v>
      </c>
      <c r="C696" s="4">
        <v>37.72</v>
      </c>
      <c r="D696" t="s">
        <v>29</v>
      </c>
      <c r="E696" t="s">
        <v>13</v>
      </c>
      <c r="F696" s="4" t="s">
        <v>22</v>
      </c>
      <c r="G696" s="4" t="s">
        <v>33</v>
      </c>
      <c r="H696" s="4">
        <v>6</v>
      </c>
      <c r="I696" s="4">
        <v>6</v>
      </c>
      <c r="J696" s="1">
        <v>45458</v>
      </c>
      <c r="K696" s="2">
        <v>1.8078703703703704E-2</v>
      </c>
      <c r="M696" s="4" t="str">
        <f t="shared" si="30"/>
        <v>HIGH</v>
      </c>
      <c r="N696" s="4" t="str" cm="1">
        <f t="array" ref="N696">_xlfn.IFS(C696&gt;35,"HIGH",C696&gt;25,"MIDDLE",TRUE,"LOW")</f>
        <v>HIGH</v>
      </c>
      <c r="O696" s="4" t="str">
        <f t="shared" si="31"/>
        <v>PREMINUM MORNING</v>
      </c>
      <c r="P696" s="4" t="str">
        <f t="shared" si="32"/>
        <v>PREMINUM MORNING</v>
      </c>
    </row>
    <row r="697" spans="1:16" x14ac:dyDescent="0.3">
      <c r="A697" s="4">
        <v>12</v>
      </c>
      <c r="B697" t="s">
        <v>11</v>
      </c>
      <c r="C697" s="4">
        <v>37.72</v>
      </c>
      <c r="D697" t="s">
        <v>12</v>
      </c>
      <c r="E697" t="s">
        <v>17</v>
      </c>
      <c r="F697" s="4" t="s">
        <v>22</v>
      </c>
      <c r="G697" s="4" t="s">
        <v>33</v>
      </c>
      <c r="H697" s="4">
        <v>6</v>
      </c>
      <c r="I697" s="4">
        <v>6</v>
      </c>
      <c r="J697" s="1">
        <v>45458</v>
      </c>
      <c r="K697" s="2">
        <v>1.4908564814814814E-2</v>
      </c>
      <c r="M697" s="4" t="str">
        <f t="shared" si="30"/>
        <v>HIGH</v>
      </c>
      <c r="N697" s="4" t="str" cm="1">
        <f t="array" ref="N697">_xlfn.IFS(C697&gt;35,"HIGH",C697&gt;25,"MIDDLE",TRUE,"LOW")</f>
        <v>HIGH</v>
      </c>
      <c r="O697" s="4" t="str">
        <f t="shared" si="31"/>
        <v>OTHERS</v>
      </c>
      <c r="P697" s="4" t="str">
        <f t="shared" si="32"/>
        <v>PREMINUM MORNING</v>
      </c>
    </row>
    <row r="698" spans="1:16" x14ac:dyDescent="0.3">
      <c r="A698" s="4">
        <v>12</v>
      </c>
      <c r="B698" t="s">
        <v>11</v>
      </c>
      <c r="C698" s="4">
        <v>32.82</v>
      </c>
      <c r="D698" t="s">
        <v>19</v>
      </c>
      <c r="E698" t="s">
        <v>17</v>
      </c>
      <c r="F698" s="4" t="s">
        <v>22</v>
      </c>
      <c r="G698" s="4" t="s">
        <v>33</v>
      </c>
      <c r="H698" s="4">
        <v>6</v>
      </c>
      <c r="I698" s="4">
        <v>6</v>
      </c>
      <c r="J698" s="1">
        <v>45458</v>
      </c>
      <c r="K698" s="2">
        <v>1.5820601851851853E-2</v>
      </c>
      <c r="M698" s="4" t="str">
        <f t="shared" si="30"/>
        <v>LOW</v>
      </c>
      <c r="N698" s="4" t="str" cm="1">
        <f t="array" ref="N698">_xlfn.IFS(C698&gt;35,"HIGH",C698&gt;25,"MIDDLE",TRUE,"LOW")</f>
        <v>MIDDLE</v>
      </c>
      <c r="O698" s="4" t="str">
        <f t="shared" si="31"/>
        <v>OTHERS</v>
      </c>
      <c r="P698" s="4" t="str">
        <f t="shared" si="32"/>
        <v>OTHERS</v>
      </c>
    </row>
    <row r="699" spans="1:16" x14ac:dyDescent="0.3">
      <c r="A699" s="4">
        <v>12</v>
      </c>
      <c r="B699" t="s">
        <v>11</v>
      </c>
      <c r="C699" s="4">
        <v>23.02</v>
      </c>
      <c r="D699" t="s">
        <v>26</v>
      </c>
      <c r="E699" t="s">
        <v>17</v>
      </c>
      <c r="F699" s="4" t="s">
        <v>22</v>
      </c>
      <c r="G699" s="4" t="s">
        <v>33</v>
      </c>
      <c r="H699" s="4">
        <v>6</v>
      </c>
      <c r="I699" s="4">
        <v>6</v>
      </c>
      <c r="J699" s="1">
        <v>45458</v>
      </c>
      <c r="K699" s="2">
        <v>1.6576388888888891E-2</v>
      </c>
      <c r="M699" s="4" t="str">
        <f t="shared" si="30"/>
        <v>LOW</v>
      </c>
      <c r="N699" s="4" t="str" cm="1">
        <f t="array" ref="N699">_xlfn.IFS(C699&gt;35,"HIGH",C699&gt;25,"MIDDLE",TRUE,"LOW")</f>
        <v>LOW</v>
      </c>
      <c r="O699" s="4" t="str">
        <f t="shared" si="31"/>
        <v>OTHERS</v>
      </c>
      <c r="P699" s="4" t="str">
        <f t="shared" si="32"/>
        <v>OTHERS</v>
      </c>
    </row>
    <row r="700" spans="1:16" x14ac:dyDescent="0.3">
      <c r="A700" s="4">
        <v>12</v>
      </c>
      <c r="B700" t="s">
        <v>11</v>
      </c>
      <c r="C700" s="4">
        <v>37.72</v>
      </c>
      <c r="D700" t="s">
        <v>21</v>
      </c>
      <c r="E700" t="s">
        <v>17</v>
      </c>
      <c r="F700" s="4" t="s">
        <v>22</v>
      </c>
      <c r="G700" s="4" t="s">
        <v>33</v>
      </c>
      <c r="H700" s="4">
        <v>6</v>
      </c>
      <c r="I700" s="4">
        <v>6</v>
      </c>
      <c r="J700" s="1">
        <v>45458</v>
      </c>
      <c r="K700" s="2">
        <v>1.7072916666666667E-2</v>
      </c>
      <c r="M700" s="4" t="str">
        <f t="shared" si="30"/>
        <v>HIGH</v>
      </c>
      <c r="N700" s="4" t="str" cm="1">
        <f t="array" ref="N700">_xlfn.IFS(C700&gt;35,"HIGH",C700&gt;25,"MIDDLE",TRUE,"LOW")</f>
        <v>HIGH</v>
      </c>
      <c r="O700" s="4" t="str">
        <f t="shared" si="31"/>
        <v>OTHERS</v>
      </c>
      <c r="P700" s="4" t="str">
        <f t="shared" si="32"/>
        <v>PREMINUM MORNING</v>
      </c>
    </row>
    <row r="701" spans="1:16" x14ac:dyDescent="0.3">
      <c r="A701" s="4">
        <v>12</v>
      </c>
      <c r="B701" t="s">
        <v>11</v>
      </c>
      <c r="C701" s="4">
        <v>32.82</v>
      </c>
      <c r="D701" t="s">
        <v>19</v>
      </c>
      <c r="E701" t="s">
        <v>17</v>
      </c>
      <c r="F701" s="4" t="s">
        <v>22</v>
      </c>
      <c r="G701" s="4" t="s">
        <v>33</v>
      </c>
      <c r="H701" s="4">
        <v>6</v>
      </c>
      <c r="I701" s="4">
        <v>6</v>
      </c>
      <c r="J701" s="1">
        <v>45458</v>
      </c>
      <c r="K701" s="2">
        <v>1.7638888888888888E-2</v>
      </c>
      <c r="M701" s="4" t="str">
        <f t="shared" si="30"/>
        <v>LOW</v>
      </c>
      <c r="N701" s="4" t="str" cm="1">
        <f t="array" ref="N701">_xlfn.IFS(C701&gt;35,"HIGH",C701&gt;25,"MIDDLE",TRUE,"LOW")</f>
        <v>MIDDLE</v>
      </c>
      <c r="O701" s="4" t="str">
        <f t="shared" si="31"/>
        <v>OTHERS</v>
      </c>
      <c r="P701" s="4" t="str">
        <f t="shared" si="32"/>
        <v>OTHERS</v>
      </c>
    </row>
    <row r="702" spans="1:16" x14ac:dyDescent="0.3">
      <c r="A702" s="4">
        <v>16</v>
      </c>
      <c r="B702" t="s">
        <v>11</v>
      </c>
      <c r="C702" s="4">
        <v>32.82</v>
      </c>
      <c r="D702" t="s">
        <v>19</v>
      </c>
      <c r="E702" t="s">
        <v>17</v>
      </c>
      <c r="F702" s="4" t="s">
        <v>22</v>
      </c>
      <c r="G702" s="4" t="s">
        <v>33</v>
      </c>
      <c r="H702" s="4">
        <v>6</v>
      </c>
      <c r="I702" s="4">
        <v>6</v>
      </c>
      <c r="J702" s="1">
        <v>45458</v>
      </c>
      <c r="K702" s="2">
        <v>2.4293981481481484E-3</v>
      </c>
      <c r="M702" s="4" t="str">
        <f t="shared" si="30"/>
        <v>LOW</v>
      </c>
      <c r="N702" s="4" t="str" cm="1">
        <f t="array" ref="N702">_xlfn.IFS(C702&gt;35,"HIGH",C702&gt;25,"MIDDLE",TRUE,"LOW")</f>
        <v>MIDDLE</v>
      </c>
      <c r="O702" s="4" t="str">
        <f t="shared" si="31"/>
        <v>OTHERS</v>
      </c>
      <c r="P702" s="4" t="str">
        <f t="shared" si="32"/>
        <v>OTHERS</v>
      </c>
    </row>
    <row r="703" spans="1:16" x14ac:dyDescent="0.3">
      <c r="A703" s="4">
        <v>18</v>
      </c>
      <c r="B703" t="s">
        <v>11</v>
      </c>
      <c r="C703" s="4">
        <v>27.92</v>
      </c>
      <c r="D703" t="s">
        <v>18</v>
      </c>
      <c r="E703" t="s">
        <v>20</v>
      </c>
      <c r="F703" s="4" t="s">
        <v>22</v>
      </c>
      <c r="G703" s="4" t="s">
        <v>33</v>
      </c>
      <c r="H703" s="4">
        <v>6</v>
      </c>
      <c r="I703" s="4">
        <v>6</v>
      </c>
      <c r="J703" s="1">
        <v>45458</v>
      </c>
      <c r="K703" s="2">
        <v>9.7754629629629632E-3</v>
      </c>
      <c r="M703" s="4" t="str">
        <f t="shared" si="30"/>
        <v>LOW</v>
      </c>
      <c r="N703" s="4" t="str" cm="1">
        <f t="array" ref="N703">_xlfn.IFS(C703&gt;35,"HIGH",C703&gt;25,"MIDDLE",TRUE,"LOW")</f>
        <v>MIDDLE</v>
      </c>
      <c r="O703" s="4" t="str">
        <f t="shared" si="31"/>
        <v>OTHERS</v>
      </c>
      <c r="P703" s="4" t="str">
        <f t="shared" si="32"/>
        <v>OTHERS</v>
      </c>
    </row>
    <row r="704" spans="1:16" x14ac:dyDescent="0.3">
      <c r="A704" s="4">
        <v>10</v>
      </c>
      <c r="B704" t="s">
        <v>11</v>
      </c>
      <c r="C704" s="4">
        <v>32.82</v>
      </c>
      <c r="D704" t="s">
        <v>19</v>
      </c>
      <c r="E704" t="s">
        <v>13</v>
      </c>
      <c r="F704" s="4" t="s">
        <v>23</v>
      </c>
      <c r="G704" s="4" t="s">
        <v>33</v>
      </c>
      <c r="H704" s="4">
        <v>7</v>
      </c>
      <c r="I704" s="4">
        <v>6</v>
      </c>
      <c r="J704" s="1">
        <v>45459</v>
      </c>
      <c r="K704" s="2">
        <v>3.0457175925925926E-2</v>
      </c>
      <c r="M704" s="4" t="str">
        <f t="shared" si="30"/>
        <v>LOW</v>
      </c>
      <c r="N704" s="4" t="str" cm="1">
        <f t="array" ref="N704">_xlfn.IFS(C704&gt;35,"HIGH",C704&gt;25,"MIDDLE",TRUE,"LOW")</f>
        <v>MIDDLE</v>
      </c>
      <c r="O704" s="4" t="str">
        <f t="shared" si="31"/>
        <v>OTHERS</v>
      </c>
      <c r="P704" s="4" t="str">
        <f t="shared" si="32"/>
        <v>PREMINUM MORNING</v>
      </c>
    </row>
    <row r="705" spans="1:16" x14ac:dyDescent="0.3">
      <c r="A705" s="4">
        <v>10</v>
      </c>
      <c r="B705" t="s">
        <v>11</v>
      </c>
      <c r="C705" s="4">
        <v>37.72</v>
      </c>
      <c r="D705" t="s">
        <v>12</v>
      </c>
      <c r="E705" t="s">
        <v>13</v>
      </c>
      <c r="F705" s="4" t="s">
        <v>23</v>
      </c>
      <c r="G705" s="4" t="s">
        <v>33</v>
      </c>
      <c r="H705" s="4">
        <v>7</v>
      </c>
      <c r="I705" s="4">
        <v>6</v>
      </c>
      <c r="J705" s="1">
        <v>45459</v>
      </c>
      <c r="K705" s="2">
        <v>4.0756944444444443E-2</v>
      </c>
      <c r="M705" s="4" t="str">
        <f t="shared" si="30"/>
        <v>HIGH</v>
      </c>
      <c r="N705" s="4" t="str" cm="1">
        <f t="array" ref="N705">_xlfn.IFS(C705&gt;35,"HIGH",C705&gt;25,"MIDDLE",TRUE,"LOW")</f>
        <v>HIGH</v>
      </c>
      <c r="O705" s="4" t="str">
        <f t="shared" si="31"/>
        <v>PREMINUM MORNING</v>
      </c>
      <c r="P705" s="4" t="str">
        <f t="shared" si="32"/>
        <v>PREMINUM MORNING</v>
      </c>
    </row>
    <row r="706" spans="1:16" x14ac:dyDescent="0.3">
      <c r="A706" s="4">
        <v>11</v>
      </c>
      <c r="B706" t="s">
        <v>11</v>
      </c>
      <c r="C706" s="4">
        <v>37.72</v>
      </c>
      <c r="D706" t="s">
        <v>16</v>
      </c>
      <c r="E706" t="s">
        <v>13</v>
      </c>
      <c r="F706" s="4" t="s">
        <v>23</v>
      </c>
      <c r="G706" s="4" t="s">
        <v>33</v>
      </c>
      <c r="H706" s="4">
        <v>7</v>
      </c>
      <c r="I706" s="4">
        <v>6</v>
      </c>
      <c r="J706" s="1">
        <v>45459</v>
      </c>
      <c r="K706" s="2">
        <v>4.4212962962962966E-4</v>
      </c>
      <c r="M706" s="4" t="str">
        <f t="shared" si="30"/>
        <v>HIGH</v>
      </c>
      <c r="N706" s="4" t="str" cm="1">
        <f t="array" ref="N706">_xlfn.IFS(C706&gt;35,"HIGH",C706&gt;25,"MIDDLE",TRUE,"LOW")</f>
        <v>HIGH</v>
      </c>
      <c r="O706" s="4" t="str">
        <f t="shared" si="31"/>
        <v>PREMINUM MORNING</v>
      </c>
      <c r="P706" s="4" t="str">
        <f t="shared" si="32"/>
        <v>PREMINUM MORNING</v>
      </c>
    </row>
    <row r="707" spans="1:16" x14ac:dyDescent="0.3">
      <c r="A707" s="4">
        <v>11</v>
      </c>
      <c r="B707" t="s">
        <v>11</v>
      </c>
      <c r="C707" s="4">
        <v>37.72</v>
      </c>
      <c r="D707" t="s">
        <v>16</v>
      </c>
      <c r="E707" t="s">
        <v>13</v>
      </c>
      <c r="F707" s="4" t="s">
        <v>23</v>
      </c>
      <c r="G707" s="4" t="s">
        <v>33</v>
      </c>
      <c r="H707" s="4">
        <v>7</v>
      </c>
      <c r="I707" s="4">
        <v>6</v>
      </c>
      <c r="J707" s="1">
        <v>45459</v>
      </c>
      <c r="K707" s="2">
        <v>1.1747685185185186E-3</v>
      </c>
      <c r="M707" s="4" t="str">
        <f t="shared" ref="M707:M770" si="33">IF(C707&gt;35,"HIGH","LOW")</f>
        <v>HIGH</v>
      </c>
      <c r="N707" s="4" t="str" cm="1">
        <f t="array" ref="N707">_xlfn.IFS(C707&gt;35,"HIGH",C707&gt;25,"MIDDLE",TRUE,"LOW")</f>
        <v>HIGH</v>
      </c>
      <c r="O707" s="4" t="str">
        <f t="shared" ref="O707:O770" si="34">IF(AND(C707&gt;35,E707="MORNING"),"PREMINUM MORNING","OTHERS")</f>
        <v>PREMINUM MORNING</v>
      </c>
      <c r="P707" s="4" t="str">
        <f t="shared" ref="P707:P770" si="35">IF(OR(C707&gt;35,E707="MORNING"),"PREMINUM MORNING","OTHERS")</f>
        <v>PREMINUM MORNING</v>
      </c>
    </row>
    <row r="708" spans="1:16" x14ac:dyDescent="0.3">
      <c r="A708" s="4">
        <v>12</v>
      </c>
      <c r="B708" t="s">
        <v>11</v>
      </c>
      <c r="C708" s="4">
        <v>32.82</v>
      </c>
      <c r="D708" t="s">
        <v>19</v>
      </c>
      <c r="E708" t="s">
        <v>17</v>
      </c>
      <c r="F708" s="4" t="s">
        <v>23</v>
      </c>
      <c r="G708" s="4" t="s">
        <v>33</v>
      </c>
      <c r="H708" s="4">
        <v>7</v>
      </c>
      <c r="I708" s="4">
        <v>6</v>
      </c>
      <c r="J708" s="1">
        <v>45459</v>
      </c>
      <c r="K708" s="2">
        <v>3.4347222222222223E-2</v>
      </c>
      <c r="M708" s="4" t="str">
        <f t="shared" si="33"/>
        <v>LOW</v>
      </c>
      <c r="N708" s="4" t="str" cm="1">
        <f t="array" ref="N708">_xlfn.IFS(C708&gt;35,"HIGH",C708&gt;25,"MIDDLE",TRUE,"LOW")</f>
        <v>MIDDLE</v>
      </c>
      <c r="O708" s="4" t="str">
        <f t="shared" si="34"/>
        <v>OTHERS</v>
      </c>
      <c r="P708" s="4" t="str">
        <f t="shared" si="35"/>
        <v>OTHERS</v>
      </c>
    </row>
    <row r="709" spans="1:16" x14ac:dyDescent="0.3">
      <c r="A709" s="4">
        <v>14</v>
      </c>
      <c r="B709" t="s">
        <v>11</v>
      </c>
      <c r="C709" s="4">
        <v>23.02</v>
      </c>
      <c r="D709" t="s">
        <v>26</v>
      </c>
      <c r="E709" t="s">
        <v>17</v>
      </c>
      <c r="F709" s="4" t="s">
        <v>23</v>
      </c>
      <c r="G709" s="4" t="s">
        <v>33</v>
      </c>
      <c r="H709" s="4">
        <v>7</v>
      </c>
      <c r="I709" s="4">
        <v>6</v>
      </c>
      <c r="J709" s="1">
        <v>45459</v>
      </c>
      <c r="K709" s="2">
        <v>4.5138888888888887E-4</v>
      </c>
      <c r="M709" s="4" t="str">
        <f t="shared" si="33"/>
        <v>LOW</v>
      </c>
      <c r="N709" s="4" t="str" cm="1">
        <f t="array" ref="N709">_xlfn.IFS(C709&gt;35,"HIGH",C709&gt;25,"MIDDLE",TRUE,"LOW")</f>
        <v>LOW</v>
      </c>
      <c r="O709" s="4" t="str">
        <f t="shared" si="34"/>
        <v>OTHERS</v>
      </c>
      <c r="P709" s="4" t="str">
        <f t="shared" si="35"/>
        <v>OTHERS</v>
      </c>
    </row>
    <row r="710" spans="1:16" x14ac:dyDescent="0.3">
      <c r="A710" s="4">
        <v>15</v>
      </c>
      <c r="B710" t="s">
        <v>11</v>
      </c>
      <c r="C710" s="4">
        <v>32.82</v>
      </c>
      <c r="D710" t="s">
        <v>19</v>
      </c>
      <c r="E710" t="s">
        <v>17</v>
      </c>
      <c r="F710" s="4" t="s">
        <v>23</v>
      </c>
      <c r="G710" s="4" t="s">
        <v>33</v>
      </c>
      <c r="H710" s="4">
        <v>7</v>
      </c>
      <c r="I710" s="4">
        <v>6</v>
      </c>
      <c r="J710" s="1">
        <v>45459</v>
      </c>
      <c r="K710" s="2">
        <v>1.8090277777777779E-3</v>
      </c>
      <c r="M710" s="4" t="str">
        <f t="shared" si="33"/>
        <v>LOW</v>
      </c>
      <c r="N710" s="4" t="str" cm="1">
        <f t="array" ref="N710">_xlfn.IFS(C710&gt;35,"HIGH",C710&gt;25,"MIDDLE",TRUE,"LOW")</f>
        <v>MIDDLE</v>
      </c>
      <c r="O710" s="4" t="str">
        <f t="shared" si="34"/>
        <v>OTHERS</v>
      </c>
      <c r="P710" s="4" t="str">
        <f t="shared" si="35"/>
        <v>OTHERS</v>
      </c>
    </row>
    <row r="711" spans="1:16" x14ac:dyDescent="0.3">
      <c r="A711" s="4">
        <v>15</v>
      </c>
      <c r="B711" t="s">
        <v>11</v>
      </c>
      <c r="C711" s="4">
        <v>32.82</v>
      </c>
      <c r="D711" t="s">
        <v>19</v>
      </c>
      <c r="E711" t="s">
        <v>17</v>
      </c>
      <c r="F711" s="4" t="s">
        <v>23</v>
      </c>
      <c r="G711" s="4" t="s">
        <v>33</v>
      </c>
      <c r="H711" s="4">
        <v>7</v>
      </c>
      <c r="I711" s="4">
        <v>6</v>
      </c>
      <c r="J711" s="1">
        <v>45459</v>
      </c>
      <c r="K711" s="2">
        <v>3.5925925925925925E-3</v>
      </c>
      <c r="M711" s="4" t="str">
        <f t="shared" si="33"/>
        <v>LOW</v>
      </c>
      <c r="N711" s="4" t="str" cm="1">
        <f t="array" ref="N711">_xlfn.IFS(C711&gt;35,"HIGH",C711&gt;25,"MIDDLE",TRUE,"LOW")</f>
        <v>MIDDLE</v>
      </c>
      <c r="O711" s="4" t="str">
        <f t="shared" si="34"/>
        <v>OTHERS</v>
      </c>
      <c r="P711" s="4" t="str">
        <f t="shared" si="35"/>
        <v>OTHERS</v>
      </c>
    </row>
    <row r="712" spans="1:16" x14ac:dyDescent="0.3">
      <c r="A712" s="4">
        <v>15</v>
      </c>
      <c r="B712" t="s">
        <v>11</v>
      </c>
      <c r="C712" s="4">
        <v>37.72</v>
      </c>
      <c r="D712" t="s">
        <v>16</v>
      </c>
      <c r="E712" t="s">
        <v>17</v>
      </c>
      <c r="F712" s="4" t="s">
        <v>23</v>
      </c>
      <c r="G712" s="4" t="s">
        <v>33</v>
      </c>
      <c r="H712" s="4">
        <v>7</v>
      </c>
      <c r="I712" s="4">
        <v>6</v>
      </c>
      <c r="J712" s="1">
        <v>45459</v>
      </c>
      <c r="K712" s="2">
        <v>3.0550925925925926E-2</v>
      </c>
      <c r="M712" s="4" t="str">
        <f t="shared" si="33"/>
        <v>HIGH</v>
      </c>
      <c r="N712" s="4" t="str" cm="1">
        <f t="array" ref="N712">_xlfn.IFS(C712&gt;35,"HIGH",C712&gt;25,"MIDDLE",TRUE,"LOW")</f>
        <v>HIGH</v>
      </c>
      <c r="O712" s="4" t="str">
        <f t="shared" si="34"/>
        <v>OTHERS</v>
      </c>
      <c r="P712" s="4" t="str">
        <f t="shared" si="35"/>
        <v>PREMINUM MORNING</v>
      </c>
    </row>
    <row r="713" spans="1:16" x14ac:dyDescent="0.3">
      <c r="A713" s="4">
        <v>16</v>
      </c>
      <c r="B713" t="s">
        <v>11</v>
      </c>
      <c r="C713" s="4">
        <v>37.72</v>
      </c>
      <c r="D713" t="s">
        <v>16</v>
      </c>
      <c r="E713" t="s">
        <v>17</v>
      </c>
      <c r="F713" s="4" t="s">
        <v>23</v>
      </c>
      <c r="G713" s="4" t="s">
        <v>33</v>
      </c>
      <c r="H713" s="4">
        <v>7</v>
      </c>
      <c r="I713" s="4">
        <v>6</v>
      </c>
      <c r="J713" s="1">
        <v>45459</v>
      </c>
      <c r="K713" s="2">
        <v>3.3061342592592594E-2</v>
      </c>
      <c r="M713" s="4" t="str">
        <f t="shared" si="33"/>
        <v>HIGH</v>
      </c>
      <c r="N713" s="4" t="str" cm="1">
        <f t="array" ref="N713">_xlfn.IFS(C713&gt;35,"HIGH",C713&gt;25,"MIDDLE",TRUE,"LOW")</f>
        <v>HIGH</v>
      </c>
      <c r="O713" s="4" t="str">
        <f t="shared" si="34"/>
        <v>OTHERS</v>
      </c>
      <c r="P713" s="4" t="str">
        <f t="shared" si="35"/>
        <v>PREMINUM MORNING</v>
      </c>
    </row>
    <row r="714" spans="1:16" x14ac:dyDescent="0.3">
      <c r="A714" s="4">
        <v>17</v>
      </c>
      <c r="B714" t="s">
        <v>11</v>
      </c>
      <c r="C714" s="4">
        <v>32.82</v>
      </c>
      <c r="D714" t="s">
        <v>19</v>
      </c>
      <c r="E714" t="s">
        <v>20</v>
      </c>
      <c r="F714" s="4" t="s">
        <v>23</v>
      </c>
      <c r="G714" s="4" t="s">
        <v>33</v>
      </c>
      <c r="H714" s="4">
        <v>7</v>
      </c>
      <c r="I714" s="4">
        <v>6</v>
      </c>
      <c r="J714" s="1">
        <v>45459</v>
      </c>
      <c r="K714" s="2">
        <v>3.1450231481481482E-2</v>
      </c>
      <c r="M714" s="4" t="str">
        <f t="shared" si="33"/>
        <v>LOW</v>
      </c>
      <c r="N714" s="4" t="str" cm="1">
        <f t="array" ref="N714">_xlfn.IFS(C714&gt;35,"HIGH",C714&gt;25,"MIDDLE",TRUE,"LOW")</f>
        <v>MIDDLE</v>
      </c>
      <c r="O714" s="4" t="str">
        <f t="shared" si="34"/>
        <v>OTHERS</v>
      </c>
      <c r="P714" s="4" t="str">
        <f t="shared" si="35"/>
        <v>OTHERS</v>
      </c>
    </row>
    <row r="715" spans="1:16" x14ac:dyDescent="0.3">
      <c r="A715" s="4">
        <v>17</v>
      </c>
      <c r="B715" t="s">
        <v>11</v>
      </c>
      <c r="C715" s="4">
        <v>32.82</v>
      </c>
      <c r="D715" t="s">
        <v>19</v>
      </c>
      <c r="E715" t="s">
        <v>20</v>
      </c>
      <c r="F715" s="4" t="s">
        <v>23</v>
      </c>
      <c r="G715" s="4" t="s">
        <v>33</v>
      </c>
      <c r="H715" s="4">
        <v>7</v>
      </c>
      <c r="I715" s="4">
        <v>6</v>
      </c>
      <c r="J715" s="1">
        <v>45459</v>
      </c>
      <c r="K715" s="2">
        <v>3.2136574074074074E-2</v>
      </c>
      <c r="M715" s="4" t="str">
        <f t="shared" si="33"/>
        <v>LOW</v>
      </c>
      <c r="N715" s="4" t="str" cm="1">
        <f t="array" ref="N715">_xlfn.IFS(C715&gt;35,"HIGH",C715&gt;25,"MIDDLE",TRUE,"LOW")</f>
        <v>MIDDLE</v>
      </c>
      <c r="O715" s="4" t="str">
        <f t="shared" si="34"/>
        <v>OTHERS</v>
      </c>
      <c r="P715" s="4" t="str">
        <f t="shared" si="35"/>
        <v>OTHERS</v>
      </c>
    </row>
    <row r="716" spans="1:16" x14ac:dyDescent="0.3">
      <c r="A716" s="4">
        <v>8</v>
      </c>
      <c r="B716" t="s">
        <v>11</v>
      </c>
      <c r="C716" s="4">
        <v>27.92</v>
      </c>
      <c r="D716" t="s">
        <v>18</v>
      </c>
      <c r="E716" t="s">
        <v>13</v>
      </c>
      <c r="F716" s="4" t="s">
        <v>25</v>
      </c>
      <c r="G716" s="4" t="s">
        <v>33</v>
      </c>
      <c r="H716" s="4">
        <v>1</v>
      </c>
      <c r="I716" s="4">
        <v>6</v>
      </c>
      <c r="J716" s="1">
        <v>45460</v>
      </c>
      <c r="K716" s="2">
        <v>3.9861111111111111E-2</v>
      </c>
      <c r="M716" s="4" t="str">
        <f t="shared" si="33"/>
        <v>LOW</v>
      </c>
      <c r="N716" s="4" t="str" cm="1">
        <f t="array" ref="N716">_xlfn.IFS(C716&gt;35,"HIGH",C716&gt;25,"MIDDLE",TRUE,"LOW")</f>
        <v>MIDDLE</v>
      </c>
      <c r="O716" s="4" t="str">
        <f t="shared" si="34"/>
        <v>OTHERS</v>
      </c>
      <c r="P716" s="4" t="str">
        <f t="shared" si="35"/>
        <v>PREMINUM MORNING</v>
      </c>
    </row>
    <row r="717" spans="1:16" x14ac:dyDescent="0.3">
      <c r="A717" s="4">
        <v>10</v>
      </c>
      <c r="B717" t="s">
        <v>11</v>
      </c>
      <c r="C717" s="4">
        <v>27.92</v>
      </c>
      <c r="D717" t="s">
        <v>24</v>
      </c>
      <c r="E717" t="s">
        <v>13</v>
      </c>
      <c r="F717" s="4" t="s">
        <v>25</v>
      </c>
      <c r="G717" s="4" t="s">
        <v>33</v>
      </c>
      <c r="H717" s="4">
        <v>1</v>
      </c>
      <c r="I717" s="4">
        <v>6</v>
      </c>
      <c r="J717" s="1">
        <v>45460</v>
      </c>
      <c r="K717" s="2">
        <v>8.3923611111111109E-3</v>
      </c>
      <c r="M717" s="4" t="str">
        <f t="shared" si="33"/>
        <v>LOW</v>
      </c>
      <c r="N717" s="4" t="str" cm="1">
        <f t="array" ref="N717">_xlfn.IFS(C717&gt;35,"HIGH",C717&gt;25,"MIDDLE",TRUE,"LOW")</f>
        <v>MIDDLE</v>
      </c>
      <c r="O717" s="4" t="str">
        <f t="shared" si="34"/>
        <v>OTHERS</v>
      </c>
      <c r="P717" s="4" t="str">
        <f t="shared" si="35"/>
        <v>PREMINUM MORNING</v>
      </c>
    </row>
    <row r="718" spans="1:16" x14ac:dyDescent="0.3">
      <c r="A718" s="4">
        <v>10</v>
      </c>
      <c r="B718" t="s">
        <v>11</v>
      </c>
      <c r="C718" s="4">
        <v>27.92</v>
      </c>
      <c r="D718" t="s">
        <v>24</v>
      </c>
      <c r="E718" t="s">
        <v>13</v>
      </c>
      <c r="F718" s="4" t="s">
        <v>25</v>
      </c>
      <c r="G718" s="4" t="s">
        <v>33</v>
      </c>
      <c r="H718" s="4">
        <v>1</v>
      </c>
      <c r="I718" s="4">
        <v>6</v>
      </c>
      <c r="J718" s="1">
        <v>45460</v>
      </c>
      <c r="K718" s="2">
        <v>9.462962962962963E-3</v>
      </c>
      <c r="M718" s="4" t="str">
        <f t="shared" si="33"/>
        <v>LOW</v>
      </c>
      <c r="N718" s="4" t="str" cm="1">
        <f t="array" ref="N718">_xlfn.IFS(C718&gt;35,"HIGH",C718&gt;25,"MIDDLE",TRUE,"LOW")</f>
        <v>MIDDLE</v>
      </c>
      <c r="O718" s="4" t="str">
        <f t="shared" si="34"/>
        <v>OTHERS</v>
      </c>
      <c r="P718" s="4" t="str">
        <f t="shared" si="35"/>
        <v>PREMINUM MORNING</v>
      </c>
    </row>
    <row r="719" spans="1:16" x14ac:dyDescent="0.3">
      <c r="A719" s="4">
        <v>10</v>
      </c>
      <c r="B719" t="s">
        <v>11</v>
      </c>
      <c r="C719" s="4">
        <v>37.72</v>
      </c>
      <c r="D719" t="s">
        <v>29</v>
      </c>
      <c r="E719" t="s">
        <v>13</v>
      </c>
      <c r="F719" s="4" t="s">
        <v>25</v>
      </c>
      <c r="G719" s="4" t="s">
        <v>33</v>
      </c>
      <c r="H719" s="4">
        <v>1</v>
      </c>
      <c r="I719" s="4">
        <v>6</v>
      </c>
      <c r="J719" s="1">
        <v>45460</v>
      </c>
      <c r="K719" s="2">
        <v>3.8791666666666669E-2</v>
      </c>
      <c r="M719" s="4" t="str">
        <f t="shared" si="33"/>
        <v>HIGH</v>
      </c>
      <c r="N719" s="4" t="str" cm="1">
        <f t="array" ref="N719">_xlfn.IFS(C719&gt;35,"HIGH",C719&gt;25,"MIDDLE",TRUE,"LOW")</f>
        <v>HIGH</v>
      </c>
      <c r="O719" s="4" t="str">
        <f t="shared" si="34"/>
        <v>PREMINUM MORNING</v>
      </c>
      <c r="P719" s="4" t="str">
        <f t="shared" si="35"/>
        <v>PREMINUM MORNING</v>
      </c>
    </row>
    <row r="720" spans="1:16" x14ac:dyDescent="0.3">
      <c r="A720" s="4">
        <v>14</v>
      </c>
      <c r="B720" t="s">
        <v>11</v>
      </c>
      <c r="C720" s="4">
        <v>37.72</v>
      </c>
      <c r="D720" t="s">
        <v>29</v>
      </c>
      <c r="E720" t="s">
        <v>17</v>
      </c>
      <c r="F720" s="4" t="s">
        <v>25</v>
      </c>
      <c r="G720" s="4" t="s">
        <v>33</v>
      </c>
      <c r="H720" s="4">
        <v>1</v>
      </c>
      <c r="I720" s="4">
        <v>6</v>
      </c>
      <c r="J720" s="1">
        <v>45460</v>
      </c>
      <c r="K720" s="2">
        <v>3.5826388888888887E-2</v>
      </c>
      <c r="M720" s="4" t="str">
        <f t="shared" si="33"/>
        <v>HIGH</v>
      </c>
      <c r="N720" s="4" t="str" cm="1">
        <f t="array" ref="N720">_xlfn.IFS(C720&gt;35,"HIGH",C720&gt;25,"MIDDLE",TRUE,"LOW")</f>
        <v>HIGH</v>
      </c>
      <c r="O720" s="4" t="str">
        <f t="shared" si="34"/>
        <v>OTHERS</v>
      </c>
      <c r="P720" s="4" t="str">
        <f t="shared" si="35"/>
        <v>PREMINUM MORNING</v>
      </c>
    </row>
    <row r="721" spans="1:16" x14ac:dyDescent="0.3">
      <c r="A721" s="4">
        <v>16</v>
      </c>
      <c r="B721" t="s">
        <v>11</v>
      </c>
      <c r="C721" s="4">
        <v>37.72</v>
      </c>
      <c r="D721" t="s">
        <v>29</v>
      </c>
      <c r="E721" t="s">
        <v>17</v>
      </c>
      <c r="F721" s="4" t="s">
        <v>25</v>
      </c>
      <c r="G721" s="4" t="s">
        <v>33</v>
      </c>
      <c r="H721" s="4">
        <v>1</v>
      </c>
      <c r="I721" s="4">
        <v>6</v>
      </c>
      <c r="J721" s="1">
        <v>45460</v>
      </c>
      <c r="K721" s="2">
        <v>3.4877314814814819E-2</v>
      </c>
      <c r="M721" s="4" t="str">
        <f t="shared" si="33"/>
        <v>HIGH</v>
      </c>
      <c r="N721" s="4" t="str" cm="1">
        <f t="array" ref="N721">_xlfn.IFS(C721&gt;35,"HIGH",C721&gt;25,"MIDDLE",TRUE,"LOW")</f>
        <v>HIGH</v>
      </c>
      <c r="O721" s="4" t="str">
        <f t="shared" si="34"/>
        <v>OTHERS</v>
      </c>
      <c r="P721" s="4" t="str">
        <f t="shared" si="35"/>
        <v>PREMINUM MORNING</v>
      </c>
    </row>
    <row r="722" spans="1:16" x14ac:dyDescent="0.3">
      <c r="A722" s="4">
        <v>16</v>
      </c>
      <c r="B722" t="s">
        <v>11</v>
      </c>
      <c r="C722" s="4">
        <v>37.72</v>
      </c>
      <c r="D722" t="s">
        <v>29</v>
      </c>
      <c r="E722" t="s">
        <v>17</v>
      </c>
      <c r="F722" s="4" t="s">
        <v>25</v>
      </c>
      <c r="G722" s="4" t="s">
        <v>33</v>
      </c>
      <c r="H722" s="4">
        <v>1</v>
      </c>
      <c r="I722" s="4">
        <v>6</v>
      </c>
      <c r="J722" s="1">
        <v>45460</v>
      </c>
      <c r="K722" s="2">
        <v>3.5543981481481482E-2</v>
      </c>
      <c r="M722" s="4" t="str">
        <f t="shared" si="33"/>
        <v>HIGH</v>
      </c>
      <c r="N722" s="4" t="str" cm="1">
        <f t="array" ref="N722">_xlfn.IFS(C722&gt;35,"HIGH",C722&gt;25,"MIDDLE",TRUE,"LOW")</f>
        <v>HIGH</v>
      </c>
      <c r="O722" s="4" t="str">
        <f t="shared" si="34"/>
        <v>OTHERS</v>
      </c>
      <c r="P722" s="4" t="str">
        <f t="shared" si="35"/>
        <v>PREMINUM MORNING</v>
      </c>
    </row>
    <row r="723" spans="1:16" x14ac:dyDescent="0.3">
      <c r="A723" s="4">
        <v>16</v>
      </c>
      <c r="B723" t="s">
        <v>11</v>
      </c>
      <c r="C723" s="4">
        <v>27.92</v>
      </c>
      <c r="D723" t="s">
        <v>18</v>
      </c>
      <c r="E723" t="s">
        <v>17</v>
      </c>
      <c r="F723" s="4" t="s">
        <v>25</v>
      </c>
      <c r="G723" s="4" t="s">
        <v>33</v>
      </c>
      <c r="H723" s="4">
        <v>1</v>
      </c>
      <c r="I723" s="4">
        <v>6</v>
      </c>
      <c r="J723" s="1">
        <v>45460</v>
      </c>
      <c r="K723" s="2">
        <v>3.6531250000000001E-2</v>
      </c>
      <c r="M723" s="4" t="str">
        <f t="shared" si="33"/>
        <v>LOW</v>
      </c>
      <c r="N723" s="4" t="str" cm="1">
        <f t="array" ref="N723">_xlfn.IFS(C723&gt;35,"HIGH",C723&gt;25,"MIDDLE",TRUE,"LOW")</f>
        <v>MIDDLE</v>
      </c>
      <c r="O723" s="4" t="str">
        <f t="shared" si="34"/>
        <v>OTHERS</v>
      </c>
      <c r="P723" s="4" t="str">
        <f t="shared" si="35"/>
        <v>OTHERS</v>
      </c>
    </row>
    <row r="724" spans="1:16" x14ac:dyDescent="0.3">
      <c r="A724" s="4">
        <v>18</v>
      </c>
      <c r="B724" t="s">
        <v>11</v>
      </c>
      <c r="C724" s="4">
        <v>27.92</v>
      </c>
      <c r="D724" t="s">
        <v>18</v>
      </c>
      <c r="E724" t="s">
        <v>20</v>
      </c>
      <c r="F724" s="4" t="s">
        <v>25</v>
      </c>
      <c r="G724" s="4" t="s">
        <v>33</v>
      </c>
      <c r="H724" s="4">
        <v>1</v>
      </c>
      <c r="I724" s="4">
        <v>6</v>
      </c>
      <c r="J724" s="1">
        <v>45460</v>
      </c>
      <c r="K724" s="2">
        <v>3.5643518518518519E-2</v>
      </c>
      <c r="M724" s="4" t="str">
        <f t="shared" si="33"/>
        <v>LOW</v>
      </c>
      <c r="N724" s="4" t="str" cm="1">
        <f t="array" ref="N724">_xlfn.IFS(C724&gt;35,"HIGH",C724&gt;25,"MIDDLE",TRUE,"LOW")</f>
        <v>MIDDLE</v>
      </c>
      <c r="O724" s="4" t="str">
        <f t="shared" si="34"/>
        <v>OTHERS</v>
      </c>
      <c r="P724" s="4" t="str">
        <f t="shared" si="35"/>
        <v>OTHERS</v>
      </c>
    </row>
    <row r="725" spans="1:16" x14ac:dyDescent="0.3">
      <c r="A725" s="4">
        <v>21</v>
      </c>
      <c r="B725" t="s">
        <v>11</v>
      </c>
      <c r="C725" s="4">
        <v>32.82</v>
      </c>
      <c r="D725" t="s">
        <v>19</v>
      </c>
      <c r="E725" t="s">
        <v>20</v>
      </c>
      <c r="F725" s="4" t="s">
        <v>25</v>
      </c>
      <c r="G725" s="4" t="s">
        <v>33</v>
      </c>
      <c r="H725" s="4">
        <v>1</v>
      </c>
      <c r="I725" s="4">
        <v>6</v>
      </c>
      <c r="J725" s="1">
        <v>45460</v>
      </c>
      <c r="K725" s="2">
        <v>1.1244212962962963E-2</v>
      </c>
      <c r="M725" s="4" t="str">
        <f t="shared" si="33"/>
        <v>LOW</v>
      </c>
      <c r="N725" s="4" t="str" cm="1">
        <f t="array" ref="N725">_xlfn.IFS(C725&gt;35,"HIGH",C725&gt;25,"MIDDLE",TRUE,"LOW")</f>
        <v>MIDDLE</v>
      </c>
      <c r="O725" s="4" t="str">
        <f t="shared" si="34"/>
        <v>OTHERS</v>
      </c>
      <c r="P725" s="4" t="str">
        <f t="shared" si="35"/>
        <v>OTHERS</v>
      </c>
    </row>
    <row r="726" spans="1:16" x14ac:dyDescent="0.3">
      <c r="A726" s="4">
        <v>14</v>
      </c>
      <c r="B726" t="s">
        <v>11</v>
      </c>
      <c r="C726" s="4">
        <v>27.92</v>
      </c>
      <c r="D726" t="s">
        <v>18</v>
      </c>
      <c r="E726" t="s">
        <v>17</v>
      </c>
      <c r="F726" s="4" t="s">
        <v>27</v>
      </c>
      <c r="G726" s="4" t="s">
        <v>33</v>
      </c>
      <c r="H726" s="4">
        <v>2</v>
      </c>
      <c r="I726" s="4">
        <v>6</v>
      </c>
      <c r="J726" s="1">
        <v>45461</v>
      </c>
      <c r="K726" s="2">
        <v>2.8483796296296295E-3</v>
      </c>
      <c r="M726" s="4" t="str">
        <f t="shared" si="33"/>
        <v>LOW</v>
      </c>
      <c r="N726" s="4" t="str" cm="1">
        <f t="array" ref="N726">_xlfn.IFS(C726&gt;35,"HIGH",C726&gt;25,"MIDDLE",TRUE,"LOW")</f>
        <v>MIDDLE</v>
      </c>
      <c r="O726" s="4" t="str">
        <f t="shared" si="34"/>
        <v>OTHERS</v>
      </c>
      <c r="P726" s="4" t="str">
        <f t="shared" si="35"/>
        <v>OTHERS</v>
      </c>
    </row>
    <row r="727" spans="1:16" x14ac:dyDescent="0.3">
      <c r="A727" s="4">
        <v>14</v>
      </c>
      <c r="B727" t="s">
        <v>11</v>
      </c>
      <c r="C727" s="4">
        <v>37.72</v>
      </c>
      <c r="D727" t="s">
        <v>29</v>
      </c>
      <c r="E727" t="s">
        <v>17</v>
      </c>
      <c r="F727" s="4" t="s">
        <v>27</v>
      </c>
      <c r="G727" s="4" t="s">
        <v>33</v>
      </c>
      <c r="H727" s="4">
        <v>2</v>
      </c>
      <c r="I727" s="4">
        <v>6</v>
      </c>
      <c r="J727" s="1">
        <v>45461</v>
      </c>
      <c r="K727" s="2">
        <v>3.6145833333333334E-3</v>
      </c>
      <c r="M727" s="4" t="str">
        <f t="shared" si="33"/>
        <v>HIGH</v>
      </c>
      <c r="N727" s="4" t="str" cm="1">
        <f t="array" ref="N727">_xlfn.IFS(C727&gt;35,"HIGH",C727&gt;25,"MIDDLE",TRUE,"LOW")</f>
        <v>HIGH</v>
      </c>
      <c r="O727" s="4" t="str">
        <f t="shared" si="34"/>
        <v>OTHERS</v>
      </c>
      <c r="P727" s="4" t="str">
        <f t="shared" si="35"/>
        <v>PREMINUM MORNING</v>
      </c>
    </row>
    <row r="728" spans="1:16" x14ac:dyDescent="0.3">
      <c r="A728" s="4">
        <v>19</v>
      </c>
      <c r="B728" t="s">
        <v>11</v>
      </c>
      <c r="C728" s="4">
        <v>37.72</v>
      </c>
      <c r="D728" t="s">
        <v>29</v>
      </c>
      <c r="E728" t="s">
        <v>20</v>
      </c>
      <c r="F728" s="4" t="s">
        <v>27</v>
      </c>
      <c r="G728" s="4" t="s">
        <v>33</v>
      </c>
      <c r="H728" s="4">
        <v>2</v>
      </c>
      <c r="I728" s="4">
        <v>6</v>
      </c>
      <c r="J728" s="1">
        <v>45461</v>
      </c>
      <c r="K728" s="2">
        <v>1.4358796296296295E-2</v>
      </c>
      <c r="M728" s="4" t="str">
        <f t="shared" si="33"/>
        <v>HIGH</v>
      </c>
      <c r="N728" s="4" t="str" cm="1">
        <f t="array" ref="N728">_xlfn.IFS(C728&gt;35,"HIGH",C728&gt;25,"MIDDLE",TRUE,"LOW")</f>
        <v>HIGH</v>
      </c>
      <c r="O728" s="4" t="str">
        <f t="shared" si="34"/>
        <v>OTHERS</v>
      </c>
      <c r="P728" s="4" t="str">
        <f t="shared" si="35"/>
        <v>PREMINUM MORNING</v>
      </c>
    </row>
    <row r="729" spans="1:16" x14ac:dyDescent="0.3">
      <c r="A729" s="4">
        <v>19</v>
      </c>
      <c r="B729" t="s">
        <v>11</v>
      </c>
      <c r="C729" s="4">
        <v>37.72</v>
      </c>
      <c r="D729" t="s">
        <v>29</v>
      </c>
      <c r="E729" t="s">
        <v>20</v>
      </c>
      <c r="F729" s="4" t="s">
        <v>27</v>
      </c>
      <c r="G729" s="4" t="s">
        <v>33</v>
      </c>
      <c r="H729" s="4">
        <v>2</v>
      </c>
      <c r="I729" s="4">
        <v>6</v>
      </c>
      <c r="J729" s="1">
        <v>45461</v>
      </c>
      <c r="K729" s="2">
        <v>1.5033564814814816E-2</v>
      </c>
      <c r="M729" s="4" t="str">
        <f t="shared" si="33"/>
        <v>HIGH</v>
      </c>
      <c r="N729" s="4" t="str" cm="1">
        <f t="array" ref="N729">_xlfn.IFS(C729&gt;35,"HIGH",C729&gt;25,"MIDDLE",TRUE,"LOW")</f>
        <v>HIGH</v>
      </c>
      <c r="O729" s="4" t="str">
        <f t="shared" si="34"/>
        <v>OTHERS</v>
      </c>
      <c r="P729" s="4" t="str">
        <f t="shared" si="35"/>
        <v>PREMINUM MORNING</v>
      </c>
    </row>
    <row r="730" spans="1:16" x14ac:dyDescent="0.3">
      <c r="A730" s="4">
        <v>20</v>
      </c>
      <c r="B730" t="s">
        <v>11</v>
      </c>
      <c r="C730" s="4">
        <v>27.92</v>
      </c>
      <c r="D730" t="s">
        <v>24</v>
      </c>
      <c r="E730" t="s">
        <v>20</v>
      </c>
      <c r="F730" s="4" t="s">
        <v>27</v>
      </c>
      <c r="G730" s="4" t="s">
        <v>33</v>
      </c>
      <c r="H730" s="4">
        <v>2</v>
      </c>
      <c r="I730" s="4">
        <v>6</v>
      </c>
      <c r="J730" s="1">
        <v>45461</v>
      </c>
      <c r="K730" s="2">
        <v>2.4878472222222222E-2</v>
      </c>
      <c r="M730" s="4" t="str">
        <f t="shared" si="33"/>
        <v>LOW</v>
      </c>
      <c r="N730" s="4" t="str" cm="1">
        <f t="array" ref="N730">_xlfn.IFS(C730&gt;35,"HIGH",C730&gt;25,"MIDDLE",TRUE,"LOW")</f>
        <v>MIDDLE</v>
      </c>
      <c r="O730" s="4" t="str">
        <f t="shared" si="34"/>
        <v>OTHERS</v>
      </c>
      <c r="P730" s="4" t="str">
        <f t="shared" si="35"/>
        <v>OTHERS</v>
      </c>
    </row>
    <row r="731" spans="1:16" x14ac:dyDescent="0.3">
      <c r="A731" s="4">
        <v>21</v>
      </c>
      <c r="B731" t="s">
        <v>11</v>
      </c>
      <c r="C731" s="4">
        <v>32.82</v>
      </c>
      <c r="D731" t="s">
        <v>19</v>
      </c>
      <c r="E731" t="s">
        <v>20</v>
      </c>
      <c r="F731" s="4" t="s">
        <v>27</v>
      </c>
      <c r="G731" s="4" t="s">
        <v>33</v>
      </c>
      <c r="H731" s="4">
        <v>2</v>
      </c>
      <c r="I731" s="4">
        <v>6</v>
      </c>
      <c r="J731" s="1">
        <v>45461</v>
      </c>
      <c r="K731" s="2">
        <v>1.4461805555555556E-2</v>
      </c>
      <c r="M731" s="4" t="str">
        <f t="shared" si="33"/>
        <v>LOW</v>
      </c>
      <c r="N731" s="4" t="str" cm="1">
        <f t="array" ref="N731">_xlfn.IFS(C731&gt;35,"HIGH",C731&gt;25,"MIDDLE",TRUE,"LOW")</f>
        <v>MIDDLE</v>
      </c>
      <c r="O731" s="4" t="str">
        <f t="shared" si="34"/>
        <v>OTHERS</v>
      </c>
      <c r="P731" s="4" t="str">
        <f t="shared" si="35"/>
        <v>OTHERS</v>
      </c>
    </row>
    <row r="732" spans="1:16" x14ac:dyDescent="0.3">
      <c r="A732" s="4">
        <v>21</v>
      </c>
      <c r="B732" t="s">
        <v>11</v>
      </c>
      <c r="C732" s="4">
        <v>32.82</v>
      </c>
      <c r="D732" t="s">
        <v>19</v>
      </c>
      <c r="E732" t="s">
        <v>20</v>
      </c>
      <c r="F732" s="4" t="s">
        <v>27</v>
      </c>
      <c r="G732" s="4" t="s">
        <v>33</v>
      </c>
      <c r="H732" s="4">
        <v>2</v>
      </c>
      <c r="I732" s="4">
        <v>6</v>
      </c>
      <c r="J732" s="1">
        <v>45461</v>
      </c>
      <c r="K732" s="2">
        <v>1.5491898148148149E-2</v>
      </c>
      <c r="M732" s="4" t="str">
        <f t="shared" si="33"/>
        <v>LOW</v>
      </c>
      <c r="N732" s="4" t="str" cm="1">
        <f t="array" ref="N732">_xlfn.IFS(C732&gt;35,"HIGH",C732&gt;25,"MIDDLE",TRUE,"LOW")</f>
        <v>MIDDLE</v>
      </c>
      <c r="O732" s="4" t="str">
        <f t="shared" si="34"/>
        <v>OTHERS</v>
      </c>
      <c r="P732" s="4" t="str">
        <f t="shared" si="35"/>
        <v>OTHERS</v>
      </c>
    </row>
    <row r="733" spans="1:16" x14ac:dyDescent="0.3">
      <c r="A733" s="4">
        <v>7</v>
      </c>
      <c r="B733" t="s">
        <v>11</v>
      </c>
      <c r="C733" s="4">
        <v>37.72</v>
      </c>
      <c r="D733" t="s">
        <v>12</v>
      </c>
      <c r="E733" t="s">
        <v>13</v>
      </c>
      <c r="F733" s="4" t="s">
        <v>28</v>
      </c>
      <c r="G733" s="4" t="s">
        <v>33</v>
      </c>
      <c r="H733" s="4">
        <v>3</v>
      </c>
      <c r="I733" s="4">
        <v>6</v>
      </c>
      <c r="J733" s="1">
        <v>45462</v>
      </c>
      <c r="K733" s="2">
        <v>3.286805555555556E-2</v>
      </c>
      <c r="M733" s="4" t="str">
        <f t="shared" si="33"/>
        <v>HIGH</v>
      </c>
      <c r="N733" s="4" t="str" cm="1">
        <f t="array" ref="N733">_xlfn.IFS(C733&gt;35,"HIGH",C733&gt;25,"MIDDLE",TRUE,"LOW")</f>
        <v>HIGH</v>
      </c>
      <c r="O733" s="4" t="str">
        <f t="shared" si="34"/>
        <v>PREMINUM MORNING</v>
      </c>
      <c r="P733" s="4" t="str">
        <f t="shared" si="35"/>
        <v>PREMINUM MORNING</v>
      </c>
    </row>
    <row r="734" spans="1:16" x14ac:dyDescent="0.3">
      <c r="A734" s="4">
        <v>8</v>
      </c>
      <c r="B734" t="s">
        <v>11</v>
      </c>
      <c r="C734" s="4">
        <v>27.92</v>
      </c>
      <c r="D734" t="s">
        <v>24</v>
      </c>
      <c r="E734" t="s">
        <v>13</v>
      </c>
      <c r="F734" s="4" t="s">
        <v>28</v>
      </c>
      <c r="G734" s="4" t="s">
        <v>33</v>
      </c>
      <c r="H734" s="4">
        <v>3</v>
      </c>
      <c r="I734" s="4">
        <v>6</v>
      </c>
      <c r="J734" s="1">
        <v>45462</v>
      </c>
      <c r="K734" s="2">
        <v>1.2436342592592593E-2</v>
      </c>
      <c r="M734" s="4" t="str">
        <f t="shared" si="33"/>
        <v>LOW</v>
      </c>
      <c r="N734" s="4" t="str" cm="1">
        <f t="array" ref="N734">_xlfn.IFS(C734&gt;35,"HIGH",C734&gt;25,"MIDDLE",TRUE,"LOW")</f>
        <v>MIDDLE</v>
      </c>
      <c r="O734" s="4" t="str">
        <f t="shared" si="34"/>
        <v>OTHERS</v>
      </c>
      <c r="P734" s="4" t="str">
        <f t="shared" si="35"/>
        <v>PREMINUM MORNING</v>
      </c>
    </row>
    <row r="735" spans="1:16" x14ac:dyDescent="0.3">
      <c r="A735" s="4">
        <v>10</v>
      </c>
      <c r="B735" t="s">
        <v>11</v>
      </c>
      <c r="C735" s="4">
        <v>27.92</v>
      </c>
      <c r="D735" t="s">
        <v>18</v>
      </c>
      <c r="E735" t="s">
        <v>13</v>
      </c>
      <c r="F735" s="4" t="s">
        <v>28</v>
      </c>
      <c r="G735" s="4" t="s">
        <v>33</v>
      </c>
      <c r="H735" s="4">
        <v>3</v>
      </c>
      <c r="I735" s="4">
        <v>6</v>
      </c>
      <c r="J735" s="1">
        <v>45462</v>
      </c>
      <c r="K735" s="2">
        <v>3.7505787037037039E-2</v>
      </c>
      <c r="M735" s="4" t="str">
        <f t="shared" si="33"/>
        <v>LOW</v>
      </c>
      <c r="N735" s="4" t="str" cm="1">
        <f t="array" ref="N735">_xlfn.IFS(C735&gt;35,"HIGH",C735&gt;25,"MIDDLE",TRUE,"LOW")</f>
        <v>MIDDLE</v>
      </c>
      <c r="O735" s="4" t="str">
        <f t="shared" si="34"/>
        <v>OTHERS</v>
      </c>
      <c r="P735" s="4" t="str">
        <f t="shared" si="35"/>
        <v>PREMINUM MORNING</v>
      </c>
    </row>
    <row r="736" spans="1:16" x14ac:dyDescent="0.3">
      <c r="A736" s="4">
        <v>11</v>
      </c>
      <c r="B736" t="s">
        <v>11</v>
      </c>
      <c r="C736" s="4">
        <v>37.72</v>
      </c>
      <c r="D736" t="s">
        <v>12</v>
      </c>
      <c r="E736" t="s">
        <v>13</v>
      </c>
      <c r="F736" s="4" t="s">
        <v>28</v>
      </c>
      <c r="G736" s="4" t="s">
        <v>33</v>
      </c>
      <c r="H736" s="4">
        <v>3</v>
      </c>
      <c r="I736" s="4">
        <v>6</v>
      </c>
      <c r="J736" s="1">
        <v>45462</v>
      </c>
      <c r="K736" s="2">
        <v>7.9606481481481473E-3</v>
      </c>
      <c r="M736" s="4" t="str">
        <f t="shared" si="33"/>
        <v>HIGH</v>
      </c>
      <c r="N736" s="4" t="str" cm="1">
        <f t="array" ref="N736">_xlfn.IFS(C736&gt;35,"HIGH",C736&gt;25,"MIDDLE",TRUE,"LOW")</f>
        <v>HIGH</v>
      </c>
      <c r="O736" s="4" t="str">
        <f t="shared" si="34"/>
        <v>PREMINUM MORNING</v>
      </c>
      <c r="P736" s="4" t="str">
        <f t="shared" si="35"/>
        <v>PREMINUM MORNING</v>
      </c>
    </row>
    <row r="737" spans="1:16" x14ac:dyDescent="0.3">
      <c r="A737" s="4">
        <v>11</v>
      </c>
      <c r="B737" t="s">
        <v>11</v>
      </c>
      <c r="C737" s="4">
        <v>37.72</v>
      </c>
      <c r="D737" t="s">
        <v>21</v>
      </c>
      <c r="E737" t="s">
        <v>13</v>
      </c>
      <c r="F737" s="4" t="s">
        <v>28</v>
      </c>
      <c r="G737" s="4" t="s">
        <v>33</v>
      </c>
      <c r="H737" s="4">
        <v>3</v>
      </c>
      <c r="I737" s="4">
        <v>6</v>
      </c>
      <c r="J737" s="1">
        <v>45462</v>
      </c>
      <c r="K737" s="2">
        <v>8.6967592592592582E-3</v>
      </c>
      <c r="M737" s="4" t="str">
        <f t="shared" si="33"/>
        <v>HIGH</v>
      </c>
      <c r="N737" s="4" t="str" cm="1">
        <f t="array" ref="N737">_xlfn.IFS(C737&gt;35,"HIGH",C737&gt;25,"MIDDLE",TRUE,"LOW")</f>
        <v>HIGH</v>
      </c>
      <c r="O737" s="4" t="str">
        <f t="shared" si="34"/>
        <v>PREMINUM MORNING</v>
      </c>
      <c r="P737" s="4" t="str">
        <f t="shared" si="35"/>
        <v>PREMINUM MORNING</v>
      </c>
    </row>
    <row r="738" spans="1:16" x14ac:dyDescent="0.3">
      <c r="A738" s="4">
        <v>14</v>
      </c>
      <c r="B738" t="s">
        <v>11</v>
      </c>
      <c r="C738" s="4">
        <v>32.82</v>
      </c>
      <c r="D738" t="s">
        <v>19</v>
      </c>
      <c r="E738" t="s">
        <v>17</v>
      </c>
      <c r="F738" s="4" t="s">
        <v>28</v>
      </c>
      <c r="G738" s="4" t="s">
        <v>33</v>
      </c>
      <c r="H738" s="4">
        <v>3</v>
      </c>
      <c r="I738" s="4">
        <v>6</v>
      </c>
      <c r="J738" s="1">
        <v>45462</v>
      </c>
      <c r="K738" s="2">
        <v>1.5003472222222222E-2</v>
      </c>
      <c r="M738" s="4" t="str">
        <f t="shared" si="33"/>
        <v>LOW</v>
      </c>
      <c r="N738" s="4" t="str" cm="1">
        <f t="array" ref="N738">_xlfn.IFS(C738&gt;35,"HIGH",C738&gt;25,"MIDDLE",TRUE,"LOW")</f>
        <v>MIDDLE</v>
      </c>
      <c r="O738" s="4" t="str">
        <f t="shared" si="34"/>
        <v>OTHERS</v>
      </c>
      <c r="P738" s="4" t="str">
        <f t="shared" si="35"/>
        <v>OTHERS</v>
      </c>
    </row>
    <row r="739" spans="1:16" x14ac:dyDescent="0.3">
      <c r="A739" s="4">
        <v>18</v>
      </c>
      <c r="B739" t="s">
        <v>11</v>
      </c>
      <c r="C739" s="4">
        <v>37.72</v>
      </c>
      <c r="D739" t="s">
        <v>29</v>
      </c>
      <c r="E739" t="s">
        <v>20</v>
      </c>
      <c r="F739" s="4" t="s">
        <v>28</v>
      </c>
      <c r="G739" s="4" t="s">
        <v>33</v>
      </c>
      <c r="H739" s="4">
        <v>3</v>
      </c>
      <c r="I739" s="4">
        <v>6</v>
      </c>
      <c r="J739" s="1">
        <v>45462</v>
      </c>
      <c r="K739" s="2">
        <v>1.9946759259259261E-2</v>
      </c>
      <c r="M739" s="4" t="str">
        <f t="shared" si="33"/>
        <v>HIGH</v>
      </c>
      <c r="N739" s="4" t="str" cm="1">
        <f t="array" ref="N739">_xlfn.IFS(C739&gt;35,"HIGH",C739&gt;25,"MIDDLE",TRUE,"LOW")</f>
        <v>HIGH</v>
      </c>
      <c r="O739" s="4" t="str">
        <f t="shared" si="34"/>
        <v>OTHERS</v>
      </c>
      <c r="P739" s="4" t="str">
        <f t="shared" si="35"/>
        <v>PREMINUM MORNING</v>
      </c>
    </row>
    <row r="740" spans="1:16" x14ac:dyDescent="0.3">
      <c r="A740" s="4">
        <v>18</v>
      </c>
      <c r="B740" t="s">
        <v>11</v>
      </c>
      <c r="C740" s="4">
        <v>37.72</v>
      </c>
      <c r="D740" t="s">
        <v>12</v>
      </c>
      <c r="E740" t="s">
        <v>20</v>
      </c>
      <c r="F740" s="4" t="s">
        <v>28</v>
      </c>
      <c r="G740" s="4" t="s">
        <v>33</v>
      </c>
      <c r="H740" s="4">
        <v>3</v>
      </c>
      <c r="I740" s="4">
        <v>6</v>
      </c>
      <c r="J740" s="1">
        <v>45462</v>
      </c>
      <c r="K740" s="2">
        <v>2.0821759259259259E-2</v>
      </c>
      <c r="M740" s="4" t="str">
        <f t="shared" si="33"/>
        <v>HIGH</v>
      </c>
      <c r="N740" s="4" t="str" cm="1">
        <f t="array" ref="N740">_xlfn.IFS(C740&gt;35,"HIGH",C740&gt;25,"MIDDLE",TRUE,"LOW")</f>
        <v>HIGH</v>
      </c>
      <c r="O740" s="4" t="str">
        <f t="shared" si="34"/>
        <v>OTHERS</v>
      </c>
      <c r="P740" s="4" t="str">
        <f t="shared" si="35"/>
        <v>PREMINUM MORNING</v>
      </c>
    </row>
    <row r="741" spans="1:16" x14ac:dyDescent="0.3">
      <c r="A741" s="4">
        <v>19</v>
      </c>
      <c r="B741" t="s">
        <v>11</v>
      </c>
      <c r="C741" s="4">
        <v>32.82</v>
      </c>
      <c r="D741" t="s">
        <v>19</v>
      </c>
      <c r="E741" t="s">
        <v>20</v>
      </c>
      <c r="F741" s="4" t="s">
        <v>28</v>
      </c>
      <c r="G741" s="4" t="s">
        <v>33</v>
      </c>
      <c r="H741" s="4">
        <v>3</v>
      </c>
      <c r="I741" s="4">
        <v>6</v>
      </c>
      <c r="J741" s="1">
        <v>45462</v>
      </c>
      <c r="K741" s="2">
        <v>2.1890046296296296E-2</v>
      </c>
      <c r="M741" s="4" t="str">
        <f t="shared" si="33"/>
        <v>LOW</v>
      </c>
      <c r="N741" s="4" t="str" cm="1">
        <f t="array" ref="N741">_xlfn.IFS(C741&gt;35,"HIGH",C741&gt;25,"MIDDLE",TRUE,"LOW")</f>
        <v>MIDDLE</v>
      </c>
      <c r="O741" s="4" t="str">
        <f t="shared" si="34"/>
        <v>OTHERS</v>
      </c>
      <c r="P741" s="4" t="str">
        <f t="shared" si="35"/>
        <v>OTHERS</v>
      </c>
    </row>
    <row r="742" spans="1:16" x14ac:dyDescent="0.3">
      <c r="A742" s="4">
        <v>21</v>
      </c>
      <c r="B742" t="s">
        <v>11</v>
      </c>
      <c r="C742" s="4">
        <v>37.72</v>
      </c>
      <c r="D742" t="s">
        <v>29</v>
      </c>
      <c r="E742" t="s">
        <v>20</v>
      </c>
      <c r="F742" s="4" t="s">
        <v>28</v>
      </c>
      <c r="G742" s="4" t="s">
        <v>33</v>
      </c>
      <c r="H742" s="4">
        <v>3</v>
      </c>
      <c r="I742" s="4">
        <v>6</v>
      </c>
      <c r="J742" s="1">
        <v>45462</v>
      </c>
      <c r="K742" s="2">
        <v>2.0133101851851853E-2</v>
      </c>
      <c r="M742" s="4" t="str">
        <f t="shared" si="33"/>
        <v>HIGH</v>
      </c>
      <c r="N742" s="4" t="str" cm="1">
        <f t="array" ref="N742">_xlfn.IFS(C742&gt;35,"HIGH",C742&gt;25,"MIDDLE",TRUE,"LOW")</f>
        <v>HIGH</v>
      </c>
      <c r="O742" s="4" t="str">
        <f t="shared" si="34"/>
        <v>OTHERS</v>
      </c>
      <c r="P742" s="4" t="str">
        <f t="shared" si="35"/>
        <v>PREMINUM MORNING</v>
      </c>
    </row>
    <row r="743" spans="1:16" x14ac:dyDescent="0.3">
      <c r="A743" s="4">
        <v>21</v>
      </c>
      <c r="B743" t="s">
        <v>11</v>
      </c>
      <c r="C743" s="4">
        <v>32.82</v>
      </c>
      <c r="D743" t="s">
        <v>19</v>
      </c>
      <c r="E743" t="s">
        <v>20</v>
      </c>
      <c r="F743" s="4" t="s">
        <v>28</v>
      </c>
      <c r="G743" s="4" t="s">
        <v>33</v>
      </c>
      <c r="H743" s="4">
        <v>3</v>
      </c>
      <c r="I743" s="4">
        <v>6</v>
      </c>
      <c r="J743" s="1">
        <v>45462</v>
      </c>
      <c r="K743" s="2">
        <v>2.0873842592592593E-2</v>
      </c>
      <c r="M743" s="4" t="str">
        <f t="shared" si="33"/>
        <v>LOW</v>
      </c>
      <c r="N743" s="4" t="str" cm="1">
        <f t="array" ref="N743">_xlfn.IFS(C743&gt;35,"HIGH",C743&gt;25,"MIDDLE",TRUE,"LOW")</f>
        <v>MIDDLE</v>
      </c>
      <c r="O743" s="4" t="str">
        <f t="shared" si="34"/>
        <v>OTHERS</v>
      </c>
      <c r="P743" s="4" t="str">
        <f t="shared" si="35"/>
        <v>OTHERS</v>
      </c>
    </row>
    <row r="744" spans="1:16" x14ac:dyDescent="0.3">
      <c r="A744" s="4">
        <v>10</v>
      </c>
      <c r="B744" t="s">
        <v>11</v>
      </c>
      <c r="C744" s="4">
        <v>37.72</v>
      </c>
      <c r="D744" t="s">
        <v>12</v>
      </c>
      <c r="E744" t="s">
        <v>13</v>
      </c>
      <c r="F744" s="4" t="s">
        <v>30</v>
      </c>
      <c r="G744" s="4" t="s">
        <v>33</v>
      </c>
      <c r="H744" s="4">
        <v>4</v>
      </c>
      <c r="I744" s="4">
        <v>6</v>
      </c>
      <c r="J744" s="1">
        <v>45463</v>
      </c>
      <c r="K744" s="2">
        <v>3.4797453703703705E-2</v>
      </c>
      <c r="M744" s="4" t="str">
        <f t="shared" si="33"/>
        <v>HIGH</v>
      </c>
      <c r="N744" s="4" t="str" cm="1">
        <f t="array" ref="N744">_xlfn.IFS(C744&gt;35,"HIGH",C744&gt;25,"MIDDLE",TRUE,"LOW")</f>
        <v>HIGH</v>
      </c>
      <c r="O744" s="4" t="str">
        <f t="shared" si="34"/>
        <v>PREMINUM MORNING</v>
      </c>
      <c r="P744" s="4" t="str">
        <f t="shared" si="35"/>
        <v>PREMINUM MORNING</v>
      </c>
    </row>
    <row r="745" spans="1:16" x14ac:dyDescent="0.3">
      <c r="A745" s="4">
        <v>18</v>
      </c>
      <c r="B745" t="s">
        <v>11</v>
      </c>
      <c r="C745" s="4">
        <v>37.72</v>
      </c>
      <c r="D745" t="s">
        <v>12</v>
      </c>
      <c r="E745" t="s">
        <v>20</v>
      </c>
      <c r="F745" s="4" t="s">
        <v>30</v>
      </c>
      <c r="G745" s="4" t="s">
        <v>33</v>
      </c>
      <c r="H745" s="4">
        <v>4</v>
      </c>
      <c r="I745" s="4">
        <v>6</v>
      </c>
      <c r="J745" s="1">
        <v>45463</v>
      </c>
      <c r="K745" s="2">
        <v>4.0996527777777778E-2</v>
      </c>
      <c r="M745" s="4" t="str">
        <f t="shared" si="33"/>
        <v>HIGH</v>
      </c>
      <c r="N745" s="4" t="str" cm="1">
        <f t="array" ref="N745">_xlfn.IFS(C745&gt;35,"HIGH",C745&gt;25,"MIDDLE",TRUE,"LOW")</f>
        <v>HIGH</v>
      </c>
      <c r="O745" s="4" t="str">
        <f t="shared" si="34"/>
        <v>OTHERS</v>
      </c>
      <c r="P745" s="4" t="str">
        <f t="shared" si="35"/>
        <v>PREMINUM MORNING</v>
      </c>
    </row>
    <row r="746" spans="1:16" x14ac:dyDescent="0.3">
      <c r="A746" s="4">
        <v>19</v>
      </c>
      <c r="B746" t="s">
        <v>11</v>
      </c>
      <c r="C746" s="4">
        <v>37.72</v>
      </c>
      <c r="D746" t="s">
        <v>12</v>
      </c>
      <c r="E746" t="s">
        <v>20</v>
      </c>
      <c r="F746" s="4" t="s">
        <v>30</v>
      </c>
      <c r="G746" s="4" t="s">
        <v>33</v>
      </c>
      <c r="H746" s="4">
        <v>4</v>
      </c>
      <c r="I746" s="4">
        <v>6</v>
      </c>
      <c r="J746" s="1">
        <v>45463</v>
      </c>
      <c r="K746" s="2">
        <v>2.3148148148148148E-6</v>
      </c>
      <c r="M746" s="4" t="str">
        <f t="shared" si="33"/>
        <v>HIGH</v>
      </c>
      <c r="N746" s="4" t="str" cm="1">
        <f t="array" ref="N746">_xlfn.IFS(C746&gt;35,"HIGH",C746&gt;25,"MIDDLE",TRUE,"LOW")</f>
        <v>HIGH</v>
      </c>
      <c r="O746" s="4" t="str">
        <f t="shared" si="34"/>
        <v>OTHERS</v>
      </c>
      <c r="P746" s="4" t="str">
        <f t="shared" si="35"/>
        <v>PREMINUM MORNING</v>
      </c>
    </row>
    <row r="747" spans="1:16" x14ac:dyDescent="0.3">
      <c r="A747" s="4">
        <v>21</v>
      </c>
      <c r="B747" t="s">
        <v>11</v>
      </c>
      <c r="C747" s="4">
        <v>37.72</v>
      </c>
      <c r="D747" t="s">
        <v>12</v>
      </c>
      <c r="E747" t="s">
        <v>20</v>
      </c>
      <c r="F747" s="4" t="s">
        <v>30</v>
      </c>
      <c r="G747" s="4" t="s">
        <v>33</v>
      </c>
      <c r="H747" s="4">
        <v>4</v>
      </c>
      <c r="I747" s="4">
        <v>6</v>
      </c>
      <c r="J747" s="1">
        <v>45463</v>
      </c>
      <c r="K747" s="2">
        <v>2.7199074074074073E-2</v>
      </c>
      <c r="M747" s="4" t="str">
        <f t="shared" si="33"/>
        <v>HIGH</v>
      </c>
      <c r="N747" s="4" t="str" cm="1">
        <f t="array" ref="N747">_xlfn.IFS(C747&gt;35,"HIGH",C747&gt;25,"MIDDLE",TRUE,"LOW")</f>
        <v>HIGH</v>
      </c>
      <c r="O747" s="4" t="str">
        <f t="shared" si="34"/>
        <v>OTHERS</v>
      </c>
      <c r="P747" s="4" t="str">
        <f t="shared" si="35"/>
        <v>PREMINUM MORNING</v>
      </c>
    </row>
    <row r="748" spans="1:16" x14ac:dyDescent="0.3">
      <c r="A748" s="4">
        <v>21</v>
      </c>
      <c r="B748" t="s">
        <v>11</v>
      </c>
      <c r="C748" s="4">
        <v>37.72</v>
      </c>
      <c r="D748" t="s">
        <v>12</v>
      </c>
      <c r="E748" t="s">
        <v>20</v>
      </c>
      <c r="F748" s="4" t="s">
        <v>30</v>
      </c>
      <c r="G748" s="4" t="s">
        <v>33</v>
      </c>
      <c r="H748" s="4">
        <v>4</v>
      </c>
      <c r="I748" s="4">
        <v>6</v>
      </c>
      <c r="J748" s="1">
        <v>45463</v>
      </c>
      <c r="K748" s="2">
        <v>4.0053240740740736E-2</v>
      </c>
      <c r="M748" s="4" t="str">
        <f t="shared" si="33"/>
        <v>HIGH</v>
      </c>
      <c r="N748" s="4" t="str" cm="1">
        <f t="array" ref="N748">_xlfn.IFS(C748&gt;35,"HIGH",C748&gt;25,"MIDDLE",TRUE,"LOW")</f>
        <v>HIGH</v>
      </c>
      <c r="O748" s="4" t="str">
        <f t="shared" si="34"/>
        <v>OTHERS</v>
      </c>
      <c r="P748" s="4" t="str">
        <f t="shared" si="35"/>
        <v>PREMINUM MORNING</v>
      </c>
    </row>
    <row r="749" spans="1:16" x14ac:dyDescent="0.3">
      <c r="A749" s="4">
        <v>21</v>
      </c>
      <c r="B749" t="s">
        <v>11</v>
      </c>
      <c r="C749" s="4">
        <v>32.82</v>
      </c>
      <c r="D749" t="s">
        <v>19</v>
      </c>
      <c r="E749" t="s">
        <v>20</v>
      </c>
      <c r="F749" s="4" t="s">
        <v>30</v>
      </c>
      <c r="G749" s="4" t="s">
        <v>33</v>
      </c>
      <c r="H749" s="4">
        <v>4</v>
      </c>
      <c r="I749" s="4">
        <v>6</v>
      </c>
      <c r="J749" s="1">
        <v>45463</v>
      </c>
      <c r="K749" s="2">
        <v>4.1175925925925928E-2</v>
      </c>
      <c r="M749" s="4" t="str">
        <f t="shared" si="33"/>
        <v>LOW</v>
      </c>
      <c r="N749" s="4" t="str" cm="1">
        <f t="array" ref="N749">_xlfn.IFS(C749&gt;35,"HIGH",C749&gt;25,"MIDDLE",TRUE,"LOW")</f>
        <v>MIDDLE</v>
      </c>
      <c r="O749" s="4" t="str">
        <f t="shared" si="34"/>
        <v>OTHERS</v>
      </c>
      <c r="P749" s="4" t="str">
        <f t="shared" si="35"/>
        <v>OTHERS</v>
      </c>
    </row>
    <row r="750" spans="1:16" x14ac:dyDescent="0.3">
      <c r="A750" s="4">
        <v>9</v>
      </c>
      <c r="B750" t="s">
        <v>11</v>
      </c>
      <c r="C750" s="4">
        <v>37.72</v>
      </c>
      <c r="D750" t="s">
        <v>12</v>
      </c>
      <c r="E750" t="s">
        <v>13</v>
      </c>
      <c r="F750" s="4" t="s">
        <v>14</v>
      </c>
      <c r="G750" s="4" t="s">
        <v>33</v>
      </c>
      <c r="H750" s="4">
        <v>5</v>
      </c>
      <c r="I750" s="4">
        <v>6</v>
      </c>
      <c r="J750" s="1">
        <v>45464</v>
      </c>
      <c r="K750" s="2">
        <v>4.1619212962962962E-2</v>
      </c>
      <c r="M750" s="4" t="str">
        <f t="shared" si="33"/>
        <v>HIGH</v>
      </c>
      <c r="N750" s="4" t="str" cm="1">
        <f t="array" ref="N750">_xlfn.IFS(C750&gt;35,"HIGH",C750&gt;25,"MIDDLE",TRUE,"LOW")</f>
        <v>HIGH</v>
      </c>
      <c r="O750" s="4" t="str">
        <f t="shared" si="34"/>
        <v>PREMINUM MORNING</v>
      </c>
      <c r="P750" s="4" t="str">
        <f t="shared" si="35"/>
        <v>PREMINUM MORNING</v>
      </c>
    </row>
    <row r="751" spans="1:16" x14ac:dyDescent="0.3">
      <c r="A751" s="4">
        <v>10</v>
      </c>
      <c r="B751" t="s">
        <v>11</v>
      </c>
      <c r="C751" s="4">
        <v>27.92</v>
      </c>
      <c r="D751" t="s">
        <v>18</v>
      </c>
      <c r="E751" t="s">
        <v>13</v>
      </c>
      <c r="F751" s="4" t="s">
        <v>14</v>
      </c>
      <c r="G751" s="4" t="s">
        <v>33</v>
      </c>
      <c r="H751" s="4">
        <v>5</v>
      </c>
      <c r="I751" s="4">
        <v>6</v>
      </c>
      <c r="J751" s="1">
        <v>45464</v>
      </c>
      <c r="K751" s="2">
        <v>1.1597222222222224E-3</v>
      </c>
      <c r="M751" s="4" t="str">
        <f t="shared" si="33"/>
        <v>LOW</v>
      </c>
      <c r="N751" s="4" t="str" cm="1">
        <f t="array" ref="N751">_xlfn.IFS(C751&gt;35,"HIGH",C751&gt;25,"MIDDLE",TRUE,"LOW")</f>
        <v>MIDDLE</v>
      </c>
      <c r="O751" s="4" t="str">
        <f t="shared" si="34"/>
        <v>OTHERS</v>
      </c>
      <c r="P751" s="4" t="str">
        <f t="shared" si="35"/>
        <v>PREMINUM MORNING</v>
      </c>
    </row>
    <row r="752" spans="1:16" x14ac:dyDescent="0.3">
      <c r="A752" s="4">
        <v>13</v>
      </c>
      <c r="B752" t="s">
        <v>11</v>
      </c>
      <c r="C752" s="4">
        <v>32.82</v>
      </c>
      <c r="D752" t="s">
        <v>19</v>
      </c>
      <c r="E752" t="s">
        <v>17</v>
      </c>
      <c r="F752" s="4" t="s">
        <v>14</v>
      </c>
      <c r="G752" s="4" t="s">
        <v>33</v>
      </c>
      <c r="H752" s="4">
        <v>5</v>
      </c>
      <c r="I752" s="4">
        <v>6</v>
      </c>
      <c r="J752" s="1">
        <v>45464</v>
      </c>
      <c r="K752" s="2">
        <v>1.3418981481481483E-2</v>
      </c>
      <c r="M752" s="4" t="str">
        <f t="shared" si="33"/>
        <v>LOW</v>
      </c>
      <c r="N752" s="4" t="str" cm="1">
        <f t="array" ref="N752">_xlfn.IFS(C752&gt;35,"HIGH",C752&gt;25,"MIDDLE",TRUE,"LOW")</f>
        <v>MIDDLE</v>
      </c>
      <c r="O752" s="4" t="str">
        <f t="shared" si="34"/>
        <v>OTHERS</v>
      </c>
      <c r="P752" s="4" t="str">
        <f t="shared" si="35"/>
        <v>OTHERS</v>
      </c>
    </row>
    <row r="753" spans="1:16" x14ac:dyDescent="0.3">
      <c r="A753" s="4">
        <v>13</v>
      </c>
      <c r="B753" t="s">
        <v>11</v>
      </c>
      <c r="C753" s="4">
        <v>32.82</v>
      </c>
      <c r="D753" t="s">
        <v>19</v>
      </c>
      <c r="E753" t="s">
        <v>17</v>
      </c>
      <c r="F753" s="4" t="s">
        <v>14</v>
      </c>
      <c r="G753" s="4" t="s">
        <v>33</v>
      </c>
      <c r="H753" s="4">
        <v>5</v>
      </c>
      <c r="I753" s="4">
        <v>6</v>
      </c>
      <c r="J753" s="1">
        <v>45464</v>
      </c>
      <c r="K753" s="2">
        <v>1.4253472222222223E-2</v>
      </c>
      <c r="M753" s="4" t="str">
        <f t="shared" si="33"/>
        <v>LOW</v>
      </c>
      <c r="N753" s="4" t="str" cm="1">
        <f t="array" ref="N753">_xlfn.IFS(C753&gt;35,"HIGH",C753&gt;25,"MIDDLE",TRUE,"LOW")</f>
        <v>MIDDLE</v>
      </c>
      <c r="O753" s="4" t="str">
        <f t="shared" si="34"/>
        <v>OTHERS</v>
      </c>
      <c r="P753" s="4" t="str">
        <f t="shared" si="35"/>
        <v>OTHERS</v>
      </c>
    </row>
    <row r="754" spans="1:16" x14ac:dyDescent="0.3">
      <c r="A754" s="4">
        <v>18</v>
      </c>
      <c r="B754" t="s">
        <v>11</v>
      </c>
      <c r="C754" s="4">
        <v>23.02</v>
      </c>
      <c r="D754" t="s">
        <v>26</v>
      </c>
      <c r="E754" t="s">
        <v>20</v>
      </c>
      <c r="F754" s="4" t="s">
        <v>14</v>
      </c>
      <c r="G754" s="4" t="s">
        <v>33</v>
      </c>
      <c r="H754" s="4">
        <v>5</v>
      </c>
      <c r="I754" s="4">
        <v>6</v>
      </c>
      <c r="J754" s="1">
        <v>45464</v>
      </c>
      <c r="K754" s="2">
        <v>8.5196759259259253E-3</v>
      </c>
      <c r="M754" s="4" t="str">
        <f t="shared" si="33"/>
        <v>LOW</v>
      </c>
      <c r="N754" s="4" t="str" cm="1">
        <f t="array" ref="N754">_xlfn.IFS(C754&gt;35,"HIGH",C754&gt;25,"MIDDLE",TRUE,"LOW")</f>
        <v>LOW</v>
      </c>
      <c r="O754" s="4" t="str">
        <f t="shared" si="34"/>
        <v>OTHERS</v>
      </c>
      <c r="P754" s="4" t="str">
        <f t="shared" si="35"/>
        <v>OTHERS</v>
      </c>
    </row>
    <row r="755" spans="1:16" x14ac:dyDescent="0.3">
      <c r="A755" s="4">
        <v>19</v>
      </c>
      <c r="B755" t="s">
        <v>11</v>
      </c>
      <c r="C755" s="4">
        <v>37.72</v>
      </c>
      <c r="D755" t="s">
        <v>12</v>
      </c>
      <c r="E755" t="s">
        <v>20</v>
      </c>
      <c r="F755" s="4" t="s">
        <v>14</v>
      </c>
      <c r="G755" s="4" t="s">
        <v>33</v>
      </c>
      <c r="H755" s="4">
        <v>5</v>
      </c>
      <c r="I755" s="4">
        <v>6</v>
      </c>
      <c r="J755" s="1">
        <v>45464</v>
      </c>
      <c r="K755" s="2">
        <v>2.1142361111111112E-2</v>
      </c>
      <c r="M755" s="4" t="str">
        <f t="shared" si="33"/>
        <v>HIGH</v>
      </c>
      <c r="N755" s="4" t="str" cm="1">
        <f t="array" ref="N755">_xlfn.IFS(C755&gt;35,"HIGH",C755&gt;25,"MIDDLE",TRUE,"LOW")</f>
        <v>HIGH</v>
      </c>
      <c r="O755" s="4" t="str">
        <f t="shared" si="34"/>
        <v>OTHERS</v>
      </c>
      <c r="P755" s="4" t="str">
        <f t="shared" si="35"/>
        <v>PREMINUM MORNING</v>
      </c>
    </row>
    <row r="756" spans="1:16" x14ac:dyDescent="0.3">
      <c r="A756" s="4">
        <v>19</v>
      </c>
      <c r="B756" t="s">
        <v>11</v>
      </c>
      <c r="C756" s="4">
        <v>37.72</v>
      </c>
      <c r="D756" t="s">
        <v>29</v>
      </c>
      <c r="E756" t="s">
        <v>20</v>
      </c>
      <c r="F756" s="4" t="s">
        <v>14</v>
      </c>
      <c r="G756" s="4" t="s">
        <v>33</v>
      </c>
      <c r="H756" s="4">
        <v>5</v>
      </c>
      <c r="I756" s="4">
        <v>6</v>
      </c>
      <c r="J756" s="1">
        <v>45464</v>
      </c>
      <c r="K756" s="2">
        <v>3.2710648148148148E-2</v>
      </c>
      <c r="M756" s="4" t="str">
        <f t="shared" si="33"/>
        <v>HIGH</v>
      </c>
      <c r="N756" s="4" t="str" cm="1">
        <f t="array" ref="N756">_xlfn.IFS(C756&gt;35,"HIGH",C756&gt;25,"MIDDLE",TRUE,"LOW")</f>
        <v>HIGH</v>
      </c>
      <c r="O756" s="4" t="str">
        <f t="shared" si="34"/>
        <v>OTHERS</v>
      </c>
      <c r="P756" s="4" t="str">
        <f t="shared" si="35"/>
        <v>PREMINUM MORNING</v>
      </c>
    </row>
    <row r="757" spans="1:16" x14ac:dyDescent="0.3">
      <c r="A757" s="4">
        <v>19</v>
      </c>
      <c r="B757" t="s">
        <v>11</v>
      </c>
      <c r="C757" s="4">
        <v>37.72</v>
      </c>
      <c r="D757" t="s">
        <v>29</v>
      </c>
      <c r="E757" t="s">
        <v>20</v>
      </c>
      <c r="F757" s="4" t="s">
        <v>14</v>
      </c>
      <c r="G757" s="4" t="s">
        <v>33</v>
      </c>
      <c r="H757" s="4">
        <v>5</v>
      </c>
      <c r="I757" s="4">
        <v>6</v>
      </c>
      <c r="J757" s="1">
        <v>45464</v>
      </c>
      <c r="K757" s="2">
        <v>3.3410879629629631E-2</v>
      </c>
      <c r="M757" s="4" t="str">
        <f t="shared" si="33"/>
        <v>HIGH</v>
      </c>
      <c r="N757" s="4" t="str" cm="1">
        <f t="array" ref="N757">_xlfn.IFS(C757&gt;35,"HIGH",C757&gt;25,"MIDDLE",TRUE,"LOW")</f>
        <v>HIGH</v>
      </c>
      <c r="O757" s="4" t="str">
        <f t="shared" si="34"/>
        <v>OTHERS</v>
      </c>
      <c r="P757" s="4" t="str">
        <f t="shared" si="35"/>
        <v>PREMINUM MORNING</v>
      </c>
    </row>
    <row r="758" spans="1:16" x14ac:dyDescent="0.3">
      <c r="A758" s="4">
        <v>19</v>
      </c>
      <c r="B758" t="s">
        <v>11</v>
      </c>
      <c r="C758" s="4">
        <v>37.72</v>
      </c>
      <c r="D758" t="s">
        <v>29</v>
      </c>
      <c r="E758" t="s">
        <v>20</v>
      </c>
      <c r="F758" s="4" t="s">
        <v>14</v>
      </c>
      <c r="G758" s="4" t="s">
        <v>33</v>
      </c>
      <c r="H758" s="4">
        <v>5</v>
      </c>
      <c r="I758" s="4">
        <v>6</v>
      </c>
      <c r="J758" s="1">
        <v>45464</v>
      </c>
      <c r="K758" s="2">
        <v>3.4658564814814816E-2</v>
      </c>
      <c r="M758" s="4" t="str">
        <f t="shared" si="33"/>
        <v>HIGH</v>
      </c>
      <c r="N758" s="4" t="str" cm="1">
        <f t="array" ref="N758">_xlfn.IFS(C758&gt;35,"HIGH",C758&gt;25,"MIDDLE",TRUE,"LOW")</f>
        <v>HIGH</v>
      </c>
      <c r="O758" s="4" t="str">
        <f t="shared" si="34"/>
        <v>OTHERS</v>
      </c>
      <c r="P758" s="4" t="str">
        <f t="shared" si="35"/>
        <v>PREMINUM MORNING</v>
      </c>
    </row>
    <row r="759" spans="1:16" x14ac:dyDescent="0.3">
      <c r="A759" s="4">
        <v>19</v>
      </c>
      <c r="B759" t="s">
        <v>11</v>
      </c>
      <c r="C759" s="4">
        <v>37.72</v>
      </c>
      <c r="D759" t="s">
        <v>29</v>
      </c>
      <c r="E759" t="s">
        <v>20</v>
      </c>
      <c r="F759" s="4" t="s">
        <v>14</v>
      </c>
      <c r="G759" s="4" t="s">
        <v>33</v>
      </c>
      <c r="H759" s="4">
        <v>5</v>
      </c>
      <c r="I759" s="4">
        <v>6</v>
      </c>
      <c r="J759" s="1">
        <v>45464</v>
      </c>
      <c r="K759" s="2">
        <v>3.5418981481481482E-2</v>
      </c>
      <c r="M759" s="4" t="str">
        <f t="shared" si="33"/>
        <v>HIGH</v>
      </c>
      <c r="N759" s="4" t="str" cm="1">
        <f t="array" ref="N759">_xlfn.IFS(C759&gt;35,"HIGH",C759&gt;25,"MIDDLE",TRUE,"LOW")</f>
        <v>HIGH</v>
      </c>
      <c r="O759" s="4" t="str">
        <f t="shared" si="34"/>
        <v>OTHERS</v>
      </c>
      <c r="P759" s="4" t="str">
        <f t="shared" si="35"/>
        <v>PREMINUM MORNING</v>
      </c>
    </row>
    <row r="760" spans="1:16" x14ac:dyDescent="0.3">
      <c r="A760" s="4">
        <v>19</v>
      </c>
      <c r="B760" t="s">
        <v>11</v>
      </c>
      <c r="C760" s="4">
        <v>27.92</v>
      </c>
      <c r="D760" t="s">
        <v>18</v>
      </c>
      <c r="E760" t="s">
        <v>20</v>
      </c>
      <c r="F760" s="4" t="s">
        <v>14</v>
      </c>
      <c r="G760" s="4" t="s">
        <v>33</v>
      </c>
      <c r="H760" s="4">
        <v>5</v>
      </c>
      <c r="I760" s="4">
        <v>6</v>
      </c>
      <c r="J760" s="1">
        <v>45464</v>
      </c>
      <c r="K760" s="2">
        <v>3.6328703703703703E-2</v>
      </c>
      <c r="M760" s="4" t="str">
        <f t="shared" si="33"/>
        <v>LOW</v>
      </c>
      <c r="N760" s="4" t="str" cm="1">
        <f t="array" ref="N760">_xlfn.IFS(C760&gt;35,"HIGH",C760&gt;25,"MIDDLE",TRUE,"LOW")</f>
        <v>MIDDLE</v>
      </c>
      <c r="O760" s="4" t="str">
        <f t="shared" si="34"/>
        <v>OTHERS</v>
      </c>
      <c r="P760" s="4" t="str">
        <f t="shared" si="35"/>
        <v>OTHERS</v>
      </c>
    </row>
    <row r="761" spans="1:16" x14ac:dyDescent="0.3">
      <c r="A761" s="4">
        <v>19</v>
      </c>
      <c r="B761" t="s">
        <v>11</v>
      </c>
      <c r="C761" s="4">
        <v>32.82</v>
      </c>
      <c r="D761" t="s">
        <v>19</v>
      </c>
      <c r="E761" t="s">
        <v>20</v>
      </c>
      <c r="F761" s="4" t="s">
        <v>14</v>
      </c>
      <c r="G761" s="4" t="s">
        <v>33</v>
      </c>
      <c r="H761" s="4">
        <v>5</v>
      </c>
      <c r="I761" s="4">
        <v>6</v>
      </c>
      <c r="J761" s="1">
        <v>45464</v>
      </c>
      <c r="K761" s="2">
        <v>3.8623842592592592E-2</v>
      </c>
      <c r="M761" s="4" t="str">
        <f t="shared" si="33"/>
        <v>LOW</v>
      </c>
      <c r="N761" s="4" t="str" cm="1">
        <f t="array" ref="N761">_xlfn.IFS(C761&gt;35,"HIGH",C761&gt;25,"MIDDLE",TRUE,"LOW")</f>
        <v>MIDDLE</v>
      </c>
      <c r="O761" s="4" t="str">
        <f t="shared" si="34"/>
        <v>OTHERS</v>
      </c>
      <c r="P761" s="4" t="str">
        <f t="shared" si="35"/>
        <v>OTHERS</v>
      </c>
    </row>
    <row r="762" spans="1:16" x14ac:dyDescent="0.3">
      <c r="A762" s="4">
        <v>8</v>
      </c>
      <c r="B762" t="s">
        <v>11</v>
      </c>
      <c r="C762" s="4">
        <v>27.92</v>
      </c>
      <c r="D762" t="s">
        <v>24</v>
      </c>
      <c r="E762" t="s">
        <v>13</v>
      </c>
      <c r="F762" s="4" t="s">
        <v>22</v>
      </c>
      <c r="G762" s="4" t="s">
        <v>33</v>
      </c>
      <c r="H762" s="4">
        <v>6</v>
      </c>
      <c r="I762" s="4">
        <v>6</v>
      </c>
      <c r="J762" s="1">
        <v>45465</v>
      </c>
      <c r="K762" s="2">
        <v>2.7665509259259261E-2</v>
      </c>
      <c r="M762" s="4" t="str">
        <f t="shared" si="33"/>
        <v>LOW</v>
      </c>
      <c r="N762" s="4" t="str" cm="1">
        <f t="array" ref="N762">_xlfn.IFS(C762&gt;35,"HIGH",C762&gt;25,"MIDDLE",TRUE,"LOW")</f>
        <v>MIDDLE</v>
      </c>
      <c r="O762" s="4" t="str">
        <f t="shared" si="34"/>
        <v>OTHERS</v>
      </c>
      <c r="P762" s="4" t="str">
        <f t="shared" si="35"/>
        <v>PREMINUM MORNING</v>
      </c>
    </row>
    <row r="763" spans="1:16" x14ac:dyDescent="0.3">
      <c r="A763" s="4">
        <v>9</v>
      </c>
      <c r="B763" t="s">
        <v>11</v>
      </c>
      <c r="C763" s="4">
        <v>32.82</v>
      </c>
      <c r="D763" t="s">
        <v>19</v>
      </c>
      <c r="E763" t="s">
        <v>13</v>
      </c>
      <c r="F763" s="4" t="s">
        <v>22</v>
      </c>
      <c r="G763" s="4" t="s">
        <v>33</v>
      </c>
      <c r="H763" s="4">
        <v>6</v>
      </c>
      <c r="I763" s="4">
        <v>6</v>
      </c>
      <c r="J763" s="1">
        <v>45465</v>
      </c>
      <c r="K763" s="2">
        <v>2.625925925925926E-2</v>
      </c>
      <c r="M763" s="4" t="str">
        <f t="shared" si="33"/>
        <v>LOW</v>
      </c>
      <c r="N763" s="4" t="str" cm="1">
        <f t="array" ref="N763">_xlfn.IFS(C763&gt;35,"HIGH",C763&gt;25,"MIDDLE",TRUE,"LOW")</f>
        <v>MIDDLE</v>
      </c>
      <c r="O763" s="4" t="str">
        <f t="shared" si="34"/>
        <v>OTHERS</v>
      </c>
      <c r="P763" s="4" t="str">
        <f t="shared" si="35"/>
        <v>PREMINUM MORNING</v>
      </c>
    </row>
    <row r="764" spans="1:16" x14ac:dyDescent="0.3">
      <c r="A764" s="4">
        <v>12</v>
      </c>
      <c r="B764" t="s">
        <v>11</v>
      </c>
      <c r="C764" s="4">
        <v>32.82</v>
      </c>
      <c r="D764" t="s">
        <v>19</v>
      </c>
      <c r="E764" t="s">
        <v>17</v>
      </c>
      <c r="F764" s="4" t="s">
        <v>22</v>
      </c>
      <c r="G764" s="4" t="s">
        <v>33</v>
      </c>
      <c r="H764" s="4">
        <v>6</v>
      </c>
      <c r="I764" s="4">
        <v>6</v>
      </c>
      <c r="J764" s="1">
        <v>45465</v>
      </c>
      <c r="K764" s="2">
        <v>3.69849537037037E-2</v>
      </c>
      <c r="M764" s="4" t="str">
        <f t="shared" si="33"/>
        <v>LOW</v>
      </c>
      <c r="N764" s="4" t="str" cm="1">
        <f t="array" ref="N764">_xlfn.IFS(C764&gt;35,"HIGH",C764&gt;25,"MIDDLE",TRUE,"LOW")</f>
        <v>MIDDLE</v>
      </c>
      <c r="O764" s="4" t="str">
        <f t="shared" si="34"/>
        <v>OTHERS</v>
      </c>
      <c r="P764" s="4" t="str">
        <f t="shared" si="35"/>
        <v>OTHERS</v>
      </c>
    </row>
    <row r="765" spans="1:16" x14ac:dyDescent="0.3">
      <c r="A765" s="4">
        <v>15</v>
      </c>
      <c r="B765" t="s">
        <v>11</v>
      </c>
      <c r="C765" s="4">
        <v>37.72</v>
      </c>
      <c r="D765" t="s">
        <v>12</v>
      </c>
      <c r="E765" t="s">
        <v>17</v>
      </c>
      <c r="F765" s="4" t="s">
        <v>22</v>
      </c>
      <c r="G765" s="4" t="s">
        <v>33</v>
      </c>
      <c r="H765" s="4">
        <v>6</v>
      </c>
      <c r="I765" s="4">
        <v>6</v>
      </c>
      <c r="J765" s="1">
        <v>45465</v>
      </c>
      <c r="K765" s="2">
        <v>2.5927083333333333E-2</v>
      </c>
      <c r="M765" s="4" t="str">
        <f t="shared" si="33"/>
        <v>HIGH</v>
      </c>
      <c r="N765" s="4" t="str" cm="1">
        <f t="array" ref="N765">_xlfn.IFS(C765&gt;35,"HIGH",C765&gt;25,"MIDDLE",TRUE,"LOW")</f>
        <v>HIGH</v>
      </c>
      <c r="O765" s="4" t="str">
        <f t="shared" si="34"/>
        <v>OTHERS</v>
      </c>
      <c r="P765" s="4" t="str">
        <f t="shared" si="35"/>
        <v>PREMINUM MORNING</v>
      </c>
    </row>
    <row r="766" spans="1:16" x14ac:dyDescent="0.3">
      <c r="A766" s="4">
        <v>22</v>
      </c>
      <c r="B766" t="s">
        <v>11</v>
      </c>
      <c r="C766" s="4">
        <v>37.72</v>
      </c>
      <c r="D766" t="s">
        <v>29</v>
      </c>
      <c r="E766" t="s">
        <v>20</v>
      </c>
      <c r="F766" s="4" t="s">
        <v>22</v>
      </c>
      <c r="G766" s="4" t="s">
        <v>33</v>
      </c>
      <c r="H766" s="4">
        <v>6</v>
      </c>
      <c r="I766" s="4">
        <v>6</v>
      </c>
      <c r="J766" s="1">
        <v>45465</v>
      </c>
      <c r="K766" s="2">
        <v>7.2106481481481483E-3</v>
      </c>
      <c r="M766" s="4" t="str">
        <f t="shared" si="33"/>
        <v>HIGH</v>
      </c>
      <c r="N766" s="4" t="str" cm="1">
        <f t="array" ref="N766">_xlfn.IFS(C766&gt;35,"HIGH",C766&gt;25,"MIDDLE",TRUE,"LOW")</f>
        <v>HIGH</v>
      </c>
      <c r="O766" s="4" t="str">
        <f t="shared" si="34"/>
        <v>OTHERS</v>
      </c>
      <c r="P766" s="4" t="str">
        <f t="shared" si="35"/>
        <v>PREMINUM MORNING</v>
      </c>
    </row>
    <row r="767" spans="1:16" x14ac:dyDescent="0.3">
      <c r="A767" s="4">
        <v>18</v>
      </c>
      <c r="B767" t="s">
        <v>11</v>
      </c>
      <c r="C767" s="4">
        <v>32.82</v>
      </c>
      <c r="D767" t="s">
        <v>19</v>
      </c>
      <c r="E767" t="s">
        <v>20</v>
      </c>
      <c r="F767" s="4" t="s">
        <v>23</v>
      </c>
      <c r="G767" s="4" t="s">
        <v>33</v>
      </c>
      <c r="H767" s="4">
        <v>7</v>
      </c>
      <c r="I767" s="4">
        <v>6</v>
      </c>
      <c r="J767" s="1">
        <v>45466</v>
      </c>
      <c r="K767" s="2">
        <v>8.3495370370370373E-3</v>
      </c>
      <c r="M767" s="4" t="str">
        <f t="shared" si="33"/>
        <v>LOW</v>
      </c>
      <c r="N767" s="4" t="str" cm="1">
        <f t="array" ref="N767">_xlfn.IFS(C767&gt;35,"HIGH",C767&gt;25,"MIDDLE",TRUE,"LOW")</f>
        <v>MIDDLE</v>
      </c>
      <c r="O767" s="4" t="str">
        <f t="shared" si="34"/>
        <v>OTHERS</v>
      </c>
      <c r="P767" s="4" t="str">
        <f t="shared" si="35"/>
        <v>OTHERS</v>
      </c>
    </row>
    <row r="768" spans="1:16" x14ac:dyDescent="0.3">
      <c r="A768" s="4">
        <v>18</v>
      </c>
      <c r="B768" t="s">
        <v>11</v>
      </c>
      <c r="C768" s="4">
        <v>32.82</v>
      </c>
      <c r="D768" t="s">
        <v>19</v>
      </c>
      <c r="E768" t="s">
        <v>20</v>
      </c>
      <c r="F768" s="4" t="s">
        <v>23</v>
      </c>
      <c r="G768" s="4" t="s">
        <v>33</v>
      </c>
      <c r="H768" s="4">
        <v>7</v>
      </c>
      <c r="I768" s="4">
        <v>6</v>
      </c>
      <c r="J768" s="1">
        <v>45466</v>
      </c>
      <c r="K768" s="2">
        <v>9.6134259259259263E-3</v>
      </c>
      <c r="M768" s="4" t="str">
        <f t="shared" si="33"/>
        <v>LOW</v>
      </c>
      <c r="N768" s="4" t="str" cm="1">
        <f t="array" ref="N768">_xlfn.IFS(C768&gt;35,"HIGH",C768&gt;25,"MIDDLE",TRUE,"LOW")</f>
        <v>MIDDLE</v>
      </c>
      <c r="O768" s="4" t="str">
        <f t="shared" si="34"/>
        <v>OTHERS</v>
      </c>
      <c r="P768" s="4" t="str">
        <f t="shared" si="35"/>
        <v>OTHERS</v>
      </c>
    </row>
    <row r="769" spans="1:16" x14ac:dyDescent="0.3">
      <c r="A769" s="4">
        <v>21</v>
      </c>
      <c r="B769" t="s">
        <v>11</v>
      </c>
      <c r="C769" s="4">
        <v>37.72</v>
      </c>
      <c r="D769" t="s">
        <v>29</v>
      </c>
      <c r="E769" t="s">
        <v>20</v>
      </c>
      <c r="F769" s="4" t="s">
        <v>23</v>
      </c>
      <c r="G769" s="4" t="s">
        <v>33</v>
      </c>
      <c r="H769" s="4">
        <v>7</v>
      </c>
      <c r="I769" s="4">
        <v>6</v>
      </c>
      <c r="J769" s="1">
        <v>45466</v>
      </c>
      <c r="K769" s="2">
        <v>4.7106481481481478E-3</v>
      </c>
      <c r="M769" s="4" t="str">
        <f t="shared" si="33"/>
        <v>HIGH</v>
      </c>
      <c r="N769" s="4" t="str" cm="1">
        <f t="array" ref="N769">_xlfn.IFS(C769&gt;35,"HIGH",C769&gt;25,"MIDDLE",TRUE,"LOW")</f>
        <v>HIGH</v>
      </c>
      <c r="O769" s="4" t="str">
        <f t="shared" si="34"/>
        <v>OTHERS</v>
      </c>
      <c r="P769" s="4" t="str">
        <f t="shared" si="35"/>
        <v>PREMINUM MORNING</v>
      </c>
    </row>
    <row r="770" spans="1:16" x14ac:dyDescent="0.3">
      <c r="A770" s="4">
        <v>21</v>
      </c>
      <c r="B770" t="s">
        <v>11</v>
      </c>
      <c r="C770" s="4">
        <v>37.72</v>
      </c>
      <c r="D770" t="s">
        <v>12</v>
      </c>
      <c r="E770" t="s">
        <v>20</v>
      </c>
      <c r="F770" s="4" t="s">
        <v>23</v>
      </c>
      <c r="G770" s="4" t="s">
        <v>33</v>
      </c>
      <c r="H770" s="4">
        <v>7</v>
      </c>
      <c r="I770" s="4">
        <v>6</v>
      </c>
      <c r="J770" s="1">
        <v>45466</v>
      </c>
      <c r="K770" s="2">
        <v>2.0229166666666666E-2</v>
      </c>
      <c r="M770" s="4" t="str">
        <f t="shared" si="33"/>
        <v>HIGH</v>
      </c>
      <c r="N770" s="4" t="str" cm="1">
        <f t="array" ref="N770">_xlfn.IFS(C770&gt;35,"HIGH",C770&gt;25,"MIDDLE",TRUE,"LOW")</f>
        <v>HIGH</v>
      </c>
      <c r="O770" s="4" t="str">
        <f t="shared" si="34"/>
        <v>OTHERS</v>
      </c>
      <c r="P770" s="4" t="str">
        <f t="shared" si="35"/>
        <v>PREMINUM MORNING</v>
      </c>
    </row>
    <row r="771" spans="1:16" x14ac:dyDescent="0.3">
      <c r="A771" s="4">
        <v>21</v>
      </c>
      <c r="B771" t="s">
        <v>11</v>
      </c>
      <c r="C771" s="4">
        <v>37.72</v>
      </c>
      <c r="D771" t="s">
        <v>29</v>
      </c>
      <c r="E771" t="s">
        <v>20</v>
      </c>
      <c r="F771" s="4" t="s">
        <v>23</v>
      </c>
      <c r="G771" s="4" t="s">
        <v>33</v>
      </c>
      <c r="H771" s="4">
        <v>7</v>
      </c>
      <c r="I771" s="4">
        <v>6</v>
      </c>
      <c r="J771" s="1">
        <v>45466</v>
      </c>
      <c r="K771" s="2">
        <v>2.125462962962963E-2</v>
      </c>
      <c r="M771" s="4" t="str">
        <f t="shared" ref="M771:M834" si="36">IF(C771&gt;35,"HIGH","LOW")</f>
        <v>HIGH</v>
      </c>
      <c r="N771" s="4" t="str" cm="1">
        <f t="array" ref="N771">_xlfn.IFS(C771&gt;35,"HIGH",C771&gt;25,"MIDDLE",TRUE,"LOW")</f>
        <v>HIGH</v>
      </c>
      <c r="O771" s="4" t="str">
        <f t="shared" ref="O771:O834" si="37">IF(AND(C771&gt;35,E771="MORNING"),"PREMINUM MORNING","OTHERS")</f>
        <v>OTHERS</v>
      </c>
      <c r="P771" s="4" t="str">
        <f t="shared" ref="P771:P834" si="38">IF(OR(C771&gt;35,E771="MORNING"),"PREMINUM MORNING","OTHERS")</f>
        <v>PREMINUM MORNING</v>
      </c>
    </row>
    <row r="772" spans="1:16" x14ac:dyDescent="0.3">
      <c r="A772" s="4">
        <v>11</v>
      </c>
      <c r="B772" t="s">
        <v>11</v>
      </c>
      <c r="C772" s="4">
        <v>32.82</v>
      </c>
      <c r="D772" t="s">
        <v>19</v>
      </c>
      <c r="E772" t="s">
        <v>13</v>
      </c>
      <c r="F772" s="4" t="s">
        <v>25</v>
      </c>
      <c r="G772" s="4" t="s">
        <v>33</v>
      </c>
      <c r="H772" s="4">
        <v>1</v>
      </c>
      <c r="I772" s="4">
        <v>6</v>
      </c>
      <c r="J772" s="1">
        <v>45467</v>
      </c>
      <c r="K772" s="2">
        <v>3.1017361111111114E-2</v>
      </c>
      <c r="M772" s="4" t="str">
        <f t="shared" si="36"/>
        <v>LOW</v>
      </c>
      <c r="N772" s="4" t="str" cm="1">
        <f t="array" ref="N772">_xlfn.IFS(C772&gt;35,"HIGH",C772&gt;25,"MIDDLE",TRUE,"LOW")</f>
        <v>MIDDLE</v>
      </c>
      <c r="O772" s="4" t="str">
        <f t="shared" si="37"/>
        <v>OTHERS</v>
      </c>
      <c r="P772" s="4" t="str">
        <f t="shared" si="38"/>
        <v>PREMINUM MORNING</v>
      </c>
    </row>
    <row r="773" spans="1:16" x14ac:dyDescent="0.3">
      <c r="A773" s="4">
        <v>11</v>
      </c>
      <c r="B773" t="s">
        <v>11</v>
      </c>
      <c r="C773" s="4">
        <v>37.72</v>
      </c>
      <c r="D773" t="s">
        <v>29</v>
      </c>
      <c r="E773" t="s">
        <v>13</v>
      </c>
      <c r="F773" s="4" t="s">
        <v>25</v>
      </c>
      <c r="G773" s="4" t="s">
        <v>33</v>
      </c>
      <c r="H773" s="4">
        <v>1</v>
      </c>
      <c r="I773" s="4">
        <v>6</v>
      </c>
      <c r="J773" s="1">
        <v>45467</v>
      </c>
      <c r="K773" s="2">
        <v>3.4444444444444444E-2</v>
      </c>
      <c r="M773" s="4" t="str">
        <f t="shared" si="36"/>
        <v>HIGH</v>
      </c>
      <c r="N773" s="4" t="str" cm="1">
        <f t="array" ref="N773">_xlfn.IFS(C773&gt;35,"HIGH",C773&gt;25,"MIDDLE",TRUE,"LOW")</f>
        <v>HIGH</v>
      </c>
      <c r="O773" s="4" t="str">
        <f t="shared" si="37"/>
        <v>PREMINUM MORNING</v>
      </c>
      <c r="P773" s="4" t="str">
        <f t="shared" si="38"/>
        <v>PREMINUM MORNING</v>
      </c>
    </row>
    <row r="774" spans="1:16" x14ac:dyDescent="0.3">
      <c r="A774" s="4">
        <v>11</v>
      </c>
      <c r="B774" t="s">
        <v>11</v>
      </c>
      <c r="C774" s="4">
        <v>37.72</v>
      </c>
      <c r="D774" t="s">
        <v>29</v>
      </c>
      <c r="E774" t="s">
        <v>13</v>
      </c>
      <c r="F774" s="4" t="s">
        <v>25</v>
      </c>
      <c r="G774" s="4" t="s">
        <v>33</v>
      </c>
      <c r="H774" s="4">
        <v>1</v>
      </c>
      <c r="I774" s="4">
        <v>6</v>
      </c>
      <c r="J774" s="1">
        <v>45467</v>
      </c>
      <c r="K774" s="2">
        <v>3.523263888888889E-2</v>
      </c>
      <c r="M774" s="4" t="str">
        <f t="shared" si="36"/>
        <v>HIGH</v>
      </c>
      <c r="N774" s="4" t="str" cm="1">
        <f t="array" ref="N774">_xlfn.IFS(C774&gt;35,"HIGH",C774&gt;25,"MIDDLE",TRUE,"LOW")</f>
        <v>HIGH</v>
      </c>
      <c r="O774" s="4" t="str">
        <f t="shared" si="37"/>
        <v>PREMINUM MORNING</v>
      </c>
      <c r="P774" s="4" t="str">
        <f t="shared" si="38"/>
        <v>PREMINUM MORNING</v>
      </c>
    </row>
    <row r="775" spans="1:16" x14ac:dyDescent="0.3">
      <c r="A775" s="4">
        <v>15</v>
      </c>
      <c r="B775" t="s">
        <v>11</v>
      </c>
      <c r="C775" s="4">
        <v>37.72</v>
      </c>
      <c r="D775" t="s">
        <v>12</v>
      </c>
      <c r="E775" t="s">
        <v>17</v>
      </c>
      <c r="F775" s="4" t="s">
        <v>25</v>
      </c>
      <c r="G775" s="4" t="s">
        <v>33</v>
      </c>
      <c r="H775" s="4">
        <v>1</v>
      </c>
      <c r="I775" s="4">
        <v>6</v>
      </c>
      <c r="J775" s="1">
        <v>45467</v>
      </c>
      <c r="K775" s="2">
        <v>1.724537037037037E-3</v>
      </c>
      <c r="M775" s="4" t="str">
        <f t="shared" si="36"/>
        <v>HIGH</v>
      </c>
      <c r="N775" s="4" t="str" cm="1">
        <f t="array" ref="N775">_xlfn.IFS(C775&gt;35,"HIGH",C775&gt;25,"MIDDLE",TRUE,"LOW")</f>
        <v>HIGH</v>
      </c>
      <c r="O775" s="4" t="str">
        <f t="shared" si="37"/>
        <v>OTHERS</v>
      </c>
      <c r="P775" s="4" t="str">
        <f t="shared" si="38"/>
        <v>PREMINUM MORNING</v>
      </c>
    </row>
    <row r="776" spans="1:16" x14ac:dyDescent="0.3">
      <c r="A776" s="4">
        <v>16</v>
      </c>
      <c r="B776" t="s">
        <v>11</v>
      </c>
      <c r="C776" s="4">
        <v>37.72</v>
      </c>
      <c r="D776" t="s">
        <v>29</v>
      </c>
      <c r="E776" t="s">
        <v>17</v>
      </c>
      <c r="F776" s="4" t="s">
        <v>25</v>
      </c>
      <c r="G776" s="4" t="s">
        <v>33</v>
      </c>
      <c r="H776" s="4">
        <v>1</v>
      </c>
      <c r="I776" s="4">
        <v>6</v>
      </c>
      <c r="J776" s="1">
        <v>45467</v>
      </c>
      <c r="K776" s="2">
        <v>3.195138888888889E-2</v>
      </c>
      <c r="M776" s="4" t="str">
        <f t="shared" si="36"/>
        <v>HIGH</v>
      </c>
      <c r="N776" s="4" t="str" cm="1">
        <f t="array" ref="N776">_xlfn.IFS(C776&gt;35,"HIGH",C776&gt;25,"MIDDLE",TRUE,"LOW")</f>
        <v>HIGH</v>
      </c>
      <c r="O776" s="4" t="str">
        <f t="shared" si="37"/>
        <v>OTHERS</v>
      </c>
      <c r="P776" s="4" t="str">
        <f t="shared" si="38"/>
        <v>PREMINUM MORNING</v>
      </c>
    </row>
    <row r="777" spans="1:16" x14ac:dyDescent="0.3">
      <c r="A777" s="4">
        <v>16</v>
      </c>
      <c r="B777" t="s">
        <v>11</v>
      </c>
      <c r="C777" s="4">
        <v>37.72</v>
      </c>
      <c r="D777" t="s">
        <v>29</v>
      </c>
      <c r="E777" t="s">
        <v>17</v>
      </c>
      <c r="F777" s="4" t="s">
        <v>25</v>
      </c>
      <c r="G777" s="4" t="s">
        <v>33</v>
      </c>
      <c r="H777" s="4">
        <v>1</v>
      </c>
      <c r="I777" s="4">
        <v>6</v>
      </c>
      <c r="J777" s="1">
        <v>45467</v>
      </c>
      <c r="K777" s="2">
        <v>3.2643518518518516E-2</v>
      </c>
      <c r="M777" s="4" t="str">
        <f t="shared" si="36"/>
        <v>HIGH</v>
      </c>
      <c r="N777" s="4" t="str" cm="1">
        <f t="array" ref="N777">_xlfn.IFS(C777&gt;35,"HIGH",C777&gt;25,"MIDDLE",TRUE,"LOW")</f>
        <v>HIGH</v>
      </c>
      <c r="O777" s="4" t="str">
        <f t="shared" si="37"/>
        <v>OTHERS</v>
      </c>
      <c r="P777" s="4" t="str">
        <f t="shared" si="38"/>
        <v>PREMINUM MORNING</v>
      </c>
    </row>
    <row r="778" spans="1:16" x14ac:dyDescent="0.3">
      <c r="A778" s="4">
        <v>8</v>
      </c>
      <c r="B778" t="s">
        <v>11</v>
      </c>
      <c r="C778" s="4">
        <v>37.72</v>
      </c>
      <c r="D778" t="s">
        <v>12</v>
      </c>
      <c r="E778" t="s">
        <v>13</v>
      </c>
      <c r="F778" s="4" t="s">
        <v>27</v>
      </c>
      <c r="G778" s="4" t="s">
        <v>33</v>
      </c>
      <c r="H778" s="4">
        <v>2</v>
      </c>
      <c r="I778" s="4">
        <v>6</v>
      </c>
      <c r="J778" s="1">
        <v>45468</v>
      </c>
      <c r="K778" s="2">
        <v>1.3474537037037038E-2</v>
      </c>
      <c r="M778" s="4" t="str">
        <f t="shared" si="36"/>
        <v>HIGH</v>
      </c>
      <c r="N778" s="4" t="str" cm="1">
        <f t="array" ref="N778">_xlfn.IFS(C778&gt;35,"HIGH",C778&gt;25,"MIDDLE",TRUE,"LOW")</f>
        <v>HIGH</v>
      </c>
      <c r="O778" s="4" t="str">
        <f t="shared" si="37"/>
        <v>PREMINUM MORNING</v>
      </c>
      <c r="P778" s="4" t="str">
        <f t="shared" si="38"/>
        <v>PREMINUM MORNING</v>
      </c>
    </row>
    <row r="779" spans="1:16" x14ac:dyDescent="0.3">
      <c r="A779" s="4">
        <v>10</v>
      </c>
      <c r="B779" t="s">
        <v>11</v>
      </c>
      <c r="C779" s="4">
        <v>32.82</v>
      </c>
      <c r="D779" t="s">
        <v>19</v>
      </c>
      <c r="E779" t="s">
        <v>13</v>
      </c>
      <c r="F779" s="4" t="s">
        <v>27</v>
      </c>
      <c r="G779" s="4" t="s">
        <v>33</v>
      </c>
      <c r="H779" s="4">
        <v>2</v>
      </c>
      <c r="I779" s="4">
        <v>6</v>
      </c>
      <c r="J779" s="1">
        <v>45468</v>
      </c>
      <c r="K779" s="2">
        <v>1.975E-2</v>
      </c>
      <c r="M779" s="4" t="str">
        <f t="shared" si="36"/>
        <v>LOW</v>
      </c>
      <c r="N779" s="4" t="str" cm="1">
        <f t="array" ref="N779">_xlfn.IFS(C779&gt;35,"HIGH",C779&gt;25,"MIDDLE",TRUE,"LOW")</f>
        <v>MIDDLE</v>
      </c>
      <c r="O779" s="4" t="str">
        <f t="shared" si="37"/>
        <v>OTHERS</v>
      </c>
      <c r="P779" s="4" t="str">
        <f t="shared" si="38"/>
        <v>PREMINUM MORNING</v>
      </c>
    </row>
    <row r="780" spans="1:16" x14ac:dyDescent="0.3">
      <c r="A780" s="4">
        <v>10</v>
      </c>
      <c r="B780" t="s">
        <v>11</v>
      </c>
      <c r="C780" s="4">
        <v>32.82</v>
      </c>
      <c r="D780" t="s">
        <v>19</v>
      </c>
      <c r="E780" t="s">
        <v>13</v>
      </c>
      <c r="F780" s="4" t="s">
        <v>27</v>
      </c>
      <c r="G780" s="4" t="s">
        <v>33</v>
      </c>
      <c r="H780" s="4">
        <v>2</v>
      </c>
      <c r="I780" s="4">
        <v>6</v>
      </c>
      <c r="J780" s="1">
        <v>45468</v>
      </c>
      <c r="K780" s="2">
        <v>2.062962962962963E-2</v>
      </c>
      <c r="M780" s="4" t="str">
        <f t="shared" si="36"/>
        <v>LOW</v>
      </c>
      <c r="N780" s="4" t="str" cm="1">
        <f t="array" ref="N780">_xlfn.IFS(C780&gt;35,"HIGH",C780&gt;25,"MIDDLE",TRUE,"LOW")</f>
        <v>MIDDLE</v>
      </c>
      <c r="O780" s="4" t="str">
        <f t="shared" si="37"/>
        <v>OTHERS</v>
      </c>
      <c r="P780" s="4" t="str">
        <f t="shared" si="38"/>
        <v>PREMINUM MORNING</v>
      </c>
    </row>
    <row r="781" spans="1:16" x14ac:dyDescent="0.3">
      <c r="A781" s="4">
        <v>11</v>
      </c>
      <c r="B781" t="s">
        <v>11</v>
      </c>
      <c r="C781" s="4">
        <v>37.72</v>
      </c>
      <c r="D781" t="s">
        <v>29</v>
      </c>
      <c r="E781" t="s">
        <v>13</v>
      </c>
      <c r="F781" s="4" t="s">
        <v>27</v>
      </c>
      <c r="G781" s="4" t="s">
        <v>33</v>
      </c>
      <c r="H781" s="4">
        <v>2</v>
      </c>
      <c r="I781" s="4">
        <v>6</v>
      </c>
      <c r="J781" s="1">
        <v>45468</v>
      </c>
      <c r="K781" s="2">
        <v>2.4216435185185188E-2</v>
      </c>
      <c r="M781" s="4" t="str">
        <f t="shared" si="36"/>
        <v>HIGH</v>
      </c>
      <c r="N781" s="4" t="str" cm="1">
        <f t="array" ref="N781">_xlfn.IFS(C781&gt;35,"HIGH",C781&gt;25,"MIDDLE",TRUE,"LOW")</f>
        <v>HIGH</v>
      </c>
      <c r="O781" s="4" t="str">
        <f t="shared" si="37"/>
        <v>PREMINUM MORNING</v>
      </c>
      <c r="P781" s="4" t="str">
        <f t="shared" si="38"/>
        <v>PREMINUM MORNING</v>
      </c>
    </row>
    <row r="782" spans="1:16" x14ac:dyDescent="0.3">
      <c r="A782" s="4">
        <v>9</v>
      </c>
      <c r="B782" t="s">
        <v>11</v>
      </c>
      <c r="C782" s="4">
        <v>37.72</v>
      </c>
      <c r="D782" t="s">
        <v>12</v>
      </c>
      <c r="E782" t="s">
        <v>13</v>
      </c>
      <c r="F782" s="4" t="s">
        <v>28</v>
      </c>
      <c r="G782" s="4" t="s">
        <v>33</v>
      </c>
      <c r="H782" s="4">
        <v>3</v>
      </c>
      <c r="I782" s="4">
        <v>6</v>
      </c>
      <c r="J782" s="1">
        <v>45469</v>
      </c>
      <c r="K782" s="2">
        <v>2.2936342592592592E-2</v>
      </c>
      <c r="M782" s="4" t="str">
        <f t="shared" si="36"/>
        <v>HIGH</v>
      </c>
      <c r="N782" s="4" t="str" cm="1">
        <f t="array" ref="N782">_xlfn.IFS(C782&gt;35,"HIGH",C782&gt;25,"MIDDLE",TRUE,"LOW")</f>
        <v>HIGH</v>
      </c>
      <c r="O782" s="4" t="str">
        <f t="shared" si="37"/>
        <v>PREMINUM MORNING</v>
      </c>
      <c r="P782" s="4" t="str">
        <f t="shared" si="38"/>
        <v>PREMINUM MORNING</v>
      </c>
    </row>
    <row r="783" spans="1:16" x14ac:dyDescent="0.3">
      <c r="A783" s="4">
        <v>16</v>
      </c>
      <c r="B783" t="s">
        <v>11</v>
      </c>
      <c r="C783" s="4">
        <v>23.02</v>
      </c>
      <c r="D783" t="s">
        <v>26</v>
      </c>
      <c r="E783" t="s">
        <v>17</v>
      </c>
      <c r="F783" s="4" t="s">
        <v>28</v>
      </c>
      <c r="G783" s="4" t="s">
        <v>33</v>
      </c>
      <c r="H783" s="4">
        <v>3</v>
      </c>
      <c r="I783" s="4">
        <v>6</v>
      </c>
      <c r="J783" s="1">
        <v>45469</v>
      </c>
      <c r="K783" s="2">
        <v>2.2563657407407407E-2</v>
      </c>
      <c r="M783" s="4" t="str">
        <f t="shared" si="36"/>
        <v>LOW</v>
      </c>
      <c r="N783" s="4" t="str" cm="1">
        <f t="array" ref="N783">_xlfn.IFS(C783&gt;35,"HIGH",C783&gt;25,"MIDDLE",TRUE,"LOW")</f>
        <v>LOW</v>
      </c>
      <c r="O783" s="4" t="str">
        <f t="shared" si="37"/>
        <v>OTHERS</v>
      </c>
      <c r="P783" s="4" t="str">
        <f t="shared" si="38"/>
        <v>OTHERS</v>
      </c>
    </row>
    <row r="784" spans="1:16" x14ac:dyDescent="0.3">
      <c r="A784" s="4">
        <v>16</v>
      </c>
      <c r="B784" t="s">
        <v>11</v>
      </c>
      <c r="C784" s="4">
        <v>27.92</v>
      </c>
      <c r="D784" t="s">
        <v>18</v>
      </c>
      <c r="E784" t="s">
        <v>17</v>
      </c>
      <c r="F784" s="4" t="s">
        <v>28</v>
      </c>
      <c r="G784" s="4" t="s">
        <v>33</v>
      </c>
      <c r="H784" s="4">
        <v>3</v>
      </c>
      <c r="I784" s="4">
        <v>6</v>
      </c>
      <c r="J784" s="1">
        <v>45469</v>
      </c>
      <c r="K784" s="2">
        <v>2.3629629629629629E-2</v>
      </c>
      <c r="M784" s="4" t="str">
        <f t="shared" si="36"/>
        <v>LOW</v>
      </c>
      <c r="N784" s="4" t="str" cm="1">
        <f t="array" ref="N784">_xlfn.IFS(C784&gt;35,"HIGH",C784&gt;25,"MIDDLE",TRUE,"LOW")</f>
        <v>MIDDLE</v>
      </c>
      <c r="O784" s="4" t="str">
        <f t="shared" si="37"/>
        <v>OTHERS</v>
      </c>
      <c r="P784" s="4" t="str">
        <f t="shared" si="38"/>
        <v>OTHERS</v>
      </c>
    </row>
    <row r="785" spans="1:16" x14ac:dyDescent="0.3">
      <c r="A785" s="4">
        <v>21</v>
      </c>
      <c r="B785" t="s">
        <v>11</v>
      </c>
      <c r="C785" s="4">
        <v>37.72</v>
      </c>
      <c r="D785" t="s">
        <v>12</v>
      </c>
      <c r="E785" t="s">
        <v>20</v>
      </c>
      <c r="F785" s="4" t="s">
        <v>28</v>
      </c>
      <c r="G785" s="4" t="s">
        <v>33</v>
      </c>
      <c r="H785" s="4">
        <v>3</v>
      </c>
      <c r="I785" s="4">
        <v>6</v>
      </c>
      <c r="J785" s="1">
        <v>45469</v>
      </c>
      <c r="K785" s="2">
        <v>1.5200231481481481E-2</v>
      </c>
      <c r="M785" s="4" t="str">
        <f t="shared" si="36"/>
        <v>HIGH</v>
      </c>
      <c r="N785" s="4" t="str" cm="1">
        <f t="array" ref="N785">_xlfn.IFS(C785&gt;35,"HIGH",C785&gt;25,"MIDDLE",TRUE,"LOW")</f>
        <v>HIGH</v>
      </c>
      <c r="O785" s="4" t="str">
        <f t="shared" si="37"/>
        <v>OTHERS</v>
      </c>
      <c r="P785" s="4" t="str">
        <f t="shared" si="38"/>
        <v>PREMINUM MORNING</v>
      </c>
    </row>
    <row r="786" spans="1:16" x14ac:dyDescent="0.3">
      <c r="A786" s="4">
        <v>21</v>
      </c>
      <c r="B786" t="s">
        <v>11</v>
      </c>
      <c r="C786" s="4">
        <v>37.72</v>
      </c>
      <c r="D786" t="s">
        <v>29</v>
      </c>
      <c r="E786" t="s">
        <v>20</v>
      </c>
      <c r="F786" s="4" t="s">
        <v>28</v>
      </c>
      <c r="G786" s="4" t="s">
        <v>33</v>
      </c>
      <c r="H786" s="4">
        <v>3</v>
      </c>
      <c r="I786" s="4">
        <v>6</v>
      </c>
      <c r="J786" s="1">
        <v>45469</v>
      </c>
      <c r="K786" s="2">
        <v>1.875925925925926E-2</v>
      </c>
      <c r="M786" s="4" t="str">
        <f t="shared" si="36"/>
        <v>HIGH</v>
      </c>
      <c r="N786" s="4" t="str" cm="1">
        <f t="array" ref="N786">_xlfn.IFS(C786&gt;35,"HIGH",C786&gt;25,"MIDDLE",TRUE,"LOW")</f>
        <v>HIGH</v>
      </c>
      <c r="O786" s="4" t="str">
        <f t="shared" si="37"/>
        <v>OTHERS</v>
      </c>
      <c r="P786" s="4" t="str">
        <f t="shared" si="38"/>
        <v>PREMINUM MORNING</v>
      </c>
    </row>
    <row r="787" spans="1:16" x14ac:dyDescent="0.3">
      <c r="A787" s="4">
        <v>21</v>
      </c>
      <c r="B787" t="s">
        <v>11</v>
      </c>
      <c r="C787" s="4">
        <v>32.82</v>
      </c>
      <c r="D787" t="s">
        <v>19</v>
      </c>
      <c r="E787" t="s">
        <v>20</v>
      </c>
      <c r="F787" s="4" t="s">
        <v>28</v>
      </c>
      <c r="G787" s="4" t="s">
        <v>33</v>
      </c>
      <c r="H787" s="4">
        <v>3</v>
      </c>
      <c r="I787" s="4">
        <v>6</v>
      </c>
      <c r="J787" s="1">
        <v>45469</v>
      </c>
      <c r="K787" s="2">
        <v>1.9613425925925927E-2</v>
      </c>
      <c r="M787" s="4" t="str">
        <f t="shared" si="36"/>
        <v>LOW</v>
      </c>
      <c r="N787" s="4" t="str" cm="1">
        <f t="array" ref="N787">_xlfn.IFS(C787&gt;35,"HIGH",C787&gt;25,"MIDDLE",TRUE,"LOW")</f>
        <v>MIDDLE</v>
      </c>
      <c r="O787" s="4" t="str">
        <f t="shared" si="37"/>
        <v>OTHERS</v>
      </c>
      <c r="P787" s="4" t="str">
        <f t="shared" si="38"/>
        <v>OTHERS</v>
      </c>
    </row>
    <row r="788" spans="1:16" x14ac:dyDescent="0.3">
      <c r="A788" s="4">
        <v>9</v>
      </c>
      <c r="B788" t="s">
        <v>11</v>
      </c>
      <c r="C788" s="4">
        <v>32.82</v>
      </c>
      <c r="D788" t="s">
        <v>19</v>
      </c>
      <c r="E788" t="s">
        <v>13</v>
      </c>
      <c r="F788" s="4" t="s">
        <v>30</v>
      </c>
      <c r="G788" s="4" t="s">
        <v>33</v>
      </c>
      <c r="H788" s="4">
        <v>4</v>
      </c>
      <c r="I788" s="4">
        <v>6</v>
      </c>
      <c r="J788" s="1">
        <v>45470</v>
      </c>
      <c r="K788" s="2">
        <v>1.0916666666666667E-2</v>
      </c>
      <c r="M788" s="4" t="str">
        <f t="shared" si="36"/>
        <v>LOW</v>
      </c>
      <c r="N788" s="4" t="str" cm="1">
        <f t="array" ref="N788">_xlfn.IFS(C788&gt;35,"HIGH",C788&gt;25,"MIDDLE",TRUE,"LOW")</f>
        <v>MIDDLE</v>
      </c>
      <c r="O788" s="4" t="str">
        <f t="shared" si="37"/>
        <v>OTHERS</v>
      </c>
      <c r="P788" s="4" t="str">
        <f t="shared" si="38"/>
        <v>PREMINUM MORNING</v>
      </c>
    </row>
    <row r="789" spans="1:16" x14ac:dyDescent="0.3">
      <c r="A789" s="4">
        <v>16</v>
      </c>
      <c r="B789" t="s">
        <v>11</v>
      </c>
      <c r="C789" s="4">
        <v>27.92</v>
      </c>
      <c r="D789" t="s">
        <v>24</v>
      </c>
      <c r="E789" t="s">
        <v>17</v>
      </c>
      <c r="F789" s="4" t="s">
        <v>30</v>
      </c>
      <c r="G789" s="4" t="s">
        <v>33</v>
      </c>
      <c r="H789" s="4">
        <v>4</v>
      </c>
      <c r="I789" s="4">
        <v>6</v>
      </c>
      <c r="J789" s="1">
        <v>45470</v>
      </c>
      <c r="K789" s="3">
        <v>0.67486111111111113</v>
      </c>
      <c r="M789" s="4" t="str">
        <f t="shared" si="36"/>
        <v>LOW</v>
      </c>
      <c r="N789" s="4" t="str" cm="1">
        <f t="array" ref="N789">_xlfn.IFS(C789&gt;35,"HIGH",C789&gt;25,"MIDDLE",TRUE,"LOW")</f>
        <v>MIDDLE</v>
      </c>
      <c r="O789" s="4" t="str">
        <f t="shared" si="37"/>
        <v>OTHERS</v>
      </c>
      <c r="P789" s="4" t="str">
        <f t="shared" si="38"/>
        <v>OTHERS</v>
      </c>
    </row>
    <row r="790" spans="1:16" x14ac:dyDescent="0.3">
      <c r="A790" s="4">
        <v>21</v>
      </c>
      <c r="B790" t="s">
        <v>11</v>
      </c>
      <c r="C790" s="4">
        <v>32.82</v>
      </c>
      <c r="D790" t="s">
        <v>19</v>
      </c>
      <c r="E790" t="s">
        <v>20</v>
      </c>
      <c r="F790" s="4" t="s">
        <v>30</v>
      </c>
      <c r="G790" s="4" t="s">
        <v>33</v>
      </c>
      <c r="H790" s="4">
        <v>4</v>
      </c>
      <c r="I790" s="4">
        <v>6</v>
      </c>
      <c r="J790" s="1">
        <v>45470</v>
      </c>
      <c r="K790" s="2">
        <v>3.0594907407407407E-2</v>
      </c>
      <c r="M790" s="4" t="str">
        <f t="shared" si="36"/>
        <v>LOW</v>
      </c>
      <c r="N790" s="4" t="str" cm="1">
        <f t="array" ref="N790">_xlfn.IFS(C790&gt;35,"HIGH",C790&gt;25,"MIDDLE",TRUE,"LOW")</f>
        <v>MIDDLE</v>
      </c>
      <c r="O790" s="4" t="str">
        <f t="shared" si="37"/>
        <v>OTHERS</v>
      </c>
      <c r="P790" s="4" t="str">
        <f t="shared" si="38"/>
        <v>OTHERS</v>
      </c>
    </row>
    <row r="791" spans="1:16" x14ac:dyDescent="0.3">
      <c r="A791" s="4">
        <v>21</v>
      </c>
      <c r="B791" t="s">
        <v>11</v>
      </c>
      <c r="C791" s="4">
        <v>37.72</v>
      </c>
      <c r="D791" t="s">
        <v>29</v>
      </c>
      <c r="E791" t="s">
        <v>20</v>
      </c>
      <c r="F791" s="4" t="s">
        <v>30</v>
      </c>
      <c r="G791" s="4" t="s">
        <v>33</v>
      </c>
      <c r="H791" s="4">
        <v>4</v>
      </c>
      <c r="I791" s="4">
        <v>6</v>
      </c>
      <c r="J791" s="1">
        <v>45470</v>
      </c>
      <c r="K791" s="2">
        <v>3.508796296296296E-2</v>
      </c>
      <c r="M791" s="4" t="str">
        <f t="shared" si="36"/>
        <v>HIGH</v>
      </c>
      <c r="N791" s="4" t="str" cm="1">
        <f t="array" ref="N791">_xlfn.IFS(C791&gt;35,"HIGH",C791&gt;25,"MIDDLE",TRUE,"LOW")</f>
        <v>HIGH</v>
      </c>
      <c r="O791" s="4" t="str">
        <f t="shared" si="37"/>
        <v>OTHERS</v>
      </c>
      <c r="P791" s="4" t="str">
        <f t="shared" si="38"/>
        <v>PREMINUM MORNING</v>
      </c>
    </row>
    <row r="792" spans="1:16" x14ac:dyDescent="0.3">
      <c r="A792" s="4">
        <v>8</v>
      </c>
      <c r="B792" t="s">
        <v>11</v>
      </c>
      <c r="C792" s="4">
        <v>27.92</v>
      </c>
      <c r="D792" t="s">
        <v>24</v>
      </c>
      <c r="E792" t="s">
        <v>13</v>
      </c>
      <c r="F792" s="4" t="s">
        <v>14</v>
      </c>
      <c r="G792" s="4" t="s">
        <v>33</v>
      </c>
      <c r="H792" s="4">
        <v>5</v>
      </c>
      <c r="I792" s="4">
        <v>6</v>
      </c>
      <c r="J792" s="1">
        <v>45471</v>
      </c>
      <c r="K792" s="2">
        <v>5.9606481481481481E-3</v>
      </c>
      <c r="M792" s="4" t="str">
        <f t="shared" si="36"/>
        <v>LOW</v>
      </c>
      <c r="N792" s="4" t="str" cm="1">
        <f t="array" ref="N792">_xlfn.IFS(C792&gt;35,"HIGH",C792&gt;25,"MIDDLE",TRUE,"LOW")</f>
        <v>MIDDLE</v>
      </c>
      <c r="O792" s="4" t="str">
        <f t="shared" si="37"/>
        <v>OTHERS</v>
      </c>
      <c r="P792" s="4" t="str">
        <f t="shared" si="38"/>
        <v>PREMINUM MORNING</v>
      </c>
    </row>
    <row r="793" spans="1:16" x14ac:dyDescent="0.3">
      <c r="A793" s="4">
        <v>17</v>
      </c>
      <c r="B793" t="s">
        <v>11</v>
      </c>
      <c r="C793" s="4">
        <v>23.02</v>
      </c>
      <c r="D793" t="s">
        <v>26</v>
      </c>
      <c r="E793" t="s">
        <v>20</v>
      </c>
      <c r="F793" s="4" t="s">
        <v>14</v>
      </c>
      <c r="G793" s="4" t="s">
        <v>33</v>
      </c>
      <c r="H793" s="4">
        <v>5</v>
      </c>
      <c r="I793" s="4">
        <v>6</v>
      </c>
      <c r="J793" s="1">
        <v>45471</v>
      </c>
      <c r="K793" s="2">
        <v>3.6041666666666666E-2</v>
      </c>
      <c r="M793" s="4" t="str">
        <f t="shared" si="36"/>
        <v>LOW</v>
      </c>
      <c r="N793" s="4" t="str" cm="1">
        <f t="array" ref="N793">_xlfn.IFS(C793&gt;35,"HIGH",C793&gt;25,"MIDDLE",TRUE,"LOW")</f>
        <v>LOW</v>
      </c>
      <c r="O793" s="4" t="str">
        <f t="shared" si="37"/>
        <v>OTHERS</v>
      </c>
      <c r="P793" s="4" t="str">
        <f t="shared" si="38"/>
        <v>OTHERS</v>
      </c>
    </row>
    <row r="794" spans="1:16" x14ac:dyDescent="0.3">
      <c r="A794" s="4">
        <v>21</v>
      </c>
      <c r="B794" t="s">
        <v>11</v>
      </c>
      <c r="C794" s="4">
        <v>32.82</v>
      </c>
      <c r="D794" t="s">
        <v>19</v>
      </c>
      <c r="E794" t="s">
        <v>20</v>
      </c>
      <c r="F794" s="4" t="s">
        <v>14</v>
      </c>
      <c r="G794" s="4" t="s">
        <v>33</v>
      </c>
      <c r="H794" s="4">
        <v>5</v>
      </c>
      <c r="I794" s="4">
        <v>6</v>
      </c>
      <c r="J794" s="1">
        <v>45471</v>
      </c>
      <c r="K794" s="2">
        <v>3.536342592592593E-2</v>
      </c>
      <c r="M794" s="4" t="str">
        <f t="shared" si="36"/>
        <v>LOW</v>
      </c>
      <c r="N794" s="4" t="str" cm="1">
        <f t="array" ref="N794">_xlfn.IFS(C794&gt;35,"HIGH",C794&gt;25,"MIDDLE",TRUE,"LOW")</f>
        <v>MIDDLE</v>
      </c>
      <c r="O794" s="4" t="str">
        <f t="shared" si="37"/>
        <v>OTHERS</v>
      </c>
      <c r="P794" s="4" t="str">
        <f t="shared" si="38"/>
        <v>OTHERS</v>
      </c>
    </row>
    <row r="795" spans="1:16" x14ac:dyDescent="0.3">
      <c r="A795" s="4">
        <v>21</v>
      </c>
      <c r="B795" t="s">
        <v>11</v>
      </c>
      <c r="C795" s="4">
        <v>37.72</v>
      </c>
      <c r="D795" t="s">
        <v>12</v>
      </c>
      <c r="E795" t="s">
        <v>20</v>
      </c>
      <c r="F795" s="4" t="s">
        <v>14</v>
      </c>
      <c r="G795" s="4" t="s">
        <v>33</v>
      </c>
      <c r="H795" s="4">
        <v>5</v>
      </c>
      <c r="I795" s="4">
        <v>6</v>
      </c>
      <c r="J795" s="1">
        <v>45471</v>
      </c>
      <c r="K795" s="2">
        <v>3.6133101851851854E-2</v>
      </c>
      <c r="M795" s="4" t="str">
        <f t="shared" si="36"/>
        <v>HIGH</v>
      </c>
      <c r="N795" s="4" t="str" cm="1">
        <f t="array" ref="N795">_xlfn.IFS(C795&gt;35,"HIGH",C795&gt;25,"MIDDLE",TRUE,"LOW")</f>
        <v>HIGH</v>
      </c>
      <c r="O795" s="4" t="str">
        <f t="shared" si="37"/>
        <v>OTHERS</v>
      </c>
      <c r="P795" s="4" t="str">
        <f t="shared" si="38"/>
        <v>PREMINUM MORNING</v>
      </c>
    </row>
    <row r="796" spans="1:16" x14ac:dyDescent="0.3">
      <c r="A796" s="4">
        <v>22</v>
      </c>
      <c r="B796" t="s">
        <v>11</v>
      </c>
      <c r="C796" s="4">
        <v>37.72</v>
      </c>
      <c r="D796" t="s">
        <v>29</v>
      </c>
      <c r="E796" t="s">
        <v>20</v>
      </c>
      <c r="F796" s="4" t="s">
        <v>14</v>
      </c>
      <c r="G796" s="4" t="s">
        <v>33</v>
      </c>
      <c r="H796" s="4">
        <v>5</v>
      </c>
      <c r="I796" s="4">
        <v>6</v>
      </c>
      <c r="J796" s="1">
        <v>45471</v>
      </c>
      <c r="K796" s="2">
        <v>1.9675925925925927E-2</v>
      </c>
      <c r="M796" s="4" t="str">
        <f t="shared" si="36"/>
        <v>HIGH</v>
      </c>
      <c r="N796" s="4" t="str" cm="1">
        <f t="array" ref="N796">_xlfn.IFS(C796&gt;35,"HIGH",C796&gt;25,"MIDDLE",TRUE,"LOW")</f>
        <v>HIGH</v>
      </c>
      <c r="O796" s="4" t="str">
        <f t="shared" si="37"/>
        <v>OTHERS</v>
      </c>
      <c r="P796" s="4" t="str">
        <f t="shared" si="38"/>
        <v>PREMINUM MORNING</v>
      </c>
    </row>
    <row r="797" spans="1:16" x14ac:dyDescent="0.3">
      <c r="A797" s="4">
        <v>9</v>
      </c>
      <c r="B797" t="s">
        <v>11</v>
      </c>
      <c r="C797" s="4">
        <v>32.82</v>
      </c>
      <c r="D797" t="s">
        <v>19</v>
      </c>
      <c r="E797" t="s">
        <v>13</v>
      </c>
      <c r="F797" s="4" t="s">
        <v>22</v>
      </c>
      <c r="G797" s="4" t="s">
        <v>33</v>
      </c>
      <c r="H797" s="4">
        <v>6</v>
      </c>
      <c r="I797" s="4">
        <v>6</v>
      </c>
      <c r="J797" s="1">
        <v>45472</v>
      </c>
      <c r="K797" s="2">
        <v>3.2758101851851851E-2</v>
      </c>
      <c r="M797" s="4" t="str">
        <f t="shared" si="36"/>
        <v>LOW</v>
      </c>
      <c r="N797" s="4" t="str" cm="1">
        <f t="array" ref="N797">_xlfn.IFS(C797&gt;35,"HIGH",C797&gt;25,"MIDDLE",TRUE,"LOW")</f>
        <v>MIDDLE</v>
      </c>
      <c r="O797" s="4" t="str">
        <f t="shared" si="37"/>
        <v>OTHERS</v>
      </c>
      <c r="P797" s="4" t="str">
        <f t="shared" si="38"/>
        <v>PREMINUM MORNING</v>
      </c>
    </row>
    <row r="798" spans="1:16" x14ac:dyDescent="0.3">
      <c r="A798" s="4">
        <v>11</v>
      </c>
      <c r="B798" t="s">
        <v>11</v>
      </c>
      <c r="C798" s="4">
        <v>32.82</v>
      </c>
      <c r="D798" t="s">
        <v>19</v>
      </c>
      <c r="E798" t="s">
        <v>13</v>
      </c>
      <c r="F798" s="4" t="s">
        <v>22</v>
      </c>
      <c r="G798" s="4" t="s">
        <v>33</v>
      </c>
      <c r="H798" s="4">
        <v>6</v>
      </c>
      <c r="I798" s="4">
        <v>6</v>
      </c>
      <c r="J798" s="1">
        <v>45472</v>
      </c>
      <c r="K798" s="2">
        <v>2.8004629629629629E-2</v>
      </c>
      <c r="M798" s="4" t="str">
        <f t="shared" si="36"/>
        <v>LOW</v>
      </c>
      <c r="N798" s="4" t="str" cm="1">
        <f t="array" ref="N798">_xlfn.IFS(C798&gt;35,"HIGH",C798&gt;25,"MIDDLE",TRUE,"LOW")</f>
        <v>MIDDLE</v>
      </c>
      <c r="O798" s="4" t="str">
        <f t="shared" si="37"/>
        <v>OTHERS</v>
      </c>
      <c r="P798" s="4" t="str">
        <f t="shared" si="38"/>
        <v>PREMINUM MORNING</v>
      </c>
    </row>
    <row r="799" spans="1:16" x14ac:dyDescent="0.3">
      <c r="A799" s="4">
        <v>11</v>
      </c>
      <c r="B799" t="s">
        <v>11</v>
      </c>
      <c r="C799" s="4">
        <v>32.82</v>
      </c>
      <c r="D799" t="s">
        <v>19</v>
      </c>
      <c r="E799" t="s">
        <v>13</v>
      </c>
      <c r="F799" s="4" t="s">
        <v>22</v>
      </c>
      <c r="G799" s="4" t="s">
        <v>33</v>
      </c>
      <c r="H799" s="4">
        <v>6</v>
      </c>
      <c r="I799" s="4">
        <v>6</v>
      </c>
      <c r="J799" s="1">
        <v>45472</v>
      </c>
      <c r="K799" s="2">
        <v>2.8780092592592593E-2</v>
      </c>
      <c r="M799" s="4" t="str">
        <f t="shared" si="36"/>
        <v>LOW</v>
      </c>
      <c r="N799" s="4" t="str" cm="1">
        <f t="array" ref="N799">_xlfn.IFS(C799&gt;35,"HIGH",C799&gt;25,"MIDDLE",TRUE,"LOW")</f>
        <v>MIDDLE</v>
      </c>
      <c r="O799" s="4" t="str">
        <f t="shared" si="37"/>
        <v>OTHERS</v>
      </c>
      <c r="P799" s="4" t="str">
        <f t="shared" si="38"/>
        <v>PREMINUM MORNING</v>
      </c>
    </row>
    <row r="800" spans="1:16" x14ac:dyDescent="0.3">
      <c r="A800" s="4">
        <v>12</v>
      </c>
      <c r="B800" t="s">
        <v>11</v>
      </c>
      <c r="C800" s="4">
        <v>37.72</v>
      </c>
      <c r="D800" t="s">
        <v>29</v>
      </c>
      <c r="E800" t="s">
        <v>17</v>
      </c>
      <c r="F800" s="4" t="s">
        <v>22</v>
      </c>
      <c r="G800" s="4" t="s">
        <v>33</v>
      </c>
      <c r="H800" s="4">
        <v>6</v>
      </c>
      <c r="I800" s="4">
        <v>6</v>
      </c>
      <c r="J800" s="1">
        <v>45472</v>
      </c>
      <c r="K800" s="2">
        <v>2.111574074074074E-2</v>
      </c>
      <c r="M800" s="4" t="str">
        <f t="shared" si="36"/>
        <v>HIGH</v>
      </c>
      <c r="N800" s="4" t="str" cm="1">
        <f t="array" ref="N800">_xlfn.IFS(C800&gt;35,"HIGH",C800&gt;25,"MIDDLE",TRUE,"LOW")</f>
        <v>HIGH</v>
      </c>
      <c r="O800" s="4" t="str">
        <f t="shared" si="37"/>
        <v>OTHERS</v>
      </c>
      <c r="P800" s="4" t="str">
        <f t="shared" si="38"/>
        <v>PREMINUM MORNING</v>
      </c>
    </row>
    <row r="801" spans="1:16" x14ac:dyDescent="0.3">
      <c r="A801" s="4">
        <v>12</v>
      </c>
      <c r="B801" t="s">
        <v>11</v>
      </c>
      <c r="C801" s="4">
        <v>37.72</v>
      </c>
      <c r="D801" t="s">
        <v>29</v>
      </c>
      <c r="E801" t="s">
        <v>17</v>
      </c>
      <c r="F801" s="4" t="s">
        <v>22</v>
      </c>
      <c r="G801" s="4" t="s">
        <v>33</v>
      </c>
      <c r="H801" s="4">
        <v>6</v>
      </c>
      <c r="I801" s="4">
        <v>6</v>
      </c>
      <c r="J801" s="1">
        <v>45472</v>
      </c>
      <c r="K801" s="2">
        <v>2.2020833333333333E-2</v>
      </c>
      <c r="M801" s="4" t="str">
        <f t="shared" si="36"/>
        <v>HIGH</v>
      </c>
      <c r="N801" s="4" t="str" cm="1">
        <f t="array" ref="N801">_xlfn.IFS(C801&gt;35,"HIGH",C801&gt;25,"MIDDLE",TRUE,"LOW")</f>
        <v>HIGH</v>
      </c>
      <c r="O801" s="4" t="str">
        <f t="shared" si="37"/>
        <v>OTHERS</v>
      </c>
      <c r="P801" s="4" t="str">
        <f t="shared" si="38"/>
        <v>PREMINUM MORNING</v>
      </c>
    </row>
    <row r="802" spans="1:16" x14ac:dyDescent="0.3">
      <c r="A802" s="4">
        <v>17</v>
      </c>
      <c r="B802" t="s">
        <v>11</v>
      </c>
      <c r="C802" s="4">
        <v>37.72</v>
      </c>
      <c r="D802" t="s">
        <v>29</v>
      </c>
      <c r="E802" t="s">
        <v>20</v>
      </c>
      <c r="F802" s="4" t="s">
        <v>22</v>
      </c>
      <c r="G802" s="4" t="s">
        <v>33</v>
      </c>
      <c r="H802" s="4">
        <v>6</v>
      </c>
      <c r="I802" s="4">
        <v>6</v>
      </c>
      <c r="J802" s="1">
        <v>45472</v>
      </c>
      <c r="K802" s="2">
        <v>1.647685185185185E-2</v>
      </c>
      <c r="M802" s="4" t="str">
        <f t="shared" si="36"/>
        <v>HIGH</v>
      </c>
      <c r="N802" s="4" t="str" cm="1">
        <f t="array" ref="N802">_xlfn.IFS(C802&gt;35,"HIGH",C802&gt;25,"MIDDLE",TRUE,"LOW")</f>
        <v>HIGH</v>
      </c>
      <c r="O802" s="4" t="str">
        <f t="shared" si="37"/>
        <v>OTHERS</v>
      </c>
      <c r="P802" s="4" t="str">
        <f t="shared" si="38"/>
        <v>PREMINUM MORNING</v>
      </c>
    </row>
    <row r="803" spans="1:16" x14ac:dyDescent="0.3">
      <c r="A803" s="4">
        <v>17</v>
      </c>
      <c r="B803" t="s">
        <v>11</v>
      </c>
      <c r="C803" s="4">
        <v>37.72</v>
      </c>
      <c r="D803" t="s">
        <v>16</v>
      </c>
      <c r="E803" t="s">
        <v>20</v>
      </c>
      <c r="F803" s="4" t="s">
        <v>22</v>
      </c>
      <c r="G803" s="4" t="s">
        <v>33</v>
      </c>
      <c r="H803" s="4">
        <v>6</v>
      </c>
      <c r="I803" s="4">
        <v>6</v>
      </c>
      <c r="J803" s="1">
        <v>45472</v>
      </c>
      <c r="K803" s="2">
        <v>1.7273148148148149E-2</v>
      </c>
      <c r="M803" s="4" t="str">
        <f t="shared" si="36"/>
        <v>HIGH</v>
      </c>
      <c r="N803" s="4" t="str" cm="1">
        <f t="array" ref="N803">_xlfn.IFS(C803&gt;35,"HIGH",C803&gt;25,"MIDDLE",TRUE,"LOW")</f>
        <v>HIGH</v>
      </c>
      <c r="O803" s="4" t="str">
        <f t="shared" si="37"/>
        <v>OTHERS</v>
      </c>
      <c r="P803" s="4" t="str">
        <f t="shared" si="38"/>
        <v>PREMINUM MORNING</v>
      </c>
    </row>
    <row r="804" spans="1:16" x14ac:dyDescent="0.3">
      <c r="A804" s="4">
        <v>21</v>
      </c>
      <c r="B804" t="s">
        <v>11</v>
      </c>
      <c r="C804" s="4">
        <v>37.72</v>
      </c>
      <c r="D804" t="s">
        <v>12</v>
      </c>
      <c r="E804" t="s">
        <v>20</v>
      </c>
      <c r="F804" s="4" t="s">
        <v>22</v>
      </c>
      <c r="G804" s="4" t="s">
        <v>33</v>
      </c>
      <c r="H804" s="4">
        <v>6</v>
      </c>
      <c r="I804" s="4">
        <v>6</v>
      </c>
      <c r="J804" s="1">
        <v>45472</v>
      </c>
      <c r="K804" s="2">
        <v>1.900925925925926E-2</v>
      </c>
      <c r="M804" s="4" t="str">
        <f t="shared" si="36"/>
        <v>HIGH</v>
      </c>
      <c r="N804" s="4" t="str" cm="1">
        <f t="array" ref="N804">_xlfn.IFS(C804&gt;35,"HIGH",C804&gt;25,"MIDDLE",TRUE,"LOW")</f>
        <v>HIGH</v>
      </c>
      <c r="O804" s="4" t="str">
        <f t="shared" si="37"/>
        <v>OTHERS</v>
      </c>
      <c r="P804" s="4" t="str">
        <f t="shared" si="38"/>
        <v>PREMINUM MORNING</v>
      </c>
    </row>
    <row r="805" spans="1:16" x14ac:dyDescent="0.3">
      <c r="A805" s="4">
        <v>10</v>
      </c>
      <c r="B805" t="s">
        <v>11</v>
      </c>
      <c r="C805" s="4">
        <v>37.72</v>
      </c>
      <c r="D805" t="s">
        <v>12</v>
      </c>
      <c r="E805" t="s">
        <v>13</v>
      </c>
      <c r="F805" s="4" t="s">
        <v>23</v>
      </c>
      <c r="G805" s="4" t="s">
        <v>33</v>
      </c>
      <c r="H805" s="4">
        <v>7</v>
      </c>
      <c r="I805" s="4">
        <v>6</v>
      </c>
      <c r="J805" s="1">
        <v>45473</v>
      </c>
      <c r="K805" s="2">
        <v>1.9557870370370371E-2</v>
      </c>
      <c r="M805" s="4" t="str">
        <f t="shared" si="36"/>
        <v>HIGH</v>
      </c>
      <c r="N805" s="4" t="str" cm="1">
        <f t="array" ref="N805">_xlfn.IFS(C805&gt;35,"HIGH",C805&gt;25,"MIDDLE",TRUE,"LOW")</f>
        <v>HIGH</v>
      </c>
      <c r="O805" s="4" t="str">
        <f t="shared" si="37"/>
        <v>PREMINUM MORNING</v>
      </c>
      <c r="P805" s="4" t="str">
        <f t="shared" si="38"/>
        <v>PREMINUM MORNING</v>
      </c>
    </row>
    <row r="806" spans="1:16" x14ac:dyDescent="0.3">
      <c r="A806" s="4">
        <v>13</v>
      </c>
      <c r="B806" t="s">
        <v>11</v>
      </c>
      <c r="C806" s="4">
        <v>23.02</v>
      </c>
      <c r="D806" t="s">
        <v>26</v>
      </c>
      <c r="E806" t="s">
        <v>17</v>
      </c>
      <c r="F806" s="4" t="s">
        <v>23</v>
      </c>
      <c r="G806" s="4" t="s">
        <v>33</v>
      </c>
      <c r="H806" s="4">
        <v>7</v>
      </c>
      <c r="I806" s="4">
        <v>6</v>
      </c>
      <c r="J806" s="1">
        <v>45473</v>
      </c>
      <c r="K806" s="2">
        <v>4.0578703703703705E-3</v>
      </c>
      <c r="M806" s="4" t="str">
        <f t="shared" si="36"/>
        <v>LOW</v>
      </c>
      <c r="N806" s="4" t="str" cm="1">
        <f t="array" ref="N806">_xlfn.IFS(C806&gt;35,"HIGH",C806&gt;25,"MIDDLE",TRUE,"LOW")</f>
        <v>LOW</v>
      </c>
      <c r="O806" s="4" t="str">
        <f t="shared" si="37"/>
        <v>OTHERS</v>
      </c>
      <c r="P806" s="4" t="str">
        <f t="shared" si="38"/>
        <v>OTHERS</v>
      </c>
    </row>
    <row r="807" spans="1:16" x14ac:dyDescent="0.3">
      <c r="A807" s="4">
        <v>16</v>
      </c>
      <c r="B807" t="s">
        <v>11</v>
      </c>
      <c r="C807" s="4">
        <v>37.72</v>
      </c>
      <c r="D807" t="s">
        <v>16</v>
      </c>
      <c r="E807" t="s">
        <v>17</v>
      </c>
      <c r="F807" s="4" t="s">
        <v>23</v>
      </c>
      <c r="G807" s="4" t="s">
        <v>33</v>
      </c>
      <c r="H807" s="4">
        <v>7</v>
      </c>
      <c r="I807" s="4">
        <v>6</v>
      </c>
      <c r="J807" s="1">
        <v>45473</v>
      </c>
      <c r="K807" s="2">
        <v>3.7982638888888885E-2</v>
      </c>
      <c r="M807" s="4" t="str">
        <f t="shared" si="36"/>
        <v>HIGH</v>
      </c>
      <c r="N807" s="4" t="str" cm="1">
        <f t="array" ref="N807">_xlfn.IFS(C807&gt;35,"HIGH",C807&gt;25,"MIDDLE",TRUE,"LOW")</f>
        <v>HIGH</v>
      </c>
      <c r="O807" s="4" t="str">
        <f t="shared" si="37"/>
        <v>OTHERS</v>
      </c>
      <c r="P807" s="4" t="str">
        <f t="shared" si="38"/>
        <v>PREMINUM MORNING</v>
      </c>
    </row>
    <row r="808" spans="1:16" x14ac:dyDescent="0.3">
      <c r="A808" s="4">
        <v>21</v>
      </c>
      <c r="B808" t="s">
        <v>11</v>
      </c>
      <c r="C808" s="4">
        <v>32.82</v>
      </c>
      <c r="D808" t="s">
        <v>19</v>
      </c>
      <c r="E808" t="s">
        <v>20</v>
      </c>
      <c r="F808" s="4" t="s">
        <v>23</v>
      </c>
      <c r="G808" s="4" t="s">
        <v>33</v>
      </c>
      <c r="H808" s="4">
        <v>7</v>
      </c>
      <c r="I808" s="4">
        <v>6</v>
      </c>
      <c r="J808" s="1">
        <v>45473</v>
      </c>
      <c r="K808" s="2">
        <v>2.8900462962962964E-3</v>
      </c>
      <c r="M808" s="4" t="str">
        <f t="shared" si="36"/>
        <v>LOW</v>
      </c>
      <c r="N808" s="4" t="str" cm="1">
        <f t="array" ref="N808">_xlfn.IFS(C808&gt;35,"HIGH",C808&gt;25,"MIDDLE",TRUE,"LOW")</f>
        <v>MIDDLE</v>
      </c>
      <c r="O808" s="4" t="str">
        <f t="shared" si="37"/>
        <v>OTHERS</v>
      </c>
      <c r="P808" s="4" t="str">
        <f t="shared" si="38"/>
        <v>OTHERS</v>
      </c>
    </row>
    <row r="809" spans="1:16" x14ac:dyDescent="0.3">
      <c r="A809" s="4">
        <v>18</v>
      </c>
      <c r="B809" t="s">
        <v>11</v>
      </c>
      <c r="C809" s="4">
        <v>23.02</v>
      </c>
      <c r="D809" t="s">
        <v>26</v>
      </c>
      <c r="E809" t="s">
        <v>20</v>
      </c>
      <c r="F809" s="4" t="s">
        <v>25</v>
      </c>
      <c r="G809" s="4" t="s">
        <v>34</v>
      </c>
      <c r="H809" s="4">
        <v>1</v>
      </c>
      <c r="I809" s="4">
        <v>7</v>
      </c>
      <c r="J809" s="1">
        <v>45474</v>
      </c>
      <c r="K809" s="2">
        <v>5.1712962962962962E-3</v>
      </c>
      <c r="M809" s="4" t="str">
        <f t="shared" si="36"/>
        <v>LOW</v>
      </c>
      <c r="N809" s="4" t="str" cm="1">
        <f t="array" ref="N809">_xlfn.IFS(C809&gt;35,"HIGH",C809&gt;25,"MIDDLE",TRUE,"LOW")</f>
        <v>LOW</v>
      </c>
      <c r="O809" s="4" t="str">
        <f t="shared" si="37"/>
        <v>OTHERS</v>
      </c>
      <c r="P809" s="4" t="str">
        <f t="shared" si="38"/>
        <v>OTHERS</v>
      </c>
    </row>
    <row r="810" spans="1:16" x14ac:dyDescent="0.3">
      <c r="A810" s="4">
        <v>18</v>
      </c>
      <c r="B810" t="s">
        <v>11</v>
      </c>
      <c r="C810" s="4">
        <v>37.72</v>
      </c>
      <c r="D810" t="s">
        <v>29</v>
      </c>
      <c r="E810" t="s">
        <v>20</v>
      </c>
      <c r="F810" s="4" t="s">
        <v>25</v>
      </c>
      <c r="G810" s="4" t="s">
        <v>34</v>
      </c>
      <c r="H810" s="4">
        <v>1</v>
      </c>
      <c r="I810" s="4">
        <v>7</v>
      </c>
      <c r="J810" s="1">
        <v>45474</v>
      </c>
      <c r="K810" s="2">
        <v>3.9488425925925927E-2</v>
      </c>
      <c r="M810" s="4" t="str">
        <f t="shared" si="36"/>
        <v>HIGH</v>
      </c>
      <c r="N810" s="4" t="str" cm="1">
        <f t="array" ref="N810">_xlfn.IFS(C810&gt;35,"HIGH",C810&gt;25,"MIDDLE",TRUE,"LOW")</f>
        <v>HIGH</v>
      </c>
      <c r="O810" s="4" t="str">
        <f t="shared" si="37"/>
        <v>OTHERS</v>
      </c>
      <c r="P810" s="4" t="str">
        <f t="shared" si="38"/>
        <v>PREMINUM MORNING</v>
      </c>
    </row>
    <row r="811" spans="1:16" x14ac:dyDescent="0.3">
      <c r="A811" s="4">
        <v>18</v>
      </c>
      <c r="B811" t="s">
        <v>11</v>
      </c>
      <c r="C811" s="4">
        <v>37.72</v>
      </c>
      <c r="D811" t="s">
        <v>29</v>
      </c>
      <c r="E811" t="s">
        <v>20</v>
      </c>
      <c r="F811" s="4" t="s">
        <v>25</v>
      </c>
      <c r="G811" s="4" t="s">
        <v>34</v>
      </c>
      <c r="H811" s="4">
        <v>1</v>
      </c>
      <c r="I811" s="4">
        <v>7</v>
      </c>
      <c r="J811" s="1">
        <v>45474</v>
      </c>
      <c r="K811" s="2">
        <v>4.0211805555555556E-2</v>
      </c>
      <c r="M811" s="4" t="str">
        <f t="shared" si="36"/>
        <v>HIGH</v>
      </c>
      <c r="N811" s="4" t="str" cm="1">
        <f t="array" ref="N811">_xlfn.IFS(C811&gt;35,"HIGH",C811&gt;25,"MIDDLE",TRUE,"LOW")</f>
        <v>HIGH</v>
      </c>
      <c r="O811" s="4" t="str">
        <f t="shared" si="37"/>
        <v>OTHERS</v>
      </c>
      <c r="P811" s="4" t="str">
        <f t="shared" si="38"/>
        <v>PREMINUM MORNING</v>
      </c>
    </row>
    <row r="812" spans="1:16" x14ac:dyDescent="0.3">
      <c r="A812" s="4">
        <v>10</v>
      </c>
      <c r="B812" t="s">
        <v>11</v>
      </c>
      <c r="C812" s="4">
        <v>32.82</v>
      </c>
      <c r="D812" t="s">
        <v>19</v>
      </c>
      <c r="E812" t="s">
        <v>13</v>
      </c>
      <c r="F812" s="4" t="s">
        <v>27</v>
      </c>
      <c r="G812" s="4" t="s">
        <v>34</v>
      </c>
      <c r="H812" s="4">
        <v>2</v>
      </c>
      <c r="I812" s="4">
        <v>7</v>
      </c>
      <c r="J812" s="1">
        <v>45475</v>
      </c>
      <c r="K812" s="2">
        <v>2.9792824074074072E-2</v>
      </c>
      <c r="M812" s="4" t="str">
        <f t="shared" si="36"/>
        <v>LOW</v>
      </c>
      <c r="N812" s="4" t="str" cm="1">
        <f t="array" ref="N812">_xlfn.IFS(C812&gt;35,"HIGH",C812&gt;25,"MIDDLE",TRUE,"LOW")</f>
        <v>MIDDLE</v>
      </c>
      <c r="O812" s="4" t="str">
        <f t="shared" si="37"/>
        <v>OTHERS</v>
      </c>
      <c r="P812" s="4" t="str">
        <f t="shared" si="38"/>
        <v>PREMINUM MORNING</v>
      </c>
    </row>
    <row r="813" spans="1:16" x14ac:dyDescent="0.3">
      <c r="A813" s="4">
        <v>10</v>
      </c>
      <c r="B813" t="s">
        <v>11</v>
      </c>
      <c r="C813" s="4">
        <v>27.92</v>
      </c>
      <c r="D813" t="s">
        <v>18</v>
      </c>
      <c r="E813" t="s">
        <v>13</v>
      </c>
      <c r="F813" s="4" t="s">
        <v>27</v>
      </c>
      <c r="G813" s="4" t="s">
        <v>34</v>
      </c>
      <c r="H813" s="4">
        <v>2</v>
      </c>
      <c r="I813" s="4">
        <v>7</v>
      </c>
      <c r="J813" s="1">
        <v>45475</v>
      </c>
      <c r="K813" s="2">
        <v>3.1256944444444441E-2</v>
      </c>
      <c r="M813" s="4" t="str">
        <f t="shared" si="36"/>
        <v>LOW</v>
      </c>
      <c r="N813" s="4" t="str" cm="1">
        <f t="array" ref="N813">_xlfn.IFS(C813&gt;35,"HIGH",C813&gt;25,"MIDDLE",TRUE,"LOW")</f>
        <v>MIDDLE</v>
      </c>
      <c r="O813" s="4" t="str">
        <f t="shared" si="37"/>
        <v>OTHERS</v>
      </c>
      <c r="P813" s="4" t="str">
        <f t="shared" si="38"/>
        <v>PREMINUM MORNING</v>
      </c>
    </row>
    <row r="814" spans="1:16" x14ac:dyDescent="0.3">
      <c r="A814" s="4">
        <v>12</v>
      </c>
      <c r="B814" t="s">
        <v>11</v>
      </c>
      <c r="C814" s="4">
        <v>37.72</v>
      </c>
      <c r="D814" t="s">
        <v>12</v>
      </c>
      <c r="E814" t="s">
        <v>17</v>
      </c>
      <c r="F814" s="4" t="s">
        <v>27</v>
      </c>
      <c r="G814" s="4" t="s">
        <v>34</v>
      </c>
      <c r="H814" s="4">
        <v>2</v>
      </c>
      <c r="I814" s="4">
        <v>7</v>
      </c>
      <c r="J814" s="1">
        <v>45475</v>
      </c>
      <c r="K814" s="2">
        <v>3.3393518518518517E-2</v>
      </c>
      <c r="M814" s="4" t="str">
        <f t="shared" si="36"/>
        <v>HIGH</v>
      </c>
      <c r="N814" s="4" t="str" cm="1">
        <f t="array" ref="N814">_xlfn.IFS(C814&gt;35,"HIGH",C814&gt;25,"MIDDLE",TRUE,"LOW")</f>
        <v>HIGH</v>
      </c>
      <c r="O814" s="4" t="str">
        <f t="shared" si="37"/>
        <v>OTHERS</v>
      </c>
      <c r="P814" s="4" t="str">
        <f t="shared" si="38"/>
        <v>PREMINUM MORNING</v>
      </c>
    </row>
    <row r="815" spans="1:16" x14ac:dyDescent="0.3">
      <c r="A815" s="4">
        <v>14</v>
      </c>
      <c r="B815" t="s">
        <v>11</v>
      </c>
      <c r="C815" s="4">
        <v>27.92</v>
      </c>
      <c r="D815" t="s">
        <v>18</v>
      </c>
      <c r="E815" t="s">
        <v>17</v>
      </c>
      <c r="F815" s="4" t="s">
        <v>27</v>
      </c>
      <c r="G815" s="4" t="s">
        <v>34</v>
      </c>
      <c r="H815" s="4">
        <v>2</v>
      </c>
      <c r="I815" s="4">
        <v>7</v>
      </c>
      <c r="J815" s="1">
        <v>45475</v>
      </c>
      <c r="K815" s="2">
        <v>2.236111111111111E-3</v>
      </c>
      <c r="M815" s="4" t="str">
        <f t="shared" si="36"/>
        <v>LOW</v>
      </c>
      <c r="N815" s="4" t="str" cm="1">
        <f t="array" ref="N815">_xlfn.IFS(C815&gt;35,"HIGH",C815&gt;25,"MIDDLE",TRUE,"LOW")</f>
        <v>MIDDLE</v>
      </c>
      <c r="O815" s="4" t="str">
        <f t="shared" si="37"/>
        <v>OTHERS</v>
      </c>
      <c r="P815" s="4" t="str">
        <f t="shared" si="38"/>
        <v>OTHERS</v>
      </c>
    </row>
    <row r="816" spans="1:16" x14ac:dyDescent="0.3">
      <c r="A816" s="4">
        <v>16</v>
      </c>
      <c r="B816" t="s">
        <v>11</v>
      </c>
      <c r="C816" s="4">
        <v>32.82</v>
      </c>
      <c r="D816" t="s">
        <v>19</v>
      </c>
      <c r="E816" t="s">
        <v>17</v>
      </c>
      <c r="F816" s="4" t="s">
        <v>27</v>
      </c>
      <c r="G816" s="4" t="s">
        <v>34</v>
      </c>
      <c r="H816" s="4">
        <v>2</v>
      </c>
      <c r="I816" s="4">
        <v>7</v>
      </c>
      <c r="J816" s="1">
        <v>45475</v>
      </c>
      <c r="K816" s="2">
        <v>2.1809027777777778E-2</v>
      </c>
      <c r="M816" s="4" t="str">
        <f t="shared" si="36"/>
        <v>LOW</v>
      </c>
      <c r="N816" s="4" t="str" cm="1">
        <f t="array" ref="N816">_xlfn.IFS(C816&gt;35,"HIGH",C816&gt;25,"MIDDLE",TRUE,"LOW")</f>
        <v>MIDDLE</v>
      </c>
      <c r="O816" s="4" t="str">
        <f t="shared" si="37"/>
        <v>OTHERS</v>
      </c>
      <c r="P816" s="4" t="str">
        <f t="shared" si="38"/>
        <v>OTHERS</v>
      </c>
    </row>
    <row r="817" spans="1:16" x14ac:dyDescent="0.3">
      <c r="A817" s="4">
        <v>22</v>
      </c>
      <c r="B817" t="s">
        <v>11</v>
      </c>
      <c r="C817" s="4">
        <v>32.82</v>
      </c>
      <c r="D817" t="s">
        <v>19</v>
      </c>
      <c r="E817" t="s">
        <v>20</v>
      </c>
      <c r="F817" s="4" t="s">
        <v>27</v>
      </c>
      <c r="G817" s="4" t="s">
        <v>34</v>
      </c>
      <c r="H817" s="4">
        <v>2</v>
      </c>
      <c r="I817" s="4">
        <v>7</v>
      </c>
      <c r="J817" s="1">
        <v>45475</v>
      </c>
      <c r="K817" s="2">
        <v>1.662037037037037E-3</v>
      </c>
      <c r="M817" s="4" t="str">
        <f t="shared" si="36"/>
        <v>LOW</v>
      </c>
      <c r="N817" s="4" t="str" cm="1">
        <f t="array" ref="N817">_xlfn.IFS(C817&gt;35,"HIGH",C817&gt;25,"MIDDLE",TRUE,"LOW")</f>
        <v>MIDDLE</v>
      </c>
      <c r="O817" s="4" t="str">
        <f t="shared" si="37"/>
        <v>OTHERS</v>
      </c>
      <c r="P817" s="4" t="str">
        <f t="shared" si="38"/>
        <v>OTHERS</v>
      </c>
    </row>
    <row r="818" spans="1:16" x14ac:dyDescent="0.3">
      <c r="A818" s="4">
        <v>13</v>
      </c>
      <c r="B818" t="s">
        <v>11</v>
      </c>
      <c r="C818" s="4">
        <v>32.82</v>
      </c>
      <c r="D818" t="s">
        <v>19</v>
      </c>
      <c r="E818" t="s">
        <v>17</v>
      </c>
      <c r="F818" s="4" t="s">
        <v>28</v>
      </c>
      <c r="G818" s="4" t="s">
        <v>34</v>
      </c>
      <c r="H818" s="4">
        <v>3</v>
      </c>
      <c r="I818" s="4">
        <v>7</v>
      </c>
      <c r="J818" s="1">
        <v>45476</v>
      </c>
      <c r="K818" s="2">
        <v>3.5589120370370368E-2</v>
      </c>
      <c r="M818" s="4" t="str">
        <f t="shared" si="36"/>
        <v>LOW</v>
      </c>
      <c r="N818" s="4" t="str" cm="1">
        <f t="array" ref="N818">_xlfn.IFS(C818&gt;35,"HIGH",C818&gt;25,"MIDDLE",TRUE,"LOW")</f>
        <v>MIDDLE</v>
      </c>
      <c r="O818" s="4" t="str">
        <f t="shared" si="37"/>
        <v>OTHERS</v>
      </c>
      <c r="P818" s="4" t="str">
        <f t="shared" si="38"/>
        <v>OTHERS</v>
      </c>
    </row>
    <row r="819" spans="1:16" x14ac:dyDescent="0.3">
      <c r="A819" s="4">
        <v>16</v>
      </c>
      <c r="B819" t="s">
        <v>11</v>
      </c>
      <c r="C819" s="4">
        <v>37.72</v>
      </c>
      <c r="D819" t="s">
        <v>29</v>
      </c>
      <c r="E819" t="s">
        <v>17</v>
      </c>
      <c r="F819" s="4" t="s">
        <v>28</v>
      </c>
      <c r="G819" s="4" t="s">
        <v>34</v>
      </c>
      <c r="H819" s="4">
        <v>3</v>
      </c>
      <c r="I819" s="4">
        <v>7</v>
      </c>
      <c r="J819" s="1">
        <v>45476</v>
      </c>
      <c r="K819" s="2">
        <v>8.8657407407407402E-4</v>
      </c>
      <c r="M819" s="4" t="str">
        <f t="shared" si="36"/>
        <v>HIGH</v>
      </c>
      <c r="N819" s="4" t="str" cm="1">
        <f t="array" ref="N819">_xlfn.IFS(C819&gt;35,"HIGH",C819&gt;25,"MIDDLE",TRUE,"LOW")</f>
        <v>HIGH</v>
      </c>
      <c r="O819" s="4" t="str">
        <f t="shared" si="37"/>
        <v>OTHERS</v>
      </c>
      <c r="P819" s="4" t="str">
        <f t="shared" si="38"/>
        <v>PREMINUM MORNING</v>
      </c>
    </row>
    <row r="820" spans="1:16" x14ac:dyDescent="0.3">
      <c r="A820" s="4">
        <v>16</v>
      </c>
      <c r="B820" t="s">
        <v>11</v>
      </c>
      <c r="C820" s="4">
        <v>37.72</v>
      </c>
      <c r="D820" t="s">
        <v>29</v>
      </c>
      <c r="E820" t="s">
        <v>17</v>
      </c>
      <c r="F820" s="4" t="s">
        <v>28</v>
      </c>
      <c r="G820" s="4" t="s">
        <v>34</v>
      </c>
      <c r="H820" s="4">
        <v>3</v>
      </c>
      <c r="I820" s="4">
        <v>7</v>
      </c>
      <c r="J820" s="1">
        <v>45476</v>
      </c>
      <c r="K820" s="2">
        <v>3.5013888888888886E-2</v>
      </c>
      <c r="M820" s="4" t="str">
        <f t="shared" si="36"/>
        <v>HIGH</v>
      </c>
      <c r="N820" s="4" t="str" cm="1">
        <f t="array" ref="N820">_xlfn.IFS(C820&gt;35,"HIGH",C820&gt;25,"MIDDLE",TRUE,"LOW")</f>
        <v>HIGH</v>
      </c>
      <c r="O820" s="4" t="str">
        <f t="shared" si="37"/>
        <v>OTHERS</v>
      </c>
      <c r="P820" s="4" t="str">
        <f t="shared" si="38"/>
        <v>PREMINUM MORNING</v>
      </c>
    </row>
    <row r="821" spans="1:16" x14ac:dyDescent="0.3">
      <c r="A821" s="4">
        <v>16</v>
      </c>
      <c r="B821" t="s">
        <v>11</v>
      </c>
      <c r="C821" s="4">
        <v>32.82</v>
      </c>
      <c r="D821" t="s">
        <v>19</v>
      </c>
      <c r="E821" t="s">
        <v>17</v>
      </c>
      <c r="F821" s="4" t="s">
        <v>28</v>
      </c>
      <c r="G821" s="4" t="s">
        <v>34</v>
      </c>
      <c r="H821" s="4">
        <v>3</v>
      </c>
      <c r="I821" s="4">
        <v>7</v>
      </c>
      <c r="J821" s="1">
        <v>45476</v>
      </c>
      <c r="K821" s="2">
        <v>3.6986111111111108E-2</v>
      </c>
      <c r="M821" s="4" t="str">
        <f t="shared" si="36"/>
        <v>LOW</v>
      </c>
      <c r="N821" s="4" t="str" cm="1">
        <f t="array" ref="N821">_xlfn.IFS(C821&gt;35,"HIGH",C821&gt;25,"MIDDLE",TRUE,"LOW")</f>
        <v>MIDDLE</v>
      </c>
      <c r="O821" s="4" t="str">
        <f t="shared" si="37"/>
        <v>OTHERS</v>
      </c>
      <c r="P821" s="4" t="str">
        <f t="shared" si="38"/>
        <v>OTHERS</v>
      </c>
    </row>
    <row r="822" spans="1:16" x14ac:dyDescent="0.3">
      <c r="A822" s="4">
        <v>16</v>
      </c>
      <c r="B822" t="s">
        <v>11</v>
      </c>
      <c r="C822" s="4">
        <v>32.82</v>
      </c>
      <c r="D822" t="s">
        <v>19</v>
      </c>
      <c r="E822" t="s">
        <v>17</v>
      </c>
      <c r="F822" s="4" t="s">
        <v>28</v>
      </c>
      <c r="G822" s="4" t="s">
        <v>34</v>
      </c>
      <c r="H822" s="4">
        <v>3</v>
      </c>
      <c r="I822" s="4">
        <v>7</v>
      </c>
      <c r="J822" s="1">
        <v>45476</v>
      </c>
      <c r="K822" s="2">
        <v>3.7765046296296297E-2</v>
      </c>
      <c r="M822" s="4" t="str">
        <f t="shared" si="36"/>
        <v>LOW</v>
      </c>
      <c r="N822" s="4" t="str" cm="1">
        <f t="array" ref="N822">_xlfn.IFS(C822&gt;35,"HIGH",C822&gt;25,"MIDDLE",TRUE,"LOW")</f>
        <v>MIDDLE</v>
      </c>
      <c r="O822" s="4" t="str">
        <f t="shared" si="37"/>
        <v>OTHERS</v>
      </c>
      <c r="P822" s="4" t="str">
        <f t="shared" si="38"/>
        <v>OTHERS</v>
      </c>
    </row>
    <row r="823" spans="1:16" x14ac:dyDescent="0.3">
      <c r="A823" s="4">
        <v>16</v>
      </c>
      <c r="B823" t="s">
        <v>11</v>
      </c>
      <c r="C823" s="4">
        <v>37.72</v>
      </c>
      <c r="D823" t="s">
        <v>12</v>
      </c>
      <c r="E823" t="s">
        <v>17</v>
      </c>
      <c r="F823" s="4" t="s">
        <v>28</v>
      </c>
      <c r="G823" s="4" t="s">
        <v>34</v>
      </c>
      <c r="H823" s="4">
        <v>3</v>
      </c>
      <c r="I823" s="4">
        <v>7</v>
      </c>
      <c r="J823" s="1">
        <v>45476</v>
      </c>
      <c r="K823" s="2">
        <v>3.8557870370370374E-2</v>
      </c>
      <c r="M823" s="4" t="str">
        <f t="shared" si="36"/>
        <v>HIGH</v>
      </c>
      <c r="N823" s="4" t="str" cm="1">
        <f t="array" ref="N823">_xlfn.IFS(C823&gt;35,"HIGH",C823&gt;25,"MIDDLE",TRUE,"LOW")</f>
        <v>HIGH</v>
      </c>
      <c r="O823" s="4" t="str">
        <f t="shared" si="37"/>
        <v>OTHERS</v>
      </c>
      <c r="P823" s="4" t="str">
        <f t="shared" si="38"/>
        <v>PREMINUM MORNING</v>
      </c>
    </row>
    <row r="824" spans="1:16" x14ac:dyDescent="0.3">
      <c r="A824" s="4">
        <v>16</v>
      </c>
      <c r="B824" t="s">
        <v>11</v>
      </c>
      <c r="C824" s="4">
        <v>23.02</v>
      </c>
      <c r="D824" t="s">
        <v>26</v>
      </c>
      <c r="E824" t="s">
        <v>17</v>
      </c>
      <c r="F824" s="4" t="s">
        <v>28</v>
      </c>
      <c r="G824" s="4" t="s">
        <v>34</v>
      </c>
      <c r="H824" s="4">
        <v>3</v>
      </c>
      <c r="I824" s="4">
        <v>7</v>
      </c>
      <c r="J824" s="1">
        <v>45476</v>
      </c>
      <c r="K824" s="2">
        <v>4.1268518518518517E-2</v>
      </c>
      <c r="M824" s="4" t="str">
        <f t="shared" si="36"/>
        <v>LOW</v>
      </c>
      <c r="N824" s="4" t="str" cm="1">
        <f t="array" ref="N824">_xlfn.IFS(C824&gt;35,"HIGH",C824&gt;25,"MIDDLE",TRUE,"LOW")</f>
        <v>LOW</v>
      </c>
      <c r="O824" s="4" t="str">
        <f t="shared" si="37"/>
        <v>OTHERS</v>
      </c>
      <c r="P824" s="4" t="str">
        <f t="shared" si="38"/>
        <v>OTHERS</v>
      </c>
    </row>
    <row r="825" spans="1:16" x14ac:dyDescent="0.3">
      <c r="A825" s="4">
        <v>17</v>
      </c>
      <c r="B825" t="s">
        <v>11</v>
      </c>
      <c r="C825" s="4">
        <v>37.72</v>
      </c>
      <c r="D825" t="s">
        <v>29</v>
      </c>
      <c r="E825" t="s">
        <v>20</v>
      </c>
      <c r="F825" s="4" t="s">
        <v>28</v>
      </c>
      <c r="G825" s="4" t="s">
        <v>34</v>
      </c>
      <c r="H825" s="4">
        <v>3</v>
      </c>
      <c r="I825" s="4">
        <v>7</v>
      </c>
      <c r="J825" s="1">
        <v>45476</v>
      </c>
      <c r="K825" s="2">
        <v>4.099305555555556E-2</v>
      </c>
      <c r="M825" s="4" t="str">
        <f t="shared" si="36"/>
        <v>HIGH</v>
      </c>
      <c r="N825" s="4" t="str" cm="1">
        <f t="array" ref="N825">_xlfn.IFS(C825&gt;35,"HIGH",C825&gt;25,"MIDDLE",TRUE,"LOW")</f>
        <v>HIGH</v>
      </c>
      <c r="O825" s="4" t="str">
        <f t="shared" si="37"/>
        <v>OTHERS</v>
      </c>
      <c r="P825" s="4" t="str">
        <f t="shared" si="38"/>
        <v>PREMINUM MORNING</v>
      </c>
    </row>
    <row r="826" spans="1:16" x14ac:dyDescent="0.3">
      <c r="A826" s="4">
        <v>19</v>
      </c>
      <c r="B826" t="s">
        <v>11</v>
      </c>
      <c r="C826" s="4">
        <v>37.72</v>
      </c>
      <c r="D826" t="s">
        <v>12</v>
      </c>
      <c r="E826" t="s">
        <v>20</v>
      </c>
      <c r="F826" s="4" t="s">
        <v>28</v>
      </c>
      <c r="G826" s="4" t="s">
        <v>34</v>
      </c>
      <c r="H826" s="4">
        <v>3</v>
      </c>
      <c r="I826" s="4">
        <v>7</v>
      </c>
      <c r="J826" s="1">
        <v>45476</v>
      </c>
      <c r="K826" s="2">
        <v>4.2719907407407411E-3</v>
      </c>
      <c r="M826" s="4" t="str">
        <f t="shared" si="36"/>
        <v>HIGH</v>
      </c>
      <c r="N826" s="4" t="str" cm="1">
        <f t="array" ref="N826">_xlfn.IFS(C826&gt;35,"HIGH",C826&gt;25,"MIDDLE",TRUE,"LOW")</f>
        <v>HIGH</v>
      </c>
      <c r="O826" s="4" t="str">
        <f t="shared" si="37"/>
        <v>OTHERS</v>
      </c>
      <c r="P826" s="4" t="str">
        <f t="shared" si="38"/>
        <v>PREMINUM MORNING</v>
      </c>
    </row>
    <row r="827" spans="1:16" x14ac:dyDescent="0.3">
      <c r="A827" s="4">
        <v>10</v>
      </c>
      <c r="B827" t="s">
        <v>11</v>
      </c>
      <c r="C827" s="4">
        <v>32.82</v>
      </c>
      <c r="D827" t="s">
        <v>19</v>
      </c>
      <c r="E827" t="s">
        <v>13</v>
      </c>
      <c r="F827" s="4" t="s">
        <v>30</v>
      </c>
      <c r="G827" s="4" t="s">
        <v>34</v>
      </c>
      <c r="H827" s="4">
        <v>4</v>
      </c>
      <c r="I827" s="4">
        <v>7</v>
      </c>
      <c r="J827" s="1">
        <v>45477</v>
      </c>
      <c r="K827" s="2">
        <v>1.8329861111111113E-2</v>
      </c>
      <c r="M827" s="4" t="str">
        <f t="shared" si="36"/>
        <v>LOW</v>
      </c>
      <c r="N827" s="4" t="str" cm="1">
        <f t="array" ref="N827">_xlfn.IFS(C827&gt;35,"HIGH",C827&gt;25,"MIDDLE",TRUE,"LOW")</f>
        <v>MIDDLE</v>
      </c>
      <c r="O827" s="4" t="str">
        <f t="shared" si="37"/>
        <v>OTHERS</v>
      </c>
      <c r="P827" s="4" t="str">
        <f t="shared" si="38"/>
        <v>PREMINUM MORNING</v>
      </c>
    </row>
    <row r="828" spans="1:16" x14ac:dyDescent="0.3">
      <c r="A828" s="4">
        <v>10</v>
      </c>
      <c r="B828" t="s">
        <v>11</v>
      </c>
      <c r="C828" s="4">
        <v>27.92</v>
      </c>
      <c r="D828" t="s">
        <v>18</v>
      </c>
      <c r="E828" t="s">
        <v>13</v>
      </c>
      <c r="F828" s="4" t="s">
        <v>30</v>
      </c>
      <c r="G828" s="4" t="s">
        <v>34</v>
      </c>
      <c r="H828" s="4">
        <v>4</v>
      </c>
      <c r="I828" s="4">
        <v>7</v>
      </c>
      <c r="J828" s="1">
        <v>45477</v>
      </c>
      <c r="K828" s="2">
        <v>1.9100694444444444E-2</v>
      </c>
      <c r="M828" s="4" t="str">
        <f t="shared" si="36"/>
        <v>LOW</v>
      </c>
      <c r="N828" s="4" t="str" cm="1">
        <f t="array" ref="N828">_xlfn.IFS(C828&gt;35,"HIGH",C828&gt;25,"MIDDLE",TRUE,"LOW")</f>
        <v>MIDDLE</v>
      </c>
      <c r="O828" s="4" t="str">
        <f t="shared" si="37"/>
        <v>OTHERS</v>
      </c>
      <c r="P828" s="4" t="str">
        <f t="shared" si="38"/>
        <v>PREMINUM MORNING</v>
      </c>
    </row>
    <row r="829" spans="1:16" x14ac:dyDescent="0.3">
      <c r="A829" s="4">
        <v>12</v>
      </c>
      <c r="B829" t="s">
        <v>11</v>
      </c>
      <c r="C829" s="4">
        <v>37.72</v>
      </c>
      <c r="D829" t="s">
        <v>21</v>
      </c>
      <c r="E829" t="s">
        <v>17</v>
      </c>
      <c r="F829" s="4" t="s">
        <v>14</v>
      </c>
      <c r="G829" s="4" t="s">
        <v>34</v>
      </c>
      <c r="H829" s="4">
        <v>5</v>
      </c>
      <c r="I829" s="4">
        <v>7</v>
      </c>
      <c r="J829" s="1">
        <v>45478</v>
      </c>
      <c r="K829" s="2">
        <v>1.4221064814814815E-2</v>
      </c>
      <c r="M829" s="4" t="str">
        <f t="shared" si="36"/>
        <v>HIGH</v>
      </c>
      <c r="N829" s="4" t="str" cm="1">
        <f t="array" ref="N829">_xlfn.IFS(C829&gt;35,"HIGH",C829&gt;25,"MIDDLE",TRUE,"LOW")</f>
        <v>HIGH</v>
      </c>
      <c r="O829" s="4" t="str">
        <f t="shared" si="37"/>
        <v>OTHERS</v>
      </c>
      <c r="P829" s="4" t="str">
        <f t="shared" si="38"/>
        <v>PREMINUM MORNING</v>
      </c>
    </row>
    <row r="830" spans="1:16" x14ac:dyDescent="0.3">
      <c r="A830" s="4">
        <v>13</v>
      </c>
      <c r="B830" t="s">
        <v>11</v>
      </c>
      <c r="C830" s="4">
        <v>32.82</v>
      </c>
      <c r="D830" t="s">
        <v>19</v>
      </c>
      <c r="E830" t="s">
        <v>17</v>
      </c>
      <c r="F830" s="4" t="s">
        <v>14</v>
      </c>
      <c r="G830" s="4" t="s">
        <v>34</v>
      </c>
      <c r="H830" s="4">
        <v>5</v>
      </c>
      <c r="I830" s="4">
        <v>7</v>
      </c>
      <c r="J830" s="1">
        <v>45478</v>
      </c>
      <c r="K830" s="2">
        <v>3.0359953703703701E-2</v>
      </c>
      <c r="M830" s="4" t="str">
        <f t="shared" si="36"/>
        <v>LOW</v>
      </c>
      <c r="N830" s="4" t="str" cm="1">
        <f t="array" ref="N830">_xlfn.IFS(C830&gt;35,"HIGH",C830&gt;25,"MIDDLE",TRUE,"LOW")</f>
        <v>MIDDLE</v>
      </c>
      <c r="O830" s="4" t="str">
        <f t="shared" si="37"/>
        <v>OTHERS</v>
      </c>
      <c r="P830" s="4" t="str">
        <f t="shared" si="38"/>
        <v>OTHERS</v>
      </c>
    </row>
    <row r="831" spans="1:16" x14ac:dyDescent="0.3">
      <c r="A831" s="4">
        <v>13</v>
      </c>
      <c r="B831" t="s">
        <v>11</v>
      </c>
      <c r="C831" s="4">
        <v>32.82</v>
      </c>
      <c r="D831" t="s">
        <v>19</v>
      </c>
      <c r="E831" t="s">
        <v>17</v>
      </c>
      <c r="F831" s="4" t="s">
        <v>14</v>
      </c>
      <c r="G831" s="4" t="s">
        <v>34</v>
      </c>
      <c r="H831" s="4">
        <v>5</v>
      </c>
      <c r="I831" s="4">
        <v>7</v>
      </c>
      <c r="J831" s="1">
        <v>45478</v>
      </c>
      <c r="K831" s="2">
        <v>3.1062500000000003E-2</v>
      </c>
      <c r="M831" s="4" t="str">
        <f t="shared" si="36"/>
        <v>LOW</v>
      </c>
      <c r="N831" s="4" t="str" cm="1">
        <f t="array" ref="N831">_xlfn.IFS(C831&gt;35,"HIGH",C831&gt;25,"MIDDLE",TRUE,"LOW")</f>
        <v>MIDDLE</v>
      </c>
      <c r="O831" s="4" t="str">
        <f t="shared" si="37"/>
        <v>OTHERS</v>
      </c>
      <c r="P831" s="4" t="str">
        <f t="shared" si="38"/>
        <v>OTHERS</v>
      </c>
    </row>
    <row r="832" spans="1:16" x14ac:dyDescent="0.3">
      <c r="A832" s="4">
        <v>18</v>
      </c>
      <c r="B832" t="s">
        <v>11</v>
      </c>
      <c r="C832" s="4">
        <v>23.02</v>
      </c>
      <c r="D832" t="s">
        <v>26</v>
      </c>
      <c r="E832" t="s">
        <v>20</v>
      </c>
      <c r="F832" s="4" t="s">
        <v>14</v>
      </c>
      <c r="G832" s="4" t="s">
        <v>34</v>
      </c>
      <c r="H832" s="4">
        <v>5</v>
      </c>
      <c r="I832" s="4">
        <v>7</v>
      </c>
      <c r="J832" s="1">
        <v>45478</v>
      </c>
      <c r="K832" s="2">
        <v>3.8846064814814819E-2</v>
      </c>
      <c r="M832" s="4" t="str">
        <f t="shared" si="36"/>
        <v>LOW</v>
      </c>
      <c r="N832" s="4" t="str" cm="1">
        <f t="array" ref="N832">_xlfn.IFS(C832&gt;35,"HIGH",C832&gt;25,"MIDDLE",TRUE,"LOW")</f>
        <v>LOW</v>
      </c>
      <c r="O832" s="4" t="str">
        <f t="shared" si="37"/>
        <v>OTHERS</v>
      </c>
      <c r="P832" s="4" t="str">
        <f t="shared" si="38"/>
        <v>OTHERS</v>
      </c>
    </row>
    <row r="833" spans="1:16" x14ac:dyDescent="0.3">
      <c r="A833" s="4">
        <v>19</v>
      </c>
      <c r="B833" t="s">
        <v>11</v>
      </c>
      <c r="C833" s="4">
        <v>27.92</v>
      </c>
      <c r="D833" t="s">
        <v>18</v>
      </c>
      <c r="E833" t="s">
        <v>20</v>
      </c>
      <c r="F833" s="4" t="s">
        <v>14</v>
      </c>
      <c r="G833" s="4" t="s">
        <v>34</v>
      </c>
      <c r="H833" s="4">
        <v>5</v>
      </c>
      <c r="I833" s="4">
        <v>7</v>
      </c>
      <c r="J833" s="1">
        <v>45478</v>
      </c>
      <c r="K833" s="2">
        <v>3.8284722222222227E-2</v>
      </c>
      <c r="M833" s="4" t="str">
        <f t="shared" si="36"/>
        <v>LOW</v>
      </c>
      <c r="N833" s="4" t="str" cm="1">
        <f t="array" ref="N833">_xlfn.IFS(C833&gt;35,"HIGH",C833&gt;25,"MIDDLE",TRUE,"LOW")</f>
        <v>MIDDLE</v>
      </c>
      <c r="O833" s="4" t="str">
        <f t="shared" si="37"/>
        <v>OTHERS</v>
      </c>
      <c r="P833" s="4" t="str">
        <f t="shared" si="38"/>
        <v>OTHERS</v>
      </c>
    </row>
    <row r="834" spans="1:16" x14ac:dyDescent="0.3">
      <c r="A834" s="4">
        <v>22</v>
      </c>
      <c r="B834" t="s">
        <v>11</v>
      </c>
      <c r="C834" s="4">
        <v>23.02</v>
      </c>
      <c r="D834" t="s">
        <v>26</v>
      </c>
      <c r="E834" t="s">
        <v>20</v>
      </c>
      <c r="F834" s="4" t="s">
        <v>14</v>
      </c>
      <c r="G834" s="4" t="s">
        <v>34</v>
      </c>
      <c r="H834" s="4">
        <v>5</v>
      </c>
      <c r="I834" s="4">
        <v>7</v>
      </c>
      <c r="J834" s="1">
        <v>45478</v>
      </c>
      <c r="K834" s="2">
        <v>8.292824074074074E-3</v>
      </c>
      <c r="M834" s="4" t="str">
        <f t="shared" si="36"/>
        <v>LOW</v>
      </c>
      <c r="N834" s="4" t="str" cm="1">
        <f t="array" ref="N834">_xlfn.IFS(C834&gt;35,"HIGH",C834&gt;25,"MIDDLE",TRUE,"LOW")</f>
        <v>LOW</v>
      </c>
      <c r="O834" s="4" t="str">
        <f t="shared" si="37"/>
        <v>OTHERS</v>
      </c>
      <c r="P834" s="4" t="str">
        <f t="shared" si="38"/>
        <v>OTHERS</v>
      </c>
    </row>
    <row r="835" spans="1:16" x14ac:dyDescent="0.3">
      <c r="A835" s="4">
        <v>22</v>
      </c>
      <c r="B835" t="s">
        <v>11</v>
      </c>
      <c r="C835" s="4">
        <v>27.92</v>
      </c>
      <c r="D835" t="s">
        <v>18</v>
      </c>
      <c r="E835" t="s">
        <v>20</v>
      </c>
      <c r="F835" s="4" t="s">
        <v>14</v>
      </c>
      <c r="G835" s="4" t="s">
        <v>34</v>
      </c>
      <c r="H835" s="4">
        <v>5</v>
      </c>
      <c r="I835" s="4">
        <v>7</v>
      </c>
      <c r="J835" s="1">
        <v>45478</v>
      </c>
      <c r="K835" s="2">
        <v>1.2538194444444444E-2</v>
      </c>
      <c r="M835" s="4" t="str">
        <f t="shared" ref="M835:M898" si="39">IF(C835&gt;35,"HIGH","LOW")</f>
        <v>LOW</v>
      </c>
      <c r="N835" s="4" t="str" cm="1">
        <f t="array" ref="N835">_xlfn.IFS(C835&gt;35,"HIGH",C835&gt;25,"MIDDLE",TRUE,"LOW")</f>
        <v>MIDDLE</v>
      </c>
      <c r="O835" s="4" t="str">
        <f t="shared" ref="O835:O898" si="40">IF(AND(C835&gt;35,E835="MORNING"),"PREMINUM MORNING","OTHERS")</f>
        <v>OTHERS</v>
      </c>
      <c r="P835" s="4" t="str">
        <f t="shared" ref="P835:P898" si="41">IF(OR(C835&gt;35,E835="MORNING"),"PREMINUM MORNING","OTHERS")</f>
        <v>OTHERS</v>
      </c>
    </row>
    <row r="836" spans="1:16" x14ac:dyDescent="0.3">
      <c r="A836" s="4">
        <v>22</v>
      </c>
      <c r="B836" t="s">
        <v>11</v>
      </c>
      <c r="C836" s="4">
        <v>27.92</v>
      </c>
      <c r="D836" t="s">
        <v>18</v>
      </c>
      <c r="E836" t="s">
        <v>20</v>
      </c>
      <c r="F836" s="4" t="s">
        <v>14</v>
      </c>
      <c r="G836" s="4" t="s">
        <v>34</v>
      </c>
      <c r="H836" s="4">
        <v>5</v>
      </c>
      <c r="I836" s="4">
        <v>7</v>
      </c>
      <c r="J836" s="1">
        <v>45478</v>
      </c>
      <c r="K836" s="2">
        <v>1.3158564814814816E-2</v>
      </c>
      <c r="M836" s="4" t="str">
        <f t="shared" si="39"/>
        <v>LOW</v>
      </c>
      <c r="N836" s="4" t="str" cm="1">
        <f t="array" ref="N836">_xlfn.IFS(C836&gt;35,"HIGH",C836&gt;25,"MIDDLE",TRUE,"LOW")</f>
        <v>MIDDLE</v>
      </c>
      <c r="O836" s="4" t="str">
        <f t="shared" si="40"/>
        <v>OTHERS</v>
      </c>
      <c r="P836" s="4" t="str">
        <f t="shared" si="41"/>
        <v>OTHERS</v>
      </c>
    </row>
    <row r="837" spans="1:16" x14ac:dyDescent="0.3">
      <c r="A837" s="4">
        <v>22</v>
      </c>
      <c r="B837" t="s">
        <v>11</v>
      </c>
      <c r="C837" s="4">
        <v>37.72</v>
      </c>
      <c r="D837" t="s">
        <v>29</v>
      </c>
      <c r="E837" t="s">
        <v>20</v>
      </c>
      <c r="F837" s="4" t="s">
        <v>14</v>
      </c>
      <c r="G837" s="4" t="s">
        <v>34</v>
      </c>
      <c r="H837" s="4">
        <v>5</v>
      </c>
      <c r="I837" s="4">
        <v>7</v>
      </c>
      <c r="J837" s="1">
        <v>45478</v>
      </c>
      <c r="K837" s="2">
        <v>1.390162037037037E-2</v>
      </c>
      <c r="M837" s="4" t="str">
        <f t="shared" si="39"/>
        <v>HIGH</v>
      </c>
      <c r="N837" s="4" t="str" cm="1">
        <f t="array" ref="N837">_xlfn.IFS(C837&gt;35,"HIGH",C837&gt;25,"MIDDLE",TRUE,"LOW")</f>
        <v>HIGH</v>
      </c>
      <c r="O837" s="4" t="str">
        <f t="shared" si="40"/>
        <v>OTHERS</v>
      </c>
      <c r="P837" s="4" t="str">
        <f t="shared" si="41"/>
        <v>PREMINUM MORNING</v>
      </c>
    </row>
    <row r="838" spans="1:16" x14ac:dyDescent="0.3">
      <c r="A838" s="4">
        <v>22</v>
      </c>
      <c r="B838" t="s">
        <v>11</v>
      </c>
      <c r="C838" s="4">
        <v>32.82</v>
      </c>
      <c r="D838" t="s">
        <v>19</v>
      </c>
      <c r="E838" t="s">
        <v>20</v>
      </c>
      <c r="F838" s="4" t="s">
        <v>14</v>
      </c>
      <c r="G838" s="4" t="s">
        <v>34</v>
      </c>
      <c r="H838" s="4">
        <v>5</v>
      </c>
      <c r="I838" s="4">
        <v>7</v>
      </c>
      <c r="J838" s="1">
        <v>45478</v>
      </c>
      <c r="K838" s="2">
        <v>1.4693287037037038E-2</v>
      </c>
      <c r="M838" s="4" t="str">
        <f t="shared" si="39"/>
        <v>LOW</v>
      </c>
      <c r="N838" s="4" t="str" cm="1">
        <f t="array" ref="N838">_xlfn.IFS(C838&gt;35,"HIGH",C838&gt;25,"MIDDLE",TRUE,"LOW")</f>
        <v>MIDDLE</v>
      </c>
      <c r="O838" s="4" t="str">
        <f t="shared" si="40"/>
        <v>OTHERS</v>
      </c>
      <c r="P838" s="4" t="str">
        <f t="shared" si="41"/>
        <v>OTHERS</v>
      </c>
    </row>
    <row r="839" spans="1:16" x14ac:dyDescent="0.3">
      <c r="A839" s="4">
        <v>10</v>
      </c>
      <c r="B839" t="s">
        <v>11</v>
      </c>
      <c r="C839" s="4">
        <v>37.72</v>
      </c>
      <c r="D839" t="s">
        <v>12</v>
      </c>
      <c r="E839" t="s">
        <v>13</v>
      </c>
      <c r="F839" s="4" t="s">
        <v>22</v>
      </c>
      <c r="G839" s="4" t="s">
        <v>34</v>
      </c>
      <c r="H839" s="4">
        <v>6</v>
      </c>
      <c r="I839" s="4">
        <v>7</v>
      </c>
      <c r="J839" s="1">
        <v>45479</v>
      </c>
      <c r="K839" s="2">
        <v>1.9523148148148147E-2</v>
      </c>
      <c r="M839" s="4" t="str">
        <f t="shared" si="39"/>
        <v>HIGH</v>
      </c>
      <c r="N839" s="4" t="str" cm="1">
        <f t="array" ref="N839">_xlfn.IFS(C839&gt;35,"HIGH",C839&gt;25,"MIDDLE",TRUE,"LOW")</f>
        <v>HIGH</v>
      </c>
      <c r="O839" s="4" t="str">
        <f t="shared" si="40"/>
        <v>PREMINUM MORNING</v>
      </c>
      <c r="P839" s="4" t="str">
        <f t="shared" si="41"/>
        <v>PREMINUM MORNING</v>
      </c>
    </row>
    <row r="840" spans="1:16" x14ac:dyDescent="0.3">
      <c r="A840" s="4">
        <v>17</v>
      </c>
      <c r="B840" t="s">
        <v>11</v>
      </c>
      <c r="C840" s="4">
        <v>32.82</v>
      </c>
      <c r="D840" t="s">
        <v>12</v>
      </c>
      <c r="E840" t="s">
        <v>20</v>
      </c>
      <c r="F840" s="4" t="s">
        <v>22</v>
      </c>
      <c r="G840" s="4" t="s">
        <v>34</v>
      </c>
      <c r="H840" s="4">
        <v>6</v>
      </c>
      <c r="I840" s="4">
        <v>7</v>
      </c>
      <c r="J840" s="1">
        <v>45479</v>
      </c>
      <c r="K840" s="2">
        <v>1.0949074074074075E-2</v>
      </c>
      <c r="M840" s="4" t="str">
        <f t="shared" si="39"/>
        <v>LOW</v>
      </c>
      <c r="N840" s="4" t="str" cm="1">
        <f t="array" ref="N840">_xlfn.IFS(C840&gt;35,"HIGH",C840&gt;25,"MIDDLE",TRUE,"LOW")</f>
        <v>MIDDLE</v>
      </c>
      <c r="O840" s="4" t="str">
        <f t="shared" si="40"/>
        <v>OTHERS</v>
      </c>
      <c r="P840" s="4" t="str">
        <f t="shared" si="41"/>
        <v>OTHERS</v>
      </c>
    </row>
    <row r="841" spans="1:16" x14ac:dyDescent="0.3">
      <c r="A841" s="4">
        <v>17</v>
      </c>
      <c r="B841" t="s">
        <v>11</v>
      </c>
      <c r="C841" s="4">
        <v>32.82</v>
      </c>
      <c r="D841" t="s">
        <v>12</v>
      </c>
      <c r="E841" t="s">
        <v>20</v>
      </c>
      <c r="F841" s="4" t="s">
        <v>22</v>
      </c>
      <c r="G841" s="4" t="s">
        <v>34</v>
      </c>
      <c r="H841" s="4">
        <v>6</v>
      </c>
      <c r="I841" s="4">
        <v>7</v>
      </c>
      <c r="J841" s="1">
        <v>45479</v>
      </c>
      <c r="K841" s="2">
        <v>1.1817129629629629E-2</v>
      </c>
      <c r="M841" s="4" t="str">
        <f t="shared" si="39"/>
        <v>LOW</v>
      </c>
      <c r="N841" s="4" t="str" cm="1">
        <f t="array" ref="N841">_xlfn.IFS(C841&gt;35,"HIGH",C841&gt;25,"MIDDLE",TRUE,"LOW")</f>
        <v>MIDDLE</v>
      </c>
      <c r="O841" s="4" t="str">
        <f t="shared" si="40"/>
        <v>OTHERS</v>
      </c>
      <c r="P841" s="4" t="str">
        <f t="shared" si="41"/>
        <v>OTHERS</v>
      </c>
    </row>
    <row r="842" spans="1:16" x14ac:dyDescent="0.3">
      <c r="A842" s="4">
        <v>19</v>
      </c>
      <c r="B842" t="s">
        <v>11</v>
      </c>
      <c r="C842" s="4">
        <v>32.82</v>
      </c>
      <c r="D842" t="s">
        <v>12</v>
      </c>
      <c r="E842" t="s">
        <v>20</v>
      </c>
      <c r="F842" s="4" t="s">
        <v>22</v>
      </c>
      <c r="G842" s="4" t="s">
        <v>34</v>
      </c>
      <c r="H842" s="4">
        <v>6</v>
      </c>
      <c r="I842" s="4">
        <v>7</v>
      </c>
      <c r="J842" s="1">
        <v>45479</v>
      </c>
      <c r="K842" s="2">
        <v>6.7835648148148152E-3</v>
      </c>
      <c r="M842" s="4" t="str">
        <f t="shared" si="39"/>
        <v>LOW</v>
      </c>
      <c r="N842" s="4" t="str" cm="1">
        <f t="array" ref="N842">_xlfn.IFS(C842&gt;35,"HIGH",C842&gt;25,"MIDDLE",TRUE,"LOW")</f>
        <v>MIDDLE</v>
      </c>
      <c r="O842" s="4" t="str">
        <f t="shared" si="40"/>
        <v>OTHERS</v>
      </c>
      <c r="P842" s="4" t="str">
        <f t="shared" si="41"/>
        <v>OTHERS</v>
      </c>
    </row>
    <row r="843" spans="1:16" x14ac:dyDescent="0.3">
      <c r="A843" s="4">
        <v>19</v>
      </c>
      <c r="B843" t="s">
        <v>11</v>
      </c>
      <c r="C843" s="4">
        <v>27.92</v>
      </c>
      <c r="D843" t="s">
        <v>19</v>
      </c>
      <c r="E843" t="s">
        <v>20</v>
      </c>
      <c r="F843" s="4" t="s">
        <v>22</v>
      </c>
      <c r="G843" s="4" t="s">
        <v>34</v>
      </c>
      <c r="H843" s="4">
        <v>6</v>
      </c>
      <c r="I843" s="4">
        <v>7</v>
      </c>
      <c r="J843" s="1">
        <v>45479</v>
      </c>
      <c r="K843" s="2">
        <v>7.4027777777777781E-3</v>
      </c>
      <c r="M843" s="4" t="str">
        <f t="shared" si="39"/>
        <v>LOW</v>
      </c>
      <c r="N843" s="4" t="str" cm="1">
        <f t="array" ref="N843">_xlfn.IFS(C843&gt;35,"HIGH",C843&gt;25,"MIDDLE",TRUE,"LOW")</f>
        <v>MIDDLE</v>
      </c>
      <c r="O843" s="4" t="str">
        <f t="shared" si="40"/>
        <v>OTHERS</v>
      </c>
      <c r="P843" s="4" t="str">
        <f t="shared" si="41"/>
        <v>OTHERS</v>
      </c>
    </row>
    <row r="844" spans="1:16" x14ac:dyDescent="0.3">
      <c r="A844" s="4">
        <v>9</v>
      </c>
      <c r="B844" t="s">
        <v>11</v>
      </c>
      <c r="C844" s="4">
        <v>32.82</v>
      </c>
      <c r="D844" t="s">
        <v>29</v>
      </c>
      <c r="E844" t="s">
        <v>13</v>
      </c>
      <c r="F844" s="4" t="s">
        <v>23</v>
      </c>
      <c r="G844" s="4" t="s">
        <v>34</v>
      </c>
      <c r="H844" s="4">
        <v>7</v>
      </c>
      <c r="I844" s="4">
        <v>7</v>
      </c>
      <c r="J844" s="1">
        <v>45480</v>
      </c>
      <c r="K844" s="2">
        <v>3.0115740740740741E-3</v>
      </c>
      <c r="M844" s="4" t="str">
        <f t="shared" si="39"/>
        <v>LOW</v>
      </c>
      <c r="N844" s="4" t="str" cm="1">
        <f t="array" ref="N844">_xlfn.IFS(C844&gt;35,"HIGH",C844&gt;25,"MIDDLE",TRUE,"LOW")</f>
        <v>MIDDLE</v>
      </c>
      <c r="O844" s="4" t="str">
        <f t="shared" si="40"/>
        <v>OTHERS</v>
      </c>
      <c r="P844" s="4" t="str">
        <f t="shared" si="41"/>
        <v>PREMINUM MORNING</v>
      </c>
    </row>
    <row r="845" spans="1:16" x14ac:dyDescent="0.3">
      <c r="A845" s="4">
        <v>9</v>
      </c>
      <c r="B845" t="s">
        <v>11</v>
      </c>
      <c r="C845" s="4">
        <v>27.92</v>
      </c>
      <c r="D845" t="s">
        <v>19</v>
      </c>
      <c r="E845" t="s">
        <v>13</v>
      </c>
      <c r="F845" s="4" t="s">
        <v>23</v>
      </c>
      <c r="G845" s="4" t="s">
        <v>34</v>
      </c>
      <c r="H845" s="4">
        <v>7</v>
      </c>
      <c r="I845" s="4">
        <v>7</v>
      </c>
      <c r="J845" s="1">
        <v>45480</v>
      </c>
      <c r="K845" s="2">
        <v>1.0060185185185186E-2</v>
      </c>
      <c r="M845" s="4" t="str">
        <f t="shared" si="39"/>
        <v>LOW</v>
      </c>
      <c r="N845" s="4" t="str" cm="1">
        <f t="array" ref="N845">_xlfn.IFS(C845&gt;35,"HIGH",C845&gt;25,"MIDDLE",TRUE,"LOW")</f>
        <v>MIDDLE</v>
      </c>
      <c r="O845" s="4" t="str">
        <f t="shared" si="40"/>
        <v>OTHERS</v>
      </c>
      <c r="P845" s="4" t="str">
        <f t="shared" si="41"/>
        <v>PREMINUM MORNING</v>
      </c>
    </row>
    <row r="846" spans="1:16" x14ac:dyDescent="0.3">
      <c r="A846" s="4">
        <v>9</v>
      </c>
      <c r="B846" t="s">
        <v>11</v>
      </c>
      <c r="C846" s="4">
        <v>27.92</v>
      </c>
      <c r="D846" t="s">
        <v>19</v>
      </c>
      <c r="E846" t="s">
        <v>13</v>
      </c>
      <c r="F846" s="4" t="s">
        <v>23</v>
      </c>
      <c r="G846" s="4" t="s">
        <v>34</v>
      </c>
      <c r="H846" s="4">
        <v>7</v>
      </c>
      <c r="I846" s="4">
        <v>7</v>
      </c>
      <c r="J846" s="1">
        <v>45480</v>
      </c>
      <c r="K846" s="2">
        <v>1.0842592592592593E-2</v>
      </c>
      <c r="M846" s="4" t="str">
        <f t="shared" si="39"/>
        <v>LOW</v>
      </c>
      <c r="N846" s="4" t="str" cm="1">
        <f t="array" ref="N846">_xlfn.IFS(C846&gt;35,"HIGH",C846&gt;25,"MIDDLE",TRUE,"LOW")</f>
        <v>MIDDLE</v>
      </c>
      <c r="O846" s="4" t="str">
        <f t="shared" si="40"/>
        <v>OTHERS</v>
      </c>
      <c r="P846" s="4" t="str">
        <f t="shared" si="41"/>
        <v>PREMINUM MORNING</v>
      </c>
    </row>
    <row r="847" spans="1:16" x14ac:dyDescent="0.3">
      <c r="A847" s="4">
        <v>9</v>
      </c>
      <c r="B847" t="s">
        <v>11</v>
      </c>
      <c r="C847" s="4">
        <v>32.82</v>
      </c>
      <c r="D847" t="s">
        <v>29</v>
      </c>
      <c r="E847" t="s">
        <v>13</v>
      </c>
      <c r="F847" s="4" t="s">
        <v>23</v>
      </c>
      <c r="G847" s="4" t="s">
        <v>34</v>
      </c>
      <c r="H847" s="4">
        <v>7</v>
      </c>
      <c r="I847" s="4">
        <v>7</v>
      </c>
      <c r="J847" s="1">
        <v>45480</v>
      </c>
      <c r="K847" s="2">
        <v>2.0010416666666669E-2</v>
      </c>
      <c r="M847" s="4" t="str">
        <f t="shared" si="39"/>
        <v>LOW</v>
      </c>
      <c r="N847" s="4" t="str" cm="1">
        <f t="array" ref="N847">_xlfn.IFS(C847&gt;35,"HIGH",C847&gt;25,"MIDDLE",TRUE,"LOW")</f>
        <v>MIDDLE</v>
      </c>
      <c r="O847" s="4" t="str">
        <f t="shared" si="40"/>
        <v>OTHERS</v>
      </c>
      <c r="P847" s="4" t="str">
        <f t="shared" si="41"/>
        <v>PREMINUM MORNING</v>
      </c>
    </row>
    <row r="848" spans="1:16" x14ac:dyDescent="0.3">
      <c r="A848" s="4">
        <v>9</v>
      </c>
      <c r="B848" t="s">
        <v>11</v>
      </c>
      <c r="C848" s="4">
        <v>32.82</v>
      </c>
      <c r="D848" t="s">
        <v>29</v>
      </c>
      <c r="E848" t="s">
        <v>13</v>
      </c>
      <c r="F848" s="4" t="s">
        <v>23</v>
      </c>
      <c r="G848" s="4" t="s">
        <v>34</v>
      </c>
      <c r="H848" s="4">
        <v>7</v>
      </c>
      <c r="I848" s="4">
        <v>7</v>
      </c>
      <c r="J848" s="1">
        <v>45480</v>
      </c>
      <c r="K848" s="2">
        <v>2.0789351851851854E-2</v>
      </c>
      <c r="M848" s="4" t="str">
        <f t="shared" si="39"/>
        <v>LOW</v>
      </c>
      <c r="N848" s="4" t="str" cm="1">
        <f t="array" ref="N848">_xlfn.IFS(C848&gt;35,"HIGH",C848&gt;25,"MIDDLE",TRUE,"LOW")</f>
        <v>MIDDLE</v>
      </c>
      <c r="O848" s="4" t="str">
        <f t="shared" si="40"/>
        <v>OTHERS</v>
      </c>
      <c r="P848" s="4" t="str">
        <f t="shared" si="41"/>
        <v>PREMINUM MORNING</v>
      </c>
    </row>
    <row r="849" spans="1:16" x14ac:dyDescent="0.3">
      <c r="A849" s="4">
        <v>14</v>
      </c>
      <c r="B849" t="s">
        <v>11</v>
      </c>
      <c r="C849" s="4">
        <v>32.82</v>
      </c>
      <c r="D849" t="s">
        <v>16</v>
      </c>
      <c r="E849" t="s">
        <v>17</v>
      </c>
      <c r="F849" s="4" t="s">
        <v>23</v>
      </c>
      <c r="G849" s="4" t="s">
        <v>34</v>
      </c>
      <c r="H849" s="4">
        <v>7</v>
      </c>
      <c r="I849" s="4">
        <v>7</v>
      </c>
      <c r="J849" s="1">
        <v>45480</v>
      </c>
      <c r="K849" s="2">
        <v>3.9238425925925927E-2</v>
      </c>
      <c r="M849" s="4" t="str">
        <f t="shared" si="39"/>
        <v>LOW</v>
      </c>
      <c r="N849" s="4" t="str" cm="1">
        <f t="array" ref="N849">_xlfn.IFS(C849&gt;35,"HIGH",C849&gt;25,"MIDDLE",TRUE,"LOW")</f>
        <v>MIDDLE</v>
      </c>
      <c r="O849" s="4" t="str">
        <f t="shared" si="40"/>
        <v>OTHERS</v>
      </c>
      <c r="P849" s="4" t="str">
        <f t="shared" si="41"/>
        <v>OTHERS</v>
      </c>
    </row>
    <row r="850" spans="1:16" x14ac:dyDescent="0.3">
      <c r="A850" s="4">
        <v>14</v>
      </c>
      <c r="B850" t="s">
        <v>11</v>
      </c>
      <c r="C850" s="4">
        <v>32.82</v>
      </c>
      <c r="D850" t="s">
        <v>21</v>
      </c>
      <c r="E850" t="s">
        <v>17</v>
      </c>
      <c r="F850" s="4" t="s">
        <v>23</v>
      </c>
      <c r="G850" s="4" t="s">
        <v>34</v>
      </c>
      <c r="H850" s="4">
        <v>7</v>
      </c>
      <c r="I850" s="4">
        <v>7</v>
      </c>
      <c r="J850" s="1">
        <v>45480</v>
      </c>
      <c r="K850" s="2">
        <v>4.0131944444444442E-2</v>
      </c>
      <c r="M850" s="4" t="str">
        <f t="shared" si="39"/>
        <v>LOW</v>
      </c>
      <c r="N850" s="4" t="str" cm="1">
        <f t="array" ref="N850">_xlfn.IFS(C850&gt;35,"HIGH",C850&gt;25,"MIDDLE",TRUE,"LOW")</f>
        <v>MIDDLE</v>
      </c>
      <c r="O850" s="4" t="str">
        <f t="shared" si="40"/>
        <v>OTHERS</v>
      </c>
      <c r="P850" s="4" t="str">
        <f t="shared" si="41"/>
        <v>OTHERS</v>
      </c>
    </row>
    <row r="851" spans="1:16" x14ac:dyDescent="0.3">
      <c r="A851" s="4">
        <v>17</v>
      </c>
      <c r="B851" t="s">
        <v>11</v>
      </c>
      <c r="C851" s="4">
        <v>32.82</v>
      </c>
      <c r="D851" t="s">
        <v>12</v>
      </c>
      <c r="E851" t="s">
        <v>20</v>
      </c>
      <c r="F851" s="4" t="s">
        <v>23</v>
      </c>
      <c r="G851" s="4" t="s">
        <v>34</v>
      </c>
      <c r="H851" s="4">
        <v>7</v>
      </c>
      <c r="I851" s="4">
        <v>7</v>
      </c>
      <c r="J851" s="1">
        <v>45480</v>
      </c>
      <c r="K851" s="2">
        <v>5.4432870370370373E-3</v>
      </c>
      <c r="M851" s="4" t="str">
        <f t="shared" si="39"/>
        <v>LOW</v>
      </c>
      <c r="N851" s="4" t="str" cm="1">
        <f t="array" ref="N851">_xlfn.IFS(C851&gt;35,"HIGH",C851&gt;25,"MIDDLE",TRUE,"LOW")</f>
        <v>MIDDLE</v>
      </c>
      <c r="O851" s="4" t="str">
        <f t="shared" si="40"/>
        <v>OTHERS</v>
      </c>
      <c r="P851" s="4" t="str">
        <f t="shared" si="41"/>
        <v>OTHERS</v>
      </c>
    </row>
    <row r="852" spans="1:16" x14ac:dyDescent="0.3">
      <c r="A852" s="4">
        <v>19</v>
      </c>
      <c r="B852" t="s">
        <v>11</v>
      </c>
      <c r="C852" s="4">
        <v>32.82</v>
      </c>
      <c r="D852" t="s">
        <v>29</v>
      </c>
      <c r="E852" t="s">
        <v>20</v>
      </c>
      <c r="F852" s="4" t="s">
        <v>23</v>
      </c>
      <c r="G852" s="4" t="s">
        <v>34</v>
      </c>
      <c r="H852" s="4">
        <v>7</v>
      </c>
      <c r="I852" s="4">
        <v>7</v>
      </c>
      <c r="J852" s="1">
        <v>45480</v>
      </c>
      <c r="K852" s="2">
        <v>2.3231481481481481E-2</v>
      </c>
      <c r="M852" s="4" t="str">
        <f t="shared" si="39"/>
        <v>LOW</v>
      </c>
      <c r="N852" s="4" t="str" cm="1">
        <f t="array" ref="N852">_xlfn.IFS(C852&gt;35,"HIGH",C852&gt;25,"MIDDLE",TRUE,"LOW")</f>
        <v>MIDDLE</v>
      </c>
      <c r="O852" s="4" t="str">
        <f t="shared" si="40"/>
        <v>OTHERS</v>
      </c>
      <c r="P852" s="4" t="str">
        <f t="shared" si="41"/>
        <v>OTHERS</v>
      </c>
    </row>
    <row r="853" spans="1:16" x14ac:dyDescent="0.3">
      <c r="A853" s="4">
        <v>20</v>
      </c>
      <c r="B853" t="s">
        <v>11</v>
      </c>
      <c r="C853" s="4">
        <v>32.82</v>
      </c>
      <c r="D853" t="s">
        <v>16</v>
      </c>
      <c r="E853" t="s">
        <v>20</v>
      </c>
      <c r="F853" s="4" t="s">
        <v>23</v>
      </c>
      <c r="G853" s="4" t="s">
        <v>34</v>
      </c>
      <c r="H853" s="4">
        <v>7</v>
      </c>
      <c r="I853" s="4">
        <v>7</v>
      </c>
      <c r="J853" s="1">
        <v>45480</v>
      </c>
      <c r="K853" s="2">
        <v>1.0613425925925927E-3</v>
      </c>
      <c r="M853" s="4" t="str">
        <f t="shared" si="39"/>
        <v>LOW</v>
      </c>
      <c r="N853" s="4" t="str" cm="1">
        <f t="array" ref="N853">_xlfn.IFS(C853&gt;35,"HIGH",C853&gt;25,"MIDDLE",TRUE,"LOW")</f>
        <v>MIDDLE</v>
      </c>
      <c r="O853" s="4" t="str">
        <f t="shared" si="40"/>
        <v>OTHERS</v>
      </c>
      <c r="P853" s="4" t="str">
        <f t="shared" si="41"/>
        <v>OTHERS</v>
      </c>
    </row>
    <row r="854" spans="1:16" x14ac:dyDescent="0.3">
      <c r="A854" s="4">
        <v>22</v>
      </c>
      <c r="B854" t="s">
        <v>11</v>
      </c>
      <c r="C854" s="4">
        <v>27.92</v>
      </c>
      <c r="D854" t="s">
        <v>19</v>
      </c>
      <c r="E854" t="s">
        <v>20</v>
      </c>
      <c r="F854" s="4" t="s">
        <v>23</v>
      </c>
      <c r="G854" s="4" t="s">
        <v>34</v>
      </c>
      <c r="H854" s="4">
        <v>7</v>
      </c>
      <c r="I854" s="4">
        <v>7</v>
      </c>
      <c r="J854" s="1">
        <v>45480</v>
      </c>
      <c r="K854" s="2">
        <v>2.3336805555555555E-2</v>
      </c>
      <c r="M854" s="4" t="str">
        <f t="shared" si="39"/>
        <v>LOW</v>
      </c>
      <c r="N854" s="4" t="str" cm="1">
        <f t="array" ref="N854">_xlfn.IFS(C854&gt;35,"HIGH",C854&gt;25,"MIDDLE",TRUE,"LOW")</f>
        <v>MIDDLE</v>
      </c>
      <c r="O854" s="4" t="str">
        <f t="shared" si="40"/>
        <v>OTHERS</v>
      </c>
      <c r="P854" s="4" t="str">
        <f t="shared" si="41"/>
        <v>OTHERS</v>
      </c>
    </row>
    <row r="855" spans="1:16" x14ac:dyDescent="0.3">
      <c r="A855" s="4">
        <v>7</v>
      </c>
      <c r="B855" t="s">
        <v>11</v>
      </c>
      <c r="C855" s="4">
        <v>32.82</v>
      </c>
      <c r="D855" t="s">
        <v>12</v>
      </c>
      <c r="E855" t="s">
        <v>13</v>
      </c>
      <c r="F855" s="4" t="s">
        <v>25</v>
      </c>
      <c r="G855" s="4" t="s">
        <v>34</v>
      </c>
      <c r="H855" s="4">
        <v>1</v>
      </c>
      <c r="I855" s="4">
        <v>7</v>
      </c>
      <c r="J855" s="1">
        <v>45481</v>
      </c>
      <c r="K855" s="2">
        <v>2.3005787037037036E-2</v>
      </c>
      <c r="M855" s="4" t="str">
        <f t="shared" si="39"/>
        <v>LOW</v>
      </c>
      <c r="N855" s="4" t="str" cm="1">
        <f t="array" ref="N855">_xlfn.IFS(C855&gt;35,"HIGH",C855&gt;25,"MIDDLE",TRUE,"LOW")</f>
        <v>MIDDLE</v>
      </c>
      <c r="O855" s="4" t="str">
        <f t="shared" si="40"/>
        <v>OTHERS</v>
      </c>
      <c r="P855" s="4" t="str">
        <f t="shared" si="41"/>
        <v>PREMINUM MORNING</v>
      </c>
    </row>
    <row r="856" spans="1:16" x14ac:dyDescent="0.3">
      <c r="A856" s="4">
        <v>12</v>
      </c>
      <c r="B856" t="s">
        <v>11</v>
      </c>
      <c r="C856" s="4">
        <v>23.02</v>
      </c>
      <c r="D856" t="s">
        <v>18</v>
      </c>
      <c r="E856" t="s">
        <v>17</v>
      </c>
      <c r="F856" s="4" t="s">
        <v>25</v>
      </c>
      <c r="G856" s="4" t="s">
        <v>34</v>
      </c>
      <c r="H856" s="4">
        <v>1</v>
      </c>
      <c r="I856" s="4">
        <v>7</v>
      </c>
      <c r="J856" s="1">
        <v>45481</v>
      </c>
      <c r="K856" s="2">
        <v>1.9722222222222224E-3</v>
      </c>
      <c r="M856" s="4" t="str">
        <f t="shared" si="39"/>
        <v>LOW</v>
      </c>
      <c r="N856" s="4" t="str" cm="1">
        <f t="array" ref="N856">_xlfn.IFS(C856&gt;35,"HIGH",C856&gt;25,"MIDDLE",TRUE,"LOW")</f>
        <v>LOW</v>
      </c>
      <c r="O856" s="4" t="str">
        <f t="shared" si="40"/>
        <v>OTHERS</v>
      </c>
      <c r="P856" s="4" t="str">
        <f t="shared" si="41"/>
        <v>OTHERS</v>
      </c>
    </row>
    <row r="857" spans="1:16" x14ac:dyDescent="0.3">
      <c r="A857" s="4">
        <v>14</v>
      </c>
      <c r="B857" t="s">
        <v>11</v>
      </c>
      <c r="C857" s="4">
        <v>23.02</v>
      </c>
      <c r="D857" t="s">
        <v>18</v>
      </c>
      <c r="E857" t="s">
        <v>17</v>
      </c>
      <c r="F857" s="4" t="s">
        <v>25</v>
      </c>
      <c r="G857" s="4" t="s">
        <v>34</v>
      </c>
      <c r="H857" s="4">
        <v>1</v>
      </c>
      <c r="I857" s="4">
        <v>7</v>
      </c>
      <c r="J857" s="1">
        <v>45481</v>
      </c>
      <c r="K857" s="2">
        <v>2.8060185185185185E-2</v>
      </c>
      <c r="M857" s="4" t="str">
        <f t="shared" si="39"/>
        <v>LOW</v>
      </c>
      <c r="N857" s="4" t="str" cm="1">
        <f t="array" ref="N857">_xlfn.IFS(C857&gt;35,"HIGH",C857&gt;25,"MIDDLE",TRUE,"LOW")</f>
        <v>LOW</v>
      </c>
      <c r="O857" s="4" t="str">
        <f t="shared" si="40"/>
        <v>OTHERS</v>
      </c>
      <c r="P857" s="4" t="str">
        <f t="shared" si="41"/>
        <v>OTHERS</v>
      </c>
    </row>
    <row r="858" spans="1:16" x14ac:dyDescent="0.3">
      <c r="A858" s="4">
        <v>19</v>
      </c>
      <c r="B858" t="s">
        <v>11</v>
      </c>
      <c r="C858" s="4">
        <v>27.92</v>
      </c>
      <c r="D858" t="s">
        <v>19</v>
      </c>
      <c r="E858" t="s">
        <v>20</v>
      </c>
      <c r="F858" s="4" t="s">
        <v>25</v>
      </c>
      <c r="G858" s="4" t="s">
        <v>34</v>
      </c>
      <c r="H858" s="4">
        <v>1</v>
      </c>
      <c r="I858" s="4">
        <v>7</v>
      </c>
      <c r="J858" s="1">
        <v>45481</v>
      </c>
      <c r="K858" s="2">
        <v>2.1238425925925924E-2</v>
      </c>
      <c r="M858" s="4" t="str">
        <f t="shared" si="39"/>
        <v>LOW</v>
      </c>
      <c r="N858" s="4" t="str" cm="1">
        <f t="array" ref="N858">_xlfn.IFS(C858&gt;35,"HIGH",C858&gt;25,"MIDDLE",TRUE,"LOW")</f>
        <v>MIDDLE</v>
      </c>
      <c r="O858" s="4" t="str">
        <f t="shared" si="40"/>
        <v>OTHERS</v>
      </c>
      <c r="P858" s="4" t="str">
        <f t="shared" si="41"/>
        <v>OTHERS</v>
      </c>
    </row>
    <row r="859" spans="1:16" x14ac:dyDescent="0.3">
      <c r="A859" s="4">
        <v>22</v>
      </c>
      <c r="B859" t="s">
        <v>11</v>
      </c>
      <c r="C859" s="4">
        <v>32.82</v>
      </c>
      <c r="D859" t="s">
        <v>12</v>
      </c>
      <c r="E859" t="s">
        <v>20</v>
      </c>
      <c r="F859" s="4" t="s">
        <v>25</v>
      </c>
      <c r="G859" s="4" t="s">
        <v>34</v>
      </c>
      <c r="H859" s="4">
        <v>1</v>
      </c>
      <c r="I859" s="4">
        <v>7</v>
      </c>
      <c r="J859" s="1">
        <v>45481</v>
      </c>
      <c r="K859" s="2">
        <v>1.0256944444444445E-2</v>
      </c>
      <c r="M859" s="4" t="str">
        <f t="shared" si="39"/>
        <v>LOW</v>
      </c>
      <c r="N859" s="4" t="str" cm="1">
        <f t="array" ref="N859">_xlfn.IFS(C859&gt;35,"HIGH",C859&gt;25,"MIDDLE",TRUE,"LOW")</f>
        <v>MIDDLE</v>
      </c>
      <c r="O859" s="4" t="str">
        <f t="shared" si="40"/>
        <v>OTHERS</v>
      </c>
      <c r="P859" s="4" t="str">
        <f t="shared" si="41"/>
        <v>OTHERS</v>
      </c>
    </row>
    <row r="860" spans="1:16" x14ac:dyDescent="0.3">
      <c r="A860" s="4">
        <v>10</v>
      </c>
      <c r="B860" t="s">
        <v>11</v>
      </c>
      <c r="C860" s="4">
        <v>27.92</v>
      </c>
      <c r="D860" t="s">
        <v>19</v>
      </c>
      <c r="E860" t="s">
        <v>13</v>
      </c>
      <c r="F860" s="4" t="s">
        <v>27</v>
      </c>
      <c r="G860" s="4" t="s">
        <v>34</v>
      </c>
      <c r="H860" s="4">
        <v>2</v>
      </c>
      <c r="I860" s="4">
        <v>7</v>
      </c>
      <c r="J860" s="1">
        <v>45482</v>
      </c>
      <c r="K860" s="2">
        <v>1.8658564814814815E-2</v>
      </c>
      <c r="M860" s="4" t="str">
        <f t="shared" si="39"/>
        <v>LOW</v>
      </c>
      <c r="N860" s="4" t="str" cm="1">
        <f t="array" ref="N860">_xlfn.IFS(C860&gt;35,"HIGH",C860&gt;25,"MIDDLE",TRUE,"LOW")</f>
        <v>MIDDLE</v>
      </c>
      <c r="O860" s="4" t="str">
        <f t="shared" si="40"/>
        <v>OTHERS</v>
      </c>
      <c r="P860" s="4" t="str">
        <f t="shared" si="41"/>
        <v>PREMINUM MORNING</v>
      </c>
    </row>
    <row r="861" spans="1:16" x14ac:dyDescent="0.3">
      <c r="A861" s="4">
        <v>10</v>
      </c>
      <c r="B861" t="s">
        <v>11</v>
      </c>
      <c r="C861" s="4">
        <v>27.92</v>
      </c>
      <c r="D861" t="s">
        <v>19</v>
      </c>
      <c r="E861" t="s">
        <v>13</v>
      </c>
      <c r="F861" s="4" t="s">
        <v>27</v>
      </c>
      <c r="G861" s="4" t="s">
        <v>34</v>
      </c>
      <c r="H861" s="4">
        <v>2</v>
      </c>
      <c r="I861" s="4">
        <v>7</v>
      </c>
      <c r="J861" s="1">
        <v>45482</v>
      </c>
      <c r="K861" s="2">
        <v>2.8111111111111114E-2</v>
      </c>
      <c r="M861" s="4" t="str">
        <f t="shared" si="39"/>
        <v>LOW</v>
      </c>
      <c r="N861" s="4" t="str" cm="1">
        <f t="array" ref="N861">_xlfn.IFS(C861&gt;35,"HIGH",C861&gt;25,"MIDDLE",TRUE,"LOW")</f>
        <v>MIDDLE</v>
      </c>
      <c r="O861" s="4" t="str">
        <f t="shared" si="40"/>
        <v>OTHERS</v>
      </c>
      <c r="P861" s="4" t="str">
        <f t="shared" si="41"/>
        <v>PREMINUM MORNING</v>
      </c>
    </row>
    <row r="862" spans="1:16" x14ac:dyDescent="0.3">
      <c r="A862" s="4">
        <v>11</v>
      </c>
      <c r="B862" t="s">
        <v>11</v>
      </c>
      <c r="C862" s="4">
        <v>27.92</v>
      </c>
      <c r="D862" t="s">
        <v>19</v>
      </c>
      <c r="E862" t="s">
        <v>13</v>
      </c>
      <c r="F862" s="4" t="s">
        <v>27</v>
      </c>
      <c r="G862" s="4" t="s">
        <v>34</v>
      </c>
      <c r="H862" s="4">
        <v>2</v>
      </c>
      <c r="I862" s="4">
        <v>7</v>
      </c>
      <c r="J862" s="1">
        <v>45482</v>
      </c>
      <c r="K862" s="2">
        <v>1.5001157407407406E-2</v>
      </c>
      <c r="M862" s="4" t="str">
        <f t="shared" si="39"/>
        <v>LOW</v>
      </c>
      <c r="N862" s="4" t="str" cm="1">
        <f t="array" ref="N862">_xlfn.IFS(C862&gt;35,"HIGH",C862&gt;25,"MIDDLE",TRUE,"LOW")</f>
        <v>MIDDLE</v>
      </c>
      <c r="O862" s="4" t="str">
        <f t="shared" si="40"/>
        <v>OTHERS</v>
      </c>
      <c r="P862" s="4" t="str">
        <f t="shared" si="41"/>
        <v>PREMINUM MORNING</v>
      </c>
    </row>
    <row r="863" spans="1:16" x14ac:dyDescent="0.3">
      <c r="A863" s="4">
        <v>11</v>
      </c>
      <c r="B863" t="s">
        <v>11</v>
      </c>
      <c r="C863" s="4">
        <v>32.82</v>
      </c>
      <c r="D863" t="s">
        <v>29</v>
      </c>
      <c r="E863" t="s">
        <v>13</v>
      </c>
      <c r="F863" s="4" t="s">
        <v>27</v>
      </c>
      <c r="G863" s="4" t="s">
        <v>34</v>
      </c>
      <c r="H863" s="4">
        <v>2</v>
      </c>
      <c r="I863" s="4">
        <v>7</v>
      </c>
      <c r="J863" s="1">
        <v>45482</v>
      </c>
      <c r="K863" s="2">
        <v>1.5855324074074074E-2</v>
      </c>
      <c r="M863" s="4" t="str">
        <f t="shared" si="39"/>
        <v>LOW</v>
      </c>
      <c r="N863" s="4" t="str" cm="1">
        <f t="array" ref="N863">_xlfn.IFS(C863&gt;35,"HIGH",C863&gt;25,"MIDDLE",TRUE,"LOW")</f>
        <v>MIDDLE</v>
      </c>
      <c r="O863" s="4" t="str">
        <f t="shared" si="40"/>
        <v>OTHERS</v>
      </c>
      <c r="P863" s="4" t="str">
        <f t="shared" si="41"/>
        <v>PREMINUM MORNING</v>
      </c>
    </row>
    <row r="864" spans="1:16" x14ac:dyDescent="0.3">
      <c r="A864" s="4">
        <v>16</v>
      </c>
      <c r="B864" t="s">
        <v>11</v>
      </c>
      <c r="C864" s="4">
        <v>27.92</v>
      </c>
      <c r="D864" t="s">
        <v>19</v>
      </c>
      <c r="E864" t="s">
        <v>17</v>
      </c>
      <c r="F864" s="4" t="s">
        <v>27</v>
      </c>
      <c r="G864" s="4" t="s">
        <v>34</v>
      </c>
      <c r="H864" s="4">
        <v>2</v>
      </c>
      <c r="I864" s="4">
        <v>7</v>
      </c>
      <c r="J864" s="1">
        <v>45482</v>
      </c>
      <c r="K864" s="2">
        <v>2.9855324074074076E-2</v>
      </c>
      <c r="M864" s="4" t="str">
        <f t="shared" si="39"/>
        <v>LOW</v>
      </c>
      <c r="N864" s="4" t="str" cm="1">
        <f t="array" ref="N864">_xlfn.IFS(C864&gt;35,"HIGH",C864&gt;25,"MIDDLE",TRUE,"LOW")</f>
        <v>MIDDLE</v>
      </c>
      <c r="O864" s="4" t="str">
        <f t="shared" si="40"/>
        <v>OTHERS</v>
      </c>
      <c r="P864" s="4" t="str">
        <f t="shared" si="41"/>
        <v>OTHERS</v>
      </c>
    </row>
    <row r="865" spans="1:16" x14ac:dyDescent="0.3">
      <c r="A865" s="4">
        <v>11</v>
      </c>
      <c r="B865" t="s">
        <v>11</v>
      </c>
      <c r="C865" s="4">
        <v>23.02</v>
      </c>
      <c r="D865" t="s">
        <v>18</v>
      </c>
      <c r="E865" t="s">
        <v>13</v>
      </c>
      <c r="F865" s="4" t="s">
        <v>28</v>
      </c>
      <c r="G865" s="4" t="s">
        <v>34</v>
      </c>
      <c r="H865" s="4">
        <v>3</v>
      </c>
      <c r="I865" s="4">
        <v>7</v>
      </c>
      <c r="J865" s="1">
        <v>45483</v>
      </c>
      <c r="K865" s="2">
        <v>7.4270833333333341E-3</v>
      </c>
      <c r="M865" s="4" t="str">
        <f t="shared" si="39"/>
        <v>LOW</v>
      </c>
      <c r="N865" s="4" t="str" cm="1">
        <f t="array" ref="N865">_xlfn.IFS(C865&gt;35,"HIGH",C865&gt;25,"MIDDLE",TRUE,"LOW")</f>
        <v>LOW</v>
      </c>
      <c r="O865" s="4" t="str">
        <f t="shared" si="40"/>
        <v>OTHERS</v>
      </c>
      <c r="P865" s="4" t="str">
        <f t="shared" si="41"/>
        <v>PREMINUM MORNING</v>
      </c>
    </row>
    <row r="866" spans="1:16" x14ac:dyDescent="0.3">
      <c r="A866" s="4">
        <v>12</v>
      </c>
      <c r="B866" t="s">
        <v>11</v>
      </c>
      <c r="C866" s="4">
        <v>27.92</v>
      </c>
      <c r="D866" t="s">
        <v>19</v>
      </c>
      <c r="E866" t="s">
        <v>17</v>
      </c>
      <c r="F866" s="4" t="s">
        <v>28</v>
      </c>
      <c r="G866" s="4" t="s">
        <v>34</v>
      </c>
      <c r="H866" s="4">
        <v>3</v>
      </c>
      <c r="I866" s="4">
        <v>7</v>
      </c>
      <c r="J866" s="1">
        <v>45483</v>
      </c>
      <c r="K866" s="2">
        <v>2.0065972222222221E-2</v>
      </c>
      <c r="M866" s="4" t="str">
        <f t="shared" si="39"/>
        <v>LOW</v>
      </c>
      <c r="N866" s="4" t="str" cm="1">
        <f t="array" ref="N866">_xlfn.IFS(C866&gt;35,"HIGH",C866&gt;25,"MIDDLE",TRUE,"LOW")</f>
        <v>MIDDLE</v>
      </c>
      <c r="O866" s="4" t="str">
        <f t="shared" si="40"/>
        <v>OTHERS</v>
      </c>
      <c r="P866" s="4" t="str">
        <f t="shared" si="41"/>
        <v>OTHERS</v>
      </c>
    </row>
    <row r="867" spans="1:16" x14ac:dyDescent="0.3">
      <c r="A867" s="4">
        <v>22</v>
      </c>
      <c r="B867" t="s">
        <v>11</v>
      </c>
      <c r="C867" s="4">
        <v>32.82</v>
      </c>
      <c r="D867" t="s">
        <v>12</v>
      </c>
      <c r="E867" t="s">
        <v>20</v>
      </c>
      <c r="F867" s="4" t="s">
        <v>28</v>
      </c>
      <c r="G867" s="4" t="s">
        <v>34</v>
      </c>
      <c r="H867" s="4">
        <v>3</v>
      </c>
      <c r="I867" s="4">
        <v>7</v>
      </c>
      <c r="J867" s="1">
        <v>45483</v>
      </c>
      <c r="K867" s="2">
        <v>9.1435185185185178E-3</v>
      </c>
      <c r="M867" s="4" t="str">
        <f t="shared" si="39"/>
        <v>LOW</v>
      </c>
      <c r="N867" s="4" t="str" cm="1">
        <f t="array" ref="N867">_xlfn.IFS(C867&gt;35,"HIGH",C867&gt;25,"MIDDLE",TRUE,"LOW")</f>
        <v>MIDDLE</v>
      </c>
      <c r="O867" s="4" t="str">
        <f t="shared" si="40"/>
        <v>OTHERS</v>
      </c>
      <c r="P867" s="4" t="str">
        <f t="shared" si="41"/>
        <v>OTHERS</v>
      </c>
    </row>
    <row r="868" spans="1:16" x14ac:dyDescent="0.3">
      <c r="A868" s="4">
        <v>11</v>
      </c>
      <c r="B868" t="s">
        <v>11</v>
      </c>
      <c r="C868" s="4">
        <v>32.82</v>
      </c>
      <c r="D868" t="s">
        <v>16</v>
      </c>
      <c r="E868" t="s">
        <v>13</v>
      </c>
      <c r="F868" s="4" t="s">
        <v>30</v>
      </c>
      <c r="G868" s="4" t="s">
        <v>34</v>
      </c>
      <c r="H868" s="4">
        <v>4</v>
      </c>
      <c r="I868" s="4">
        <v>7</v>
      </c>
      <c r="J868" s="1">
        <v>45484</v>
      </c>
      <c r="K868" s="2">
        <v>1.9069444444444444E-2</v>
      </c>
      <c r="M868" s="4" t="str">
        <f t="shared" si="39"/>
        <v>LOW</v>
      </c>
      <c r="N868" s="4" t="str" cm="1">
        <f t="array" ref="N868">_xlfn.IFS(C868&gt;35,"HIGH",C868&gt;25,"MIDDLE",TRUE,"LOW")</f>
        <v>MIDDLE</v>
      </c>
      <c r="O868" s="4" t="str">
        <f t="shared" si="40"/>
        <v>OTHERS</v>
      </c>
      <c r="P868" s="4" t="str">
        <f t="shared" si="41"/>
        <v>PREMINUM MORNING</v>
      </c>
    </row>
    <row r="869" spans="1:16" x14ac:dyDescent="0.3">
      <c r="A869" s="4">
        <v>16</v>
      </c>
      <c r="B869" t="s">
        <v>11</v>
      </c>
      <c r="C869" s="4">
        <v>27.92</v>
      </c>
      <c r="D869" t="s">
        <v>19</v>
      </c>
      <c r="E869" t="s">
        <v>17</v>
      </c>
      <c r="F869" s="4" t="s">
        <v>30</v>
      </c>
      <c r="G869" s="4" t="s">
        <v>34</v>
      </c>
      <c r="H869" s="4">
        <v>4</v>
      </c>
      <c r="I869" s="4">
        <v>7</v>
      </c>
      <c r="J869" s="1">
        <v>45484</v>
      </c>
      <c r="K869" s="2">
        <v>3.3549768518518513E-2</v>
      </c>
      <c r="M869" s="4" t="str">
        <f t="shared" si="39"/>
        <v>LOW</v>
      </c>
      <c r="N869" s="4" t="str" cm="1">
        <f t="array" ref="N869">_xlfn.IFS(C869&gt;35,"HIGH",C869&gt;25,"MIDDLE",TRUE,"LOW")</f>
        <v>MIDDLE</v>
      </c>
      <c r="O869" s="4" t="str">
        <f t="shared" si="40"/>
        <v>OTHERS</v>
      </c>
      <c r="P869" s="4" t="str">
        <f t="shared" si="41"/>
        <v>OTHERS</v>
      </c>
    </row>
    <row r="870" spans="1:16" x14ac:dyDescent="0.3">
      <c r="A870" s="4">
        <v>22</v>
      </c>
      <c r="B870" t="s">
        <v>11</v>
      </c>
      <c r="C870" s="4">
        <v>32.82</v>
      </c>
      <c r="D870" t="s">
        <v>12</v>
      </c>
      <c r="E870" t="s">
        <v>20</v>
      </c>
      <c r="F870" s="4" t="s">
        <v>30</v>
      </c>
      <c r="G870" s="4" t="s">
        <v>34</v>
      </c>
      <c r="H870" s="4">
        <v>4</v>
      </c>
      <c r="I870" s="4">
        <v>7</v>
      </c>
      <c r="J870" s="1">
        <v>45484</v>
      </c>
      <c r="K870" s="2">
        <v>1.5435185185185184E-2</v>
      </c>
      <c r="M870" s="4" t="str">
        <f t="shared" si="39"/>
        <v>LOW</v>
      </c>
      <c r="N870" s="4" t="str" cm="1">
        <f t="array" ref="N870">_xlfn.IFS(C870&gt;35,"HIGH",C870&gt;25,"MIDDLE",TRUE,"LOW")</f>
        <v>MIDDLE</v>
      </c>
      <c r="O870" s="4" t="str">
        <f t="shared" si="40"/>
        <v>OTHERS</v>
      </c>
      <c r="P870" s="4" t="str">
        <f t="shared" si="41"/>
        <v>OTHERS</v>
      </c>
    </row>
    <row r="871" spans="1:16" x14ac:dyDescent="0.3">
      <c r="A871" s="4">
        <v>22</v>
      </c>
      <c r="B871" t="s">
        <v>11</v>
      </c>
      <c r="C871" s="4">
        <v>23.02</v>
      </c>
      <c r="D871" t="s">
        <v>18</v>
      </c>
      <c r="E871" t="s">
        <v>20</v>
      </c>
      <c r="F871" s="4" t="s">
        <v>30</v>
      </c>
      <c r="G871" s="4" t="s">
        <v>34</v>
      </c>
      <c r="H871" s="4">
        <v>4</v>
      </c>
      <c r="I871" s="4">
        <v>7</v>
      </c>
      <c r="J871" s="1">
        <v>45484</v>
      </c>
      <c r="K871" s="2">
        <v>2.1510416666666667E-2</v>
      </c>
      <c r="M871" s="4" t="str">
        <f t="shared" si="39"/>
        <v>LOW</v>
      </c>
      <c r="N871" s="4" t="str" cm="1">
        <f t="array" ref="N871">_xlfn.IFS(C871&gt;35,"HIGH",C871&gt;25,"MIDDLE",TRUE,"LOW")</f>
        <v>LOW</v>
      </c>
      <c r="O871" s="4" t="str">
        <f t="shared" si="40"/>
        <v>OTHERS</v>
      </c>
      <c r="P871" s="4" t="str">
        <f t="shared" si="41"/>
        <v>OTHERS</v>
      </c>
    </row>
    <row r="872" spans="1:16" x14ac:dyDescent="0.3">
      <c r="A872" s="4">
        <v>8</v>
      </c>
      <c r="B872" t="s">
        <v>11</v>
      </c>
      <c r="C872" s="4">
        <v>23.02</v>
      </c>
      <c r="D872" t="s">
        <v>24</v>
      </c>
      <c r="E872" t="s">
        <v>13</v>
      </c>
      <c r="F872" s="4" t="s">
        <v>14</v>
      </c>
      <c r="G872" s="4" t="s">
        <v>34</v>
      </c>
      <c r="H872" s="4">
        <v>5</v>
      </c>
      <c r="I872" s="4">
        <v>7</v>
      </c>
      <c r="J872" s="1">
        <v>45485</v>
      </c>
      <c r="K872" s="2">
        <v>2.2858796296296295E-3</v>
      </c>
      <c r="M872" s="4" t="str">
        <f t="shared" si="39"/>
        <v>LOW</v>
      </c>
      <c r="N872" s="4" t="str" cm="1">
        <f t="array" ref="N872">_xlfn.IFS(C872&gt;35,"HIGH",C872&gt;25,"MIDDLE",TRUE,"LOW")</f>
        <v>LOW</v>
      </c>
      <c r="O872" s="4" t="str">
        <f t="shared" si="40"/>
        <v>OTHERS</v>
      </c>
      <c r="P872" s="4" t="str">
        <f t="shared" si="41"/>
        <v>PREMINUM MORNING</v>
      </c>
    </row>
    <row r="873" spans="1:16" x14ac:dyDescent="0.3">
      <c r="A873" s="4">
        <v>11</v>
      </c>
      <c r="B873" t="s">
        <v>11</v>
      </c>
      <c r="C873" s="4">
        <v>32.82</v>
      </c>
      <c r="D873" t="s">
        <v>16</v>
      </c>
      <c r="E873" t="s">
        <v>13</v>
      </c>
      <c r="F873" s="4" t="s">
        <v>14</v>
      </c>
      <c r="G873" s="4" t="s">
        <v>34</v>
      </c>
      <c r="H873" s="4">
        <v>5</v>
      </c>
      <c r="I873" s="4">
        <v>7</v>
      </c>
      <c r="J873" s="1">
        <v>45485</v>
      </c>
      <c r="K873" s="2">
        <v>3.3719907407407407E-2</v>
      </c>
      <c r="M873" s="4" t="str">
        <f t="shared" si="39"/>
        <v>LOW</v>
      </c>
      <c r="N873" s="4" t="str" cm="1">
        <f t="array" ref="N873">_xlfn.IFS(C873&gt;35,"HIGH",C873&gt;25,"MIDDLE",TRUE,"LOW")</f>
        <v>MIDDLE</v>
      </c>
      <c r="O873" s="4" t="str">
        <f t="shared" si="40"/>
        <v>OTHERS</v>
      </c>
      <c r="P873" s="4" t="str">
        <f t="shared" si="41"/>
        <v>PREMINUM MORNING</v>
      </c>
    </row>
    <row r="874" spans="1:16" x14ac:dyDescent="0.3">
      <c r="A874" s="4">
        <v>22</v>
      </c>
      <c r="B874" t="s">
        <v>11</v>
      </c>
      <c r="C874" s="4">
        <v>32.82</v>
      </c>
      <c r="D874" t="s">
        <v>16</v>
      </c>
      <c r="E874" t="s">
        <v>20</v>
      </c>
      <c r="F874" s="4" t="s">
        <v>14</v>
      </c>
      <c r="G874" s="4" t="s">
        <v>34</v>
      </c>
      <c r="H874" s="4">
        <v>5</v>
      </c>
      <c r="I874" s="4">
        <v>7</v>
      </c>
      <c r="J874" s="1">
        <v>45485</v>
      </c>
      <c r="K874" s="2">
        <v>2.3212962962962963E-2</v>
      </c>
      <c r="M874" s="4" t="str">
        <f t="shared" si="39"/>
        <v>LOW</v>
      </c>
      <c r="N874" s="4" t="str" cm="1">
        <f t="array" ref="N874">_xlfn.IFS(C874&gt;35,"HIGH",C874&gt;25,"MIDDLE",TRUE,"LOW")</f>
        <v>MIDDLE</v>
      </c>
      <c r="O874" s="4" t="str">
        <f t="shared" si="40"/>
        <v>OTHERS</v>
      </c>
      <c r="P874" s="4" t="str">
        <f t="shared" si="41"/>
        <v>OTHERS</v>
      </c>
    </row>
    <row r="875" spans="1:16" x14ac:dyDescent="0.3">
      <c r="A875" s="4">
        <v>22</v>
      </c>
      <c r="B875" t="s">
        <v>11</v>
      </c>
      <c r="C875" s="4">
        <v>32.82</v>
      </c>
      <c r="D875" t="s">
        <v>16</v>
      </c>
      <c r="E875" t="s">
        <v>20</v>
      </c>
      <c r="F875" s="4" t="s">
        <v>14</v>
      </c>
      <c r="G875" s="4" t="s">
        <v>34</v>
      </c>
      <c r="H875" s="4">
        <v>5</v>
      </c>
      <c r="I875" s="4">
        <v>7</v>
      </c>
      <c r="J875" s="1">
        <v>45485</v>
      </c>
      <c r="K875" s="2">
        <v>2.3776620370370372E-2</v>
      </c>
      <c r="M875" s="4" t="str">
        <f t="shared" si="39"/>
        <v>LOW</v>
      </c>
      <c r="N875" s="4" t="str" cm="1">
        <f t="array" ref="N875">_xlfn.IFS(C875&gt;35,"HIGH",C875&gt;25,"MIDDLE",TRUE,"LOW")</f>
        <v>MIDDLE</v>
      </c>
      <c r="O875" s="4" t="str">
        <f t="shared" si="40"/>
        <v>OTHERS</v>
      </c>
      <c r="P875" s="4" t="str">
        <f t="shared" si="41"/>
        <v>OTHERS</v>
      </c>
    </row>
    <row r="876" spans="1:16" x14ac:dyDescent="0.3">
      <c r="A876" s="4">
        <v>22</v>
      </c>
      <c r="B876" t="s">
        <v>11</v>
      </c>
      <c r="C876" s="4">
        <v>32.82</v>
      </c>
      <c r="D876" t="s">
        <v>16</v>
      </c>
      <c r="E876" t="s">
        <v>20</v>
      </c>
      <c r="F876" s="4" t="s">
        <v>14</v>
      </c>
      <c r="G876" s="4" t="s">
        <v>34</v>
      </c>
      <c r="H876" s="4">
        <v>5</v>
      </c>
      <c r="I876" s="4">
        <v>7</v>
      </c>
      <c r="J876" s="1">
        <v>45485</v>
      </c>
      <c r="K876" s="2">
        <v>2.464699074074074E-2</v>
      </c>
      <c r="M876" s="4" t="str">
        <f t="shared" si="39"/>
        <v>LOW</v>
      </c>
      <c r="N876" s="4" t="str" cm="1">
        <f t="array" ref="N876">_xlfn.IFS(C876&gt;35,"HIGH",C876&gt;25,"MIDDLE",TRUE,"LOW")</f>
        <v>MIDDLE</v>
      </c>
      <c r="O876" s="4" t="str">
        <f t="shared" si="40"/>
        <v>OTHERS</v>
      </c>
      <c r="P876" s="4" t="str">
        <f t="shared" si="41"/>
        <v>OTHERS</v>
      </c>
    </row>
    <row r="877" spans="1:16" x14ac:dyDescent="0.3">
      <c r="A877" s="4">
        <v>10</v>
      </c>
      <c r="B877" t="s">
        <v>11</v>
      </c>
      <c r="C877" s="4">
        <v>32.82</v>
      </c>
      <c r="D877" t="s">
        <v>12</v>
      </c>
      <c r="E877" t="s">
        <v>13</v>
      </c>
      <c r="F877" s="4" t="s">
        <v>22</v>
      </c>
      <c r="G877" s="4" t="s">
        <v>34</v>
      </c>
      <c r="H877" s="4">
        <v>6</v>
      </c>
      <c r="I877" s="4">
        <v>7</v>
      </c>
      <c r="J877" s="1">
        <v>45486</v>
      </c>
      <c r="K877" s="2">
        <v>2.6508101851851856E-2</v>
      </c>
      <c r="M877" s="4" t="str">
        <f t="shared" si="39"/>
        <v>LOW</v>
      </c>
      <c r="N877" s="4" t="str" cm="1">
        <f t="array" ref="N877">_xlfn.IFS(C877&gt;35,"HIGH",C877&gt;25,"MIDDLE",TRUE,"LOW")</f>
        <v>MIDDLE</v>
      </c>
      <c r="O877" s="4" t="str">
        <f t="shared" si="40"/>
        <v>OTHERS</v>
      </c>
      <c r="P877" s="4" t="str">
        <f t="shared" si="41"/>
        <v>PREMINUM MORNING</v>
      </c>
    </row>
    <row r="878" spans="1:16" x14ac:dyDescent="0.3">
      <c r="A878" s="4">
        <v>11</v>
      </c>
      <c r="B878" t="s">
        <v>11</v>
      </c>
      <c r="C878" s="4">
        <v>32.82</v>
      </c>
      <c r="D878" t="s">
        <v>12</v>
      </c>
      <c r="E878" t="s">
        <v>13</v>
      </c>
      <c r="F878" s="4" t="s">
        <v>22</v>
      </c>
      <c r="G878" s="4" t="s">
        <v>34</v>
      </c>
      <c r="H878" s="4">
        <v>6</v>
      </c>
      <c r="I878" s="4">
        <v>7</v>
      </c>
      <c r="J878" s="1">
        <v>45486</v>
      </c>
      <c r="K878" s="2">
        <v>2.8913194444444443E-2</v>
      </c>
      <c r="M878" s="4" t="str">
        <f t="shared" si="39"/>
        <v>LOW</v>
      </c>
      <c r="N878" s="4" t="str" cm="1">
        <f t="array" ref="N878">_xlfn.IFS(C878&gt;35,"HIGH",C878&gt;25,"MIDDLE",TRUE,"LOW")</f>
        <v>MIDDLE</v>
      </c>
      <c r="O878" s="4" t="str">
        <f t="shared" si="40"/>
        <v>OTHERS</v>
      </c>
      <c r="P878" s="4" t="str">
        <f t="shared" si="41"/>
        <v>PREMINUM MORNING</v>
      </c>
    </row>
    <row r="879" spans="1:16" x14ac:dyDescent="0.3">
      <c r="A879" s="4">
        <v>10</v>
      </c>
      <c r="B879" t="s">
        <v>11</v>
      </c>
      <c r="C879" s="4">
        <v>23.02</v>
      </c>
      <c r="D879" t="s">
        <v>18</v>
      </c>
      <c r="E879" t="s">
        <v>13</v>
      </c>
      <c r="F879" s="4" t="s">
        <v>23</v>
      </c>
      <c r="G879" s="4" t="s">
        <v>34</v>
      </c>
      <c r="H879" s="4">
        <v>7</v>
      </c>
      <c r="I879" s="4">
        <v>7</v>
      </c>
      <c r="J879" s="1">
        <v>45487</v>
      </c>
      <c r="K879" s="2">
        <v>3.7781250000000002E-2</v>
      </c>
      <c r="M879" s="4" t="str">
        <f t="shared" si="39"/>
        <v>LOW</v>
      </c>
      <c r="N879" s="4" t="str" cm="1">
        <f t="array" ref="N879">_xlfn.IFS(C879&gt;35,"HIGH",C879&gt;25,"MIDDLE",TRUE,"LOW")</f>
        <v>LOW</v>
      </c>
      <c r="O879" s="4" t="str">
        <f t="shared" si="40"/>
        <v>OTHERS</v>
      </c>
      <c r="P879" s="4" t="str">
        <f t="shared" si="41"/>
        <v>PREMINUM MORNING</v>
      </c>
    </row>
    <row r="880" spans="1:16" x14ac:dyDescent="0.3">
      <c r="A880" s="4">
        <v>10</v>
      </c>
      <c r="B880" t="s">
        <v>11</v>
      </c>
      <c r="C880" s="4">
        <v>27.92</v>
      </c>
      <c r="D880" t="s">
        <v>19</v>
      </c>
      <c r="E880" t="s">
        <v>13</v>
      </c>
      <c r="F880" s="4" t="s">
        <v>23</v>
      </c>
      <c r="G880" s="4" t="s">
        <v>34</v>
      </c>
      <c r="H880" s="4">
        <v>7</v>
      </c>
      <c r="I880" s="4">
        <v>7</v>
      </c>
      <c r="J880" s="1">
        <v>45487</v>
      </c>
      <c r="K880" s="2">
        <v>3.8547453703703702E-2</v>
      </c>
      <c r="M880" s="4" t="str">
        <f t="shared" si="39"/>
        <v>LOW</v>
      </c>
      <c r="N880" s="4" t="str" cm="1">
        <f t="array" ref="N880">_xlfn.IFS(C880&gt;35,"HIGH",C880&gt;25,"MIDDLE",TRUE,"LOW")</f>
        <v>MIDDLE</v>
      </c>
      <c r="O880" s="4" t="str">
        <f t="shared" si="40"/>
        <v>OTHERS</v>
      </c>
      <c r="P880" s="4" t="str">
        <f t="shared" si="41"/>
        <v>PREMINUM MORNING</v>
      </c>
    </row>
    <row r="881" spans="1:16" x14ac:dyDescent="0.3">
      <c r="A881" s="4">
        <v>10</v>
      </c>
      <c r="B881" t="s">
        <v>11</v>
      </c>
      <c r="C881" s="4">
        <v>32.82</v>
      </c>
      <c r="D881" t="s">
        <v>29</v>
      </c>
      <c r="E881" t="s">
        <v>13</v>
      </c>
      <c r="F881" s="4" t="s">
        <v>23</v>
      </c>
      <c r="G881" s="4" t="s">
        <v>34</v>
      </c>
      <c r="H881" s="4">
        <v>7</v>
      </c>
      <c r="I881" s="4">
        <v>7</v>
      </c>
      <c r="J881" s="1">
        <v>45487</v>
      </c>
      <c r="K881" s="2">
        <v>3.9239583333333335E-2</v>
      </c>
      <c r="M881" s="4" t="str">
        <f t="shared" si="39"/>
        <v>LOW</v>
      </c>
      <c r="N881" s="4" t="str" cm="1">
        <f t="array" ref="N881">_xlfn.IFS(C881&gt;35,"HIGH",C881&gt;25,"MIDDLE",TRUE,"LOW")</f>
        <v>MIDDLE</v>
      </c>
      <c r="O881" s="4" t="str">
        <f t="shared" si="40"/>
        <v>OTHERS</v>
      </c>
      <c r="P881" s="4" t="str">
        <f t="shared" si="41"/>
        <v>PREMINUM MORNING</v>
      </c>
    </row>
    <row r="882" spans="1:16" x14ac:dyDescent="0.3">
      <c r="A882" s="4">
        <v>10</v>
      </c>
      <c r="B882" t="s">
        <v>11</v>
      </c>
      <c r="C882" s="4">
        <v>32.82</v>
      </c>
      <c r="D882" t="s">
        <v>12</v>
      </c>
      <c r="E882" t="s">
        <v>13</v>
      </c>
      <c r="F882" s="4" t="s">
        <v>23</v>
      </c>
      <c r="G882" s="4" t="s">
        <v>34</v>
      </c>
      <c r="H882" s="4">
        <v>7</v>
      </c>
      <c r="I882" s="4">
        <v>7</v>
      </c>
      <c r="J882" s="1">
        <v>45487</v>
      </c>
      <c r="K882" s="2">
        <v>4.020949074074074E-2</v>
      </c>
      <c r="M882" s="4" t="str">
        <f t="shared" si="39"/>
        <v>LOW</v>
      </c>
      <c r="N882" s="4" t="str" cm="1">
        <f t="array" ref="N882">_xlfn.IFS(C882&gt;35,"HIGH",C882&gt;25,"MIDDLE",TRUE,"LOW")</f>
        <v>MIDDLE</v>
      </c>
      <c r="O882" s="4" t="str">
        <f t="shared" si="40"/>
        <v>OTHERS</v>
      </c>
      <c r="P882" s="4" t="str">
        <f t="shared" si="41"/>
        <v>PREMINUM MORNING</v>
      </c>
    </row>
    <row r="883" spans="1:16" x14ac:dyDescent="0.3">
      <c r="A883" s="4">
        <v>11</v>
      </c>
      <c r="B883" t="s">
        <v>11</v>
      </c>
      <c r="C883" s="4">
        <v>23.02</v>
      </c>
      <c r="D883" t="s">
        <v>18</v>
      </c>
      <c r="E883" t="s">
        <v>13</v>
      </c>
      <c r="F883" s="4" t="s">
        <v>23</v>
      </c>
      <c r="G883" s="4" t="s">
        <v>34</v>
      </c>
      <c r="H883" s="4">
        <v>7</v>
      </c>
      <c r="I883" s="4">
        <v>7</v>
      </c>
      <c r="J883" s="1">
        <v>45487</v>
      </c>
      <c r="K883" s="2">
        <v>1.5254629629629631E-3</v>
      </c>
      <c r="M883" s="4" t="str">
        <f t="shared" si="39"/>
        <v>LOW</v>
      </c>
      <c r="N883" s="4" t="str" cm="1">
        <f t="array" ref="N883">_xlfn.IFS(C883&gt;35,"HIGH",C883&gt;25,"MIDDLE",TRUE,"LOW")</f>
        <v>LOW</v>
      </c>
      <c r="O883" s="4" t="str">
        <f t="shared" si="40"/>
        <v>OTHERS</v>
      </c>
      <c r="P883" s="4" t="str">
        <f t="shared" si="41"/>
        <v>PREMINUM MORNING</v>
      </c>
    </row>
    <row r="884" spans="1:16" x14ac:dyDescent="0.3">
      <c r="A884" s="4">
        <v>22</v>
      </c>
      <c r="B884" t="s">
        <v>11</v>
      </c>
      <c r="C884" s="4">
        <v>32.82</v>
      </c>
      <c r="D884" t="s">
        <v>12</v>
      </c>
      <c r="E884" t="s">
        <v>20</v>
      </c>
      <c r="F884" s="4" t="s">
        <v>23</v>
      </c>
      <c r="G884" s="4" t="s">
        <v>34</v>
      </c>
      <c r="H884" s="4">
        <v>7</v>
      </c>
      <c r="I884" s="4">
        <v>7</v>
      </c>
      <c r="J884" s="1">
        <v>45487</v>
      </c>
      <c r="K884" s="2">
        <v>2.1874999999999999E-2</v>
      </c>
      <c r="M884" s="4" t="str">
        <f t="shared" si="39"/>
        <v>LOW</v>
      </c>
      <c r="N884" s="4" t="str" cm="1">
        <f t="array" ref="N884">_xlfn.IFS(C884&gt;35,"HIGH",C884&gt;25,"MIDDLE",TRUE,"LOW")</f>
        <v>MIDDLE</v>
      </c>
      <c r="O884" s="4" t="str">
        <f t="shared" si="40"/>
        <v>OTHERS</v>
      </c>
      <c r="P884" s="4" t="str">
        <f t="shared" si="41"/>
        <v>OTHERS</v>
      </c>
    </row>
    <row r="885" spans="1:16" x14ac:dyDescent="0.3">
      <c r="A885" s="4">
        <v>7</v>
      </c>
      <c r="B885" t="s">
        <v>11</v>
      </c>
      <c r="C885" s="4">
        <v>32.82</v>
      </c>
      <c r="D885" t="s">
        <v>29</v>
      </c>
      <c r="E885" t="s">
        <v>13</v>
      </c>
      <c r="F885" s="4" t="s">
        <v>25</v>
      </c>
      <c r="G885" s="4" t="s">
        <v>34</v>
      </c>
      <c r="H885" s="4">
        <v>1</v>
      </c>
      <c r="I885" s="4">
        <v>7</v>
      </c>
      <c r="J885" s="1">
        <v>45488</v>
      </c>
      <c r="K885" s="2">
        <v>2.2981481481481481E-2</v>
      </c>
      <c r="M885" s="4" t="str">
        <f t="shared" si="39"/>
        <v>LOW</v>
      </c>
      <c r="N885" s="4" t="str" cm="1">
        <f t="array" ref="N885">_xlfn.IFS(C885&gt;35,"HIGH",C885&gt;25,"MIDDLE",TRUE,"LOW")</f>
        <v>MIDDLE</v>
      </c>
      <c r="O885" s="4" t="str">
        <f t="shared" si="40"/>
        <v>OTHERS</v>
      </c>
      <c r="P885" s="4" t="str">
        <f t="shared" si="41"/>
        <v>PREMINUM MORNING</v>
      </c>
    </row>
    <row r="886" spans="1:16" x14ac:dyDescent="0.3">
      <c r="A886" s="4">
        <v>12</v>
      </c>
      <c r="B886" t="s">
        <v>11</v>
      </c>
      <c r="C886" s="4">
        <v>27.92</v>
      </c>
      <c r="D886" t="s">
        <v>19</v>
      </c>
      <c r="E886" t="s">
        <v>17</v>
      </c>
      <c r="F886" s="4" t="s">
        <v>27</v>
      </c>
      <c r="G886" s="4" t="s">
        <v>34</v>
      </c>
      <c r="H886" s="4">
        <v>2</v>
      </c>
      <c r="I886" s="4">
        <v>7</v>
      </c>
      <c r="J886" s="1">
        <v>45489</v>
      </c>
      <c r="K886" s="2">
        <v>1.6406250000000001E-2</v>
      </c>
      <c r="M886" s="4" t="str">
        <f t="shared" si="39"/>
        <v>LOW</v>
      </c>
      <c r="N886" s="4" t="str" cm="1">
        <f t="array" ref="N886">_xlfn.IFS(C886&gt;35,"HIGH",C886&gt;25,"MIDDLE",TRUE,"LOW")</f>
        <v>MIDDLE</v>
      </c>
      <c r="O886" s="4" t="str">
        <f t="shared" si="40"/>
        <v>OTHERS</v>
      </c>
      <c r="P886" s="4" t="str">
        <f t="shared" si="41"/>
        <v>OTHERS</v>
      </c>
    </row>
    <row r="887" spans="1:16" x14ac:dyDescent="0.3">
      <c r="A887" s="4">
        <v>19</v>
      </c>
      <c r="B887" t="s">
        <v>11</v>
      </c>
      <c r="C887" s="4">
        <v>32.82</v>
      </c>
      <c r="D887" t="s">
        <v>16</v>
      </c>
      <c r="E887" t="s">
        <v>20</v>
      </c>
      <c r="F887" s="4" t="s">
        <v>27</v>
      </c>
      <c r="G887" s="4" t="s">
        <v>34</v>
      </c>
      <c r="H887" s="4">
        <v>2</v>
      </c>
      <c r="I887" s="4">
        <v>7</v>
      </c>
      <c r="J887" s="1">
        <v>45489</v>
      </c>
      <c r="K887" s="2">
        <v>2.0434027777777777E-2</v>
      </c>
      <c r="M887" s="4" t="str">
        <f t="shared" si="39"/>
        <v>LOW</v>
      </c>
      <c r="N887" s="4" t="str" cm="1">
        <f t="array" ref="N887">_xlfn.IFS(C887&gt;35,"HIGH",C887&gt;25,"MIDDLE",TRUE,"LOW")</f>
        <v>MIDDLE</v>
      </c>
      <c r="O887" s="4" t="str">
        <f t="shared" si="40"/>
        <v>OTHERS</v>
      </c>
      <c r="P887" s="4" t="str">
        <f t="shared" si="41"/>
        <v>OTHERS</v>
      </c>
    </row>
    <row r="888" spans="1:16" x14ac:dyDescent="0.3">
      <c r="A888" s="4">
        <v>13</v>
      </c>
      <c r="B888" t="s">
        <v>11</v>
      </c>
      <c r="C888" s="4">
        <v>27.92</v>
      </c>
      <c r="D888" t="s">
        <v>19</v>
      </c>
      <c r="E888" t="s">
        <v>17</v>
      </c>
      <c r="F888" s="4" t="s">
        <v>28</v>
      </c>
      <c r="G888" s="4" t="s">
        <v>34</v>
      </c>
      <c r="H888" s="4">
        <v>3</v>
      </c>
      <c r="I888" s="4">
        <v>7</v>
      </c>
      <c r="J888" s="1">
        <v>45490</v>
      </c>
      <c r="K888" s="2">
        <v>3.46875E-3</v>
      </c>
      <c r="M888" s="4" t="str">
        <f t="shared" si="39"/>
        <v>LOW</v>
      </c>
      <c r="N888" s="4" t="str" cm="1">
        <f t="array" ref="N888">_xlfn.IFS(C888&gt;35,"HIGH",C888&gt;25,"MIDDLE",TRUE,"LOW")</f>
        <v>MIDDLE</v>
      </c>
      <c r="O888" s="4" t="str">
        <f t="shared" si="40"/>
        <v>OTHERS</v>
      </c>
      <c r="P888" s="4" t="str">
        <f t="shared" si="41"/>
        <v>OTHERS</v>
      </c>
    </row>
    <row r="889" spans="1:16" x14ac:dyDescent="0.3">
      <c r="A889" s="4">
        <v>11</v>
      </c>
      <c r="B889" t="s">
        <v>11</v>
      </c>
      <c r="C889" s="4">
        <v>27.92</v>
      </c>
      <c r="D889" t="s">
        <v>19</v>
      </c>
      <c r="E889" t="s">
        <v>13</v>
      </c>
      <c r="F889" s="4" t="s">
        <v>30</v>
      </c>
      <c r="G889" s="4" t="s">
        <v>34</v>
      </c>
      <c r="H889" s="4">
        <v>4</v>
      </c>
      <c r="I889" s="4">
        <v>7</v>
      </c>
      <c r="J889" s="1">
        <v>45491</v>
      </c>
      <c r="K889" s="2">
        <v>7.099537037037037E-3</v>
      </c>
      <c r="M889" s="4" t="str">
        <f t="shared" si="39"/>
        <v>LOW</v>
      </c>
      <c r="N889" s="4" t="str" cm="1">
        <f t="array" ref="N889">_xlfn.IFS(C889&gt;35,"HIGH",C889&gt;25,"MIDDLE",TRUE,"LOW")</f>
        <v>MIDDLE</v>
      </c>
      <c r="O889" s="4" t="str">
        <f t="shared" si="40"/>
        <v>OTHERS</v>
      </c>
      <c r="P889" s="4" t="str">
        <f t="shared" si="41"/>
        <v>PREMINUM MORNING</v>
      </c>
    </row>
    <row r="890" spans="1:16" x14ac:dyDescent="0.3">
      <c r="A890" s="4">
        <v>11</v>
      </c>
      <c r="B890" t="s">
        <v>11</v>
      </c>
      <c r="C890" s="4">
        <v>18.12</v>
      </c>
      <c r="D890" t="s">
        <v>26</v>
      </c>
      <c r="E890" t="s">
        <v>13</v>
      </c>
      <c r="F890" s="4" t="s">
        <v>30</v>
      </c>
      <c r="G890" s="4" t="s">
        <v>34</v>
      </c>
      <c r="H890" s="4">
        <v>4</v>
      </c>
      <c r="I890" s="4">
        <v>7</v>
      </c>
      <c r="J890" s="1">
        <v>45491</v>
      </c>
      <c r="K890" s="2">
        <v>7.9097222222222225E-3</v>
      </c>
      <c r="M890" s="4" t="str">
        <f t="shared" si="39"/>
        <v>LOW</v>
      </c>
      <c r="N890" s="4" t="str" cm="1">
        <f t="array" ref="N890">_xlfn.IFS(C890&gt;35,"HIGH",C890&gt;25,"MIDDLE",TRUE,"LOW")</f>
        <v>LOW</v>
      </c>
      <c r="O890" s="4" t="str">
        <f t="shared" si="40"/>
        <v>OTHERS</v>
      </c>
      <c r="P890" s="4" t="str">
        <f t="shared" si="41"/>
        <v>PREMINUM MORNING</v>
      </c>
    </row>
    <row r="891" spans="1:16" x14ac:dyDescent="0.3">
      <c r="A891" s="4">
        <v>11</v>
      </c>
      <c r="B891" t="s">
        <v>11</v>
      </c>
      <c r="C891" s="4">
        <v>23.02</v>
      </c>
      <c r="D891" t="s">
        <v>18</v>
      </c>
      <c r="E891" t="s">
        <v>13</v>
      </c>
      <c r="F891" s="4" t="s">
        <v>30</v>
      </c>
      <c r="G891" s="4" t="s">
        <v>34</v>
      </c>
      <c r="H891" s="4">
        <v>4</v>
      </c>
      <c r="I891" s="4">
        <v>7</v>
      </c>
      <c r="J891" s="1">
        <v>45491</v>
      </c>
      <c r="K891" s="2">
        <v>2.2912037037037036E-2</v>
      </c>
      <c r="M891" s="4" t="str">
        <f t="shared" si="39"/>
        <v>LOW</v>
      </c>
      <c r="N891" s="4" t="str" cm="1">
        <f t="array" ref="N891">_xlfn.IFS(C891&gt;35,"HIGH",C891&gt;25,"MIDDLE",TRUE,"LOW")</f>
        <v>LOW</v>
      </c>
      <c r="O891" s="4" t="str">
        <f t="shared" si="40"/>
        <v>OTHERS</v>
      </c>
      <c r="P891" s="4" t="str">
        <f t="shared" si="41"/>
        <v>PREMINUM MORNING</v>
      </c>
    </row>
    <row r="892" spans="1:16" x14ac:dyDescent="0.3">
      <c r="A892" s="4">
        <v>11</v>
      </c>
      <c r="B892" t="s">
        <v>11</v>
      </c>
      <c r="C892" s="4">
        <v>23.02</v>
      </c>
      <c r="D892" t="s">
        <v>18</v>
      </c>
      <c r="E892" t="s">
        <v>13</v>
      </c>
      <c r="F892" s="4" t="s">
        <v>30</v>
      </c>
      <c r="G892" s="4" t="s">
        <v>34</v>
      </c>
      <c r="H892" s="4">
        <v>4</v>
      </c>
      <c r="I892" s="4">
        <v>7</v>
      </c>
      <c r="J892" s="1">
        <v>45491</v>
      </c>
      <c r="K892" s="2">
        <v>2.4171296296296298E-2</v>
      </c>
      <c r="M892" s="4" t="str">
        <f t="shared" si="39"/>
        <v>LOW</v>
      </c>
      <c r="N892" s="4" t="str" cm="1">
        <f t="array" ref="N892">_xlfn.IFS(C892&gt;35,"HIGH",C892&gt;25,"MIDDLE",TRUE,"LOW")</f>
        <v>LOW</v>
      </c>
      <c r="O892" s="4" t="str">
        <f t="shared" si="40"/>
        <v>OTHERS</v>
      </c>
      <c r="P892" s="4" t="str">
        <f t="shared" si="41"/>
        <v>PREMINUM MORNING</v>
      </c>
    </row>
    <row r="893" spans="1:16" x14ac:dyDescent="0.3">
      <c r="A893" s="4">
        <v>11</v>
      </c>
      <c r="B893" t="s">
        <v>11</v>
      </c>
      <c r="C893" s="4">
        <v>23.02</v>
      </c>
      <c r="D893" t="s">
        <v>24</v>
      </c>
      <c r="E893" t="s">
        <v>13</v>
      </c>
      <c r="F893" s="4" t="s">
        <v>30</v>
      </c>
      <c r="G893" s="4" t="s">
        <v>34</v>
      </c>
      <c r="H893" s="4">
        <v>4</v>
      </c>
      <c r="I893" s="4">
        <v>7</v>
      </c>
      <c r="J893" s="1">
        <v>45491</v>
      </c>
      <c r="K893" s="2">
        <v>2.4901620370370369E-2</v>
      </c>
      <c r="M893" s="4" t="str">
        <f t="shared" si="39"/>
        <v>LOW</v>
      </c>
      <c r="N893" s="4" t="str" cm="1">
        <f t="array" ref="N893">_xlfn.IFS(C893&gt;35,"HIGH",C893&gt;25,"MIDDLE",TRUE,"LOW")</f>
        <v>LOW</v>
      </c>
      <c r="O893" s="4" t="str">
        <f t="shared" si="40"/>
        <v>OTHERS</v>
      </c>
      <c r="P893" s="4" t="str">
        <f t="shared" si="41"/>
        <v>PREMINUM MORNING</v>
      </c>
    </row>
    <row r="894" spans="1:16" x14ac:dyDescent="0.3">
      <c r="A894" s="4">
        <v>13</v>
      </c>
      <c r="B894" t="s">
        <v>11</v>
      </c>
      <c r="C894" s="4">
        <v>32.82</v>
      </c>
      <c r="D894" t="s">
        <v>12</v>
      </c>
      <c r="E894" t="s">
        <v>17</v>
      </c>
      <c r="F894" s="4" t="s">
        <v>30</v>
      </c>
      <c r="G894" s="4" t="s">
        <v>34</v>
      </c>
      <c r="H894" s="4">
        <v>4</v>
      </c>
      <c r="I894" s="4">
        <v>7</v>
      </c>
      <c r="J894" s="1">
        <v>45491</v>
      </c>
      <c r="K894" s="2">
        <v>1.6363425925925927E-2</v>
      </c>
      <c r="M894" s="4" t="str">
        <f t="shared" si="39"/>
        <v>LOW</v>
      </c>
      <c r="N894" s="4" t="str" cm="1">
        <f t="array" ref="N894">_xlfn.IFS(C894&gt;35,"HIGH",C894&gt;25,"MIDDLE",TRUE,"LOW")</f>
        <v>MIDDLE</v>
      </c>
      <c r="O894" s="4" t="str">
        <f t="shared" si="40"/>
        <v>OTHERS</v>
      </c>
      <c r="P894" s="4" t="str">
        <f t="shared" si="41"/>
        <v>OTHERS</v>
      </c>
    </row>
    <row r="895" spans="1:16" x14ac:dyDescent="0.3">
      <c r="A895" s="4">
        <v>18</v>
      </c>
      <c r="B895" t="s">
        <v>11</v>
      </c>
      <c r="C895" s="4">
        <v>32.82</v>
      </c>
      <c r="D895" t="s">
        <v>29</v>
      </c>
      <c r="E895" t="s">
        <v>20</v>
      </c>
      <c r="F895" s="4" t="s">
        <v>30</v>
      </c>
      <c r="G895" s="4" t="s">
        <v>34</v>
      </c>
      <c r="H895" s="4">
        <v>4</v>
      </c>
      <c r="I895" s="4">
        <v>7</v>
      </c>
      <c r="J895" s="1">
        <v>45491</v>
      </c>
      <c r="K895" s="2">
        <v>1.2770833333333334E-2</v>
      </c>
      <c r="M895" s="4" t="str">
        <f t="shared" si="39"/>
        <v>LOW</v>
      </c>
      <c r="N895" s="4" t="str" cm="1">
        <f t="array" ref="N895">_xlfn.IFS(C895&gt;35,"HIGH",C895&gt;25,"MIDDLE",TRUE,"LOW")</f>
        <v>MIDDLE</v>
      </c>
      <c r="O895" s="4" t="str">
        <f t="shared" si="40"/>
        <v>OTHERS</v>
      </c>
      <c r="P895" s="4" t="str">
        <f t="shared" si="41"/>
        <v>OTHERS</v>
      </c>
    </row>
    <row r="896" spans="1:16" x14ac:dyDescent="0.3">
      <c r="A896" s="4">
        <v>19</v>
      </c>
      <c r="B896" t="s">
        <v>11</v>
      </c>
      <c r="C896" s="4">
        <v>32.82</v>
      </c>
      <c r="D896" t="s">
        <v>12</v>
      </c>
      <c r="E896" t="s">
        <v>20</v>
      </c>
      <c r="F896" s="4" t="s">
        <v>30</v>
      </c>
      <c r="G896" s="4" t="s">
        <v>34</v>
      </c>
      <c r="H896" s="4">
        <v>4</v>
      </c>
      <c r="I896" s="4">
        <v>7</v>
      </c>
      <c r="J896" s="1">
        <v>45491</v>
      </c>
      <c r="K896" s="2">
        <v>2.141898148148148E-2</v>
      </c>
      <c r="M896" s="4" t="str">
        <f t="shared" si="39"/>
        <v>LOW</v>
      </c>
      <c r="N896" s="4" t="str" cm="1">
        <f t="array" ref="N896">_xlfn.IFS(C896&gt;35,"HIGH",C896&gt;25,"MIDDLE",TRUE,"LOW")</f>
        <v>MIDDLE</v>
      </c>
      <c r="O896" s="4" t="str">
        <f t="shared" si="40"/>
        <v>OTHERS</v>
      </c>
      <c r="P896" s="4" t="str">
        <f t="shared" si="41"/>
        <v>OTHERS</v>
      </c>
    </row>
    <row r="897" spans="1:16" x14ac:dyDescent="0.3">
      <c r="A897" s="4">
        <v>21</v>
      </c>
      <c r="B897" t="s">
        <v>11</v>
      </c>
      <c r="C897" s="4">
        <v>32.82</v>
      </c>
      <c r="D897" t="s">
        <v>16</v>
      </c>
      <c r="E897" t="s">
        <v>20</v>
      </c>
      <c r="F897" s="4" t="s">
        <v>30</v>
      </c>
      <c r="G897" s="4" t="s">
        <v>34</v>
      </c>
      <c r="H897" s="4">
        <v>4</v>
      </c>
      <c r="I897" s="4">
        <v>7</v>
      </c>
      <c r="J897" s="1">
        <v>45491</v>
      </c>
      <c r="K897" s="2">
        <v>1.3678240740740741E-2</v>
      </c>
      <c r="M897" s="4" t="str">
        <f t="shared" si="39"/>
        <v>LOW</v>
      </c>
      <c r="N897" s="4" t="str" cm="1">
        <f t="array" ref="N897">_xlfn.IFS(C897&gt;35,"HIGH",C897&gt;25,"MIDDLE",TRUE,"LOW")</f>
        <v>MIDDLE</v>
      </c>
      <c r="O897" s="4" t="str">
        <f t="shared" si="40"/>
        <v>OTHERS</v>
      </c>
      <c r="P897" s="4" t="str">
        <f t="shared" si="41"/>
        <v>OTHERS</v>
      </c>
    </row>
    <row r="898" spans="1:16" x14ac:dyDescent="0.3">
      <c r="A898" s="4">
        <v>21</v>
      </c>
      <c r="B898" t="s">
        <v>11</v>
      </c>
      <c r="C898" s="4">
        <v>32.82</v>
      </c>
      <c r="D898" t="s">
        <v>12</v>
      </c>
      <c r="E898" t="s">
        <v>20</v>
      </c>
      <c r="F898" s="4" t="s">
        <v>30</v>
      </c>
      <c r="G898" s="4" t="s">
        <v>34</v>
      </c>
      <c r="H898" s="4">
        <v>4</v>
      </c>
      <c r="I898" s="4">
        <v>7</v>
      </c>
      <c r="J898" s="1">
        <v>45491</v>
      </c>
      <c r="K898" s="2">
        <v>1.5276620370370371E-2</v>
      </c>
      <c r="M898" s="4" t="str">
        <f t="shared" si="39"/>
        <v>LOW</v>
      </c>
      <c r="N898" s="4" t="str" cm="1">
        <f t="array" ref="N898">_xlfn.IFS(C898&gt;35,"HIGH",C898&gt;25,"MIDDLE",TRUE,"LOW")</f>
        <v>MIDDLE</v>
      </c>
      <c r="O898" s="4" t="str">
        <f t="shared" si="40"/>
        <v>OTHERS</v>
      </c>
      <c r="P898" s="4" t="str">
        <f t="shared" si="41"/>
        <v>OTHERS</v>
      </c>
    </row>
    <row r="899" spans="1:16" x14ac:dyDescent="0.3">
      <c r="A899" s="4">
        <v>21</v>
      </c>
      <c r="B899" t="s">
        <v>11</v>
      </c>
      <c r="C899" s="4">
        <v>32.82</v>
      </c>
      <c r="D899" t="s">
        <v>12</v>
      </c>
      <c r="E899" t="s">
        <v>20</v>
      </c>
      <c r="F899" s="4" t="s">
        <v>30</v>
      </c>
      <c r="G899" s="4" t="s">
        <v>34</v>
      </c>
      <c r="H899" s="4">
        <v>4</v>
      </c>
      <c r="I899" s="4">
        <v>7</v>
      </c>
      <c r="J899" s="1">
        <v>45491</v>
      </c>
      <c r="K899" s="2">
        <v>3.216087962962963E-2</v>
      </c>
      <c r="M899" s="4" t="str">
        <f t="shared" ref="M899:M962" si="42">IF(C899&gt;35,"HIGH","LOW")</f>
        <v>LOW</v>
      </c>
      <c r="N899" s="4" t="str" cm="1">
        <f t="array" ref="N899">_xlfn.IFS(C899&gt;35,"HIGH",C899&gt;25,"MIDDLE",TRUE,"LOW")</f>
        <v>MIDDLE</v>
      </c>
      <c r="O899" s="4" t="str">
        <f t="shared" ref="O899:O962" si="43">IF(AND(C899&gt;35,E899="MORNING"),"PREMINUM MORNING","OTHERS")</f>
        <v>OTHERS</v>
      </c>
      <c r="P899" s="4" t="str">
        <f t="shared" ref="P899:P962" si="44">IF(OR(C899&gt;35,E899="MORNING"),"PREMINUM MORNING","OTHERS")</f>
        <v>OTHERS</v>
      </c>
    </row>
    <row r="900" spans="1:16" x14ac:dyDescent="0.3">
      <c r="A900" s="4">
        <v>11</v>
      </c>
      <c r="B900" t="s">
        <v>11</v>
      </c>
      <c r="C900" s="4">
        <v>23.02</v>
      </c>
      <c r="D900" t="s">
        <v>18</v>
      </c>
      <c r="E900" t="s">
        <v>13</v>
      </c>
      <c r="F900" s="4" t="s">
        <v>14</v>
      </c>
      <c r="G900" s="4" t="s">
        <v>34</v>
      </c>
      <c r="H900" s="4">
        <v>5</v>
      </c>
      <c r="I900" s="4">
        <v>7</v>
      </c>
      <c r="J900" s="1">
        <v>45492</v>
      </c>
      <c r="K900" s="2">
        <v>2.1099537037037037E-3</v>
      </c>
      <c r="M900" s="4" t="str">
        <f t="shared" si="42"/>
        <v>LOW</v>
      </c>
      <c r="N900" s="4" t="str" cm="1">
        <f t="array" ref="N900">_xlfn.IFS(C900&gt;35,"HIGH",C900&gt;25,"MIDDLE",TRUE,"LOW")</f>
        <v>LOW</v>
      </c>
      <c r="O900" s="4" t="str">
        <f t="shared" si="43"/>
        <v>OTHERS</v>
      </c>
      <c r="P900" s="4" t="str">
        <f t="shared" si="44"/>
        <v>PREMINUM MORNING</v>
      </c>
    </row>
    <row r="901" spans="1:16" x14ac:dyDescent="0.3">
      <c r="A901" s="4">
        <v>11</v>
      </c>
      <c r="B901" t="s">
        <v>11</v>
      </c>
      <c r="C901" s="4">
        <v>27.92</v>
      </c>
      <c r="D901" t="s">
        <v>19</v>
      </c>
      <c r="E901" t="s">
        <v>13</v>
      </c>
      <c r="F901" s="4" t="s">
        <v>14</v>
      </c>
      <c r="G901" s="4" t="s">
        <v>34</v>
      </c>
      <c r="H901" s="4">
        <v>5</v>
      </c>
      <c r="I901" s="4">
        <v>7</v>
      </c>
      <c r="J901" s="1">
        <v>45492</v>
      </c>
      <c r="K901" s="2">
        <v>1.134837962962963E-2</v>
      </c>
      <c r="M901" s="4" t="str">
        <f t="shared" si="42"/>
        <v>LOW</v>
      </c>
      <c r="N901" s="4" t="str" cm="1">
        <f t="array" ref="N901">_xlfn.IFS(C901&gt;35,"HIGH",C901&gt;25,"MIDDLE",TRUE,"LOW")</f>
        <v>MIDDLE</v>
      </c>
      <c r="O901" s="4" t="str">
        <f t="shared" si="43"/>
        <v>OTHERS</v>
      </c>
      <c r="P901" s="4" t="str">
        <f t="shared" si="44"/>
        <v>PREMINUM MORNING</v>
      </c>
    </row>
    <row r="902" spans="1:16" x14ac:dyDescent="0.3">
      <c r="A902" s="4">
        <v>12</v>
      </c>
      <c r="B902" t="s">
        <v>11</v>
      </c>
      <c r="C902" s="4">
        <v>32.82</v>
      </c>
      <c r="D902" t="s">
        <v>12</v>
      </c>
      <c r="E902" t="s">
        <v>17</v>
      </c>
      <c r="F902" s="4" t="s">
        <v>14</v>
      </c>
      <c r="G902" s="4" t="s">
        <v>34</v>
      </c>
      <c r="H902" s="4">
        <v>5</v>
      </c>
      <c r="I902" s="4">
        <v>7</v>
      </c>
      <c r="J902" s="1">
        <v>45492</v>
      </c>
      <c r="K902" s="2">
        <v>4.0712962962962965E-2</v>
      </c>
      <c r="M902" s="4" t="str">
        <f t="shared" si="42"/>
        <v>LOW</v>
      </c>
      <c r="N902" s="4" t="str" cm="1">
        <f t="array" ref="N902">_xlfn.IFS(C902&gt;35,"HIGH",C902&gt;25,"MIDDLE",TRUE,"LOW")</f>
        <v>MIDDLE</v>
      </c>
      <c r="O902" s="4" t="str">
        <f t="shared" si="43"/>
        <v>OTHERS</v>
      </c>
      <c r="P902" s="4" t="str">
        <f t="shared" si="44"/>
        <v>OTHERS</v>
      </c>
    </row>
    <row r="903" spans="1:16" x14ac:dyDescent="0.3">
      <c r="A903" s="4">
        <v>12</v>
      </c>
      <c r="B903" t="s">
        <v>11</v>
      </c>
      <c r="C903" s="4">
        <v>27.92</v>
      </c>
      <c r="D903" t="s">
        <v>19</v>
      </c>
      <c r="E903" t="s">
        <v>17</v>
      </c>
      <c r="F903" s="4" t="s">
        <v>14</v>
      </c>
      <c r="G903" s="4" t="s">
        <v>34</v>
      </c>
      <c r="H903" s="4">
        <v>5</v>
      </c>
      <c r="I903" s="4">
        <v>7</v>
      </c>
      <c r="J903" s="1">
        <v>45492</v>
      </c>
      <c r="K903" s="2">
        <v>4.1613425925925929E-2</v>
      </c>
      <c r="M903" s="4" t="str">
        <f t="shared" si="42"/>
        <v>LOW</v>
      </c>
      <c r="N903" s="4" t="str" cm="1">
        <f t="array" ref="N903">_xlfn.IFS(C903&gt;35,"HIGH",C903&gt;25,"MIDDLE",TRUE,"LOW")</f>
        <v>MIDDLE</v>
      </c>
      <c r="O903" s="4" t="str">
        <f t="shared" si="43"/>
        <v>OTHERS</v>
      </c>
      <c r="P903" s="4" t="str">
        <f t="shared" si="44"/>
        <v>OTHERS</v>
      </c>
    </row>
    <row r="904" spans="1:16" x14ac:dyDescent="0.3">
      <c r="A904" s="4">
        <v>14</v>
      </c>
      <c r="B904" t="s">
        <v>11</v>
      </c>
      <c r="C904" s="4">
        <v>32.82</v>
      </c>
      <c r="D904" t="s">
        <v>12</v>
      </c>
      <c r="E904" t="s">
        <v>17</v>
      </c>
      <c r="F904" s="4" t="s">
        <v>14</v>
      </c>
      <c r="G904" s="4" t="s">
        <v>34</v>
      </c>
      <c r="H904" s="4">
        <v>5</v>
      </c>
      <c r="I904" s="4">
        <v>7</v>
      </c>
      <c r="J904" s="1">
        <v>45492</v>
      </c>
      <c r="K904" s="2">
        <v>6.4895833333333342E-3</v>
      </c>
      <c r="M904" s="4" t="str">
        <f t="shared" si="42"/>
        <v>LOW</v>
      </c>
      <c r="N904" s="4" t="str" cm="1">
        <f t="array" ref="N904">_xlfn.IFS(C904&gt;35,"HIGH",C904&gt;25,"MIDDLE",TRUE,"LOW")</f>
        <v>MIDDLE</v>
      </c>
      <c r="O904" s="4" t="str">
        <f t="shared" si="43"/>
        <v>OTHERS</v>
      </c>
      <c r="P904" s="4" t="str">
        <f t="shared" si="44"/>
        <v>OTHERS</v>
      </c>
    </row>
    <row r="905" spans="1:16" x14ac:dyDescent="0.3">
      <c r="A905" s="4">
        <v>14</v>
      </c>
      <c r="B905" t="s">
        <v>11</v>
      </c>
      <c r="C905" s="4">
        <v>32.82</v>
      </c>
      <c r="D905" t="s">
        <v>21</v>
      </c>
      <c r="E905" t="s">
        <v>17</v>
      </c>
      <c r="F905" s="4" t="s">
        <v>14</v>
      </c>
      <c r="G905" s="4" t="s">
        <v>34</v>
      </c>
      <c r="H905" s="4">
        <v>5</v>
      </c>
      <c r="I905" s="4">
        <v>7</v>
      </c>
      <c r="J905" s="1">
        <v>45492</v>
      </c>
      <c r="K905" s="2">
        <v>7.8946759259259265E-3</v>
      </c>
      <c r="M905" s="4" t="str">
        <f t="shared" si="42"/>
        <v>LOW</v>
      </c>
      <c r="N905" s="4" t="str" cm="1">
        <f t="array" ref="N905">_xlfn.IFS(C905&gt;35,"HIGH",C905&gt;25,"MIDDLE",TRUE,"LOW")</f>
        <v>MIDDLE</v>
      </c>
      <c r="O905" s="4" t="str">
        <f t="shared" si="43"/>
        <v>OTHERS</v>
      </c>
      <c r="P905" s="4" t="str">
        <f t="shared" si="44"/>
        <v>OTHERS</v>
      </c>
    </row>
    <row r="906" spans="1:16" x14ac:dyDescent="0.3">
      <c r="A906" s="4">
        <v>16</v>
      </c>
      <c r="B906" t="s">
        <v>11</v>
      </c>
      <c r="C906" s="4">
        <v>32.82</v>
      </c>
      <c r="D906" t="s">
        <v>12</v>
      </c>
      <c r="E906" t="s">
        <v>17</v>
      </c>
      <c r="F906" s="4" t="s">
        <v>14</v>
      </c>
      <c r="G906" s="4" t="s">
        <v>34</v>
      </c>
      <c r="H906" s="4">
        <v>5</v>
      </c>
      <c r="I906" s="4">
        <v>7</v>
      </c>
      <c r="J906" s="1">
        <v>45492</v>
      </c>
      <c r="K906" s="2">
        <v>2.522337962962963E-2</v>
      </c>
      <c r="M906" s="4" t="str">
        <f t="shared" si="42"/>
        <v>LOW</v>
      </c>
      <c r="N906" s="4" t="str" cm="1">
        <f t="array" ref="N906">_xlfn.IFS(C906&gt;35,"HIGH",C906&gt;25,"MIDDLE",TRUE,"LOW")</f>
        <v>MIDDLE</v>
      </c>
      <c r="O906" s="4" t="str">
        <f t="shared" si="43"/>
        <v>OTHERS</v>
      </c>
      <c r="P906" s="4" t="str">
        <f t="shared" si="44"/>
        <v>OTHERS</v>
      </c>
    </row>
    <row r="907" spans="1:16" x14ac:dyDescent="0.3">
      <c r="A907" s="4">
        <v>16</v>
      </c>
      <c r="B907" t="s">
        <v>11</v>
      </c>
      <c r="C907" s="4">
        <v>32.82</v>
      </c>
      <c r="D907" t="s">
        <v>12</v>
      </c>
      <c r="E907" t="s">
        <v>17</v>
      </c>
      <c r="F907" s="4" t="s">
        <v>14</v>
      </c>
      <c r="G907" s="4" t="s">
        <v>34</v>
      </c>
      <c r="H907" s="4">
        <v>5</v>
      </c>
      <c r="I907" s="4">
        <v>7</v>
      </c>
      <c r="J907" s="1">
        <v>45492</v>
      </c>
      <c r="K907" s="2">
        <v>2.61087962962963E-2</v>
      </c>
      <c r="M907" s="4" t="str">
        <f t="shared" si="42"/>
        <v>LOW</v>
      </c>
      <c r="N907" s="4" t="str" cm="1">
        <f t="array" ref="N907">_xlfn.IFS(C907&gt;35,"HIGH",C907&gt;25,"MIDDLE",TRUE,"LOW")</f>
        <v>MIDDLE</v>
      </c>
      <c r="O907" s="4" t="str">
        <f t="shared" si="43"/>
        <v>OTHERS</v>
      </c>
      <c r="P907" s="4" t="str">
        <f t="shared" si="44"/>
        <v>OTHERS</v>
      </c>
    </row>
    <row r="908" spans="1:16" x14ac:dyDescent="0.3">
      <c r="A908" s="4">
        <v>8</v>
      </c>
      <c r="B908" t="s">
        <v>11</v>
      </c>
      <c r="C908" s="4">
        <v>23.02</v>
      </c>
      <c r="D908" t="s">
        <v>18</v>
      </c>
      <c r="E908" t="s">
        <v>13</v>
      </c>
      <c r="F908" s="4" t="s">
        <v>22</v>
      </c>
      <c r="G908" s="4" t="s">
        <v>34</v>
      </c>
      <c r="H908" s="4">
        <v>6</v>
      </c>
      <c r="I908" s="4">
        <v>7</v>
      </c>
      <c r="J908" s="1">
        <v>45493</v>
      </c>
      <c r="K908" s="2">
        <v>3.9872685185185185E-3</v>
      </c>
      <c r="M908" s="4" t="str">
        <f t="shared" si="42"/>
        <v>LOW</v>
      </c>
      <c r="N908" s="4" t="str" cm="1">
        <f t="array" ref="N908">_xlfn.IFS(C908&gt;35,"HIGH",C908&gt;25,"MIDDLE",TRUE,"LOW")</f>
        <v>LOW</v>
      </c>
      <c r="O908" s="4" t="str">
        <f t="shared" si="43"/>
        <v>OTHERS</v>
      </c>
      <c r="P908" s="4" t="str">
        <f t="shared" si="44"/>
        <v>PREMINUM MORNING</v>
      </c>
    </row>
    <row r="909" spans="1:16" x14ac:dyDescent="0.3">
      <c r="A909" s="4">
        <v>8</v>
      </c>
      <c r="B909" t="s">
        <v>11</v>
      </c>
      <c r="C909" s="4">
        <v>32.82</v>
      </c>
      <c r="D909" t="s">
        <v>12</v>
      </c>
      <c r="E909" t="s">
        <v>13</v>
      </c>
      <c r="F909" s="4" t="s">
        <v>22</v>
      </c>
      <c r="G909" s="4" t="s">
        <v>34</v>
      </c>
      <c r="H909" s="4">
        <v>6</v>
      </c>
      <c r="I909" s="4">
        <v>7</v>
      </c>
      <c r="J909" s="1">
        <v>45493</v>
      </c>
      <c r="K909" s="2">
        <v>4.7303240740740743E-3</v>
      </c>
      <c r="M909" s="4" t="str">
        <f t="shared" si="42"/>
        <v>LOW</v>
      </c>
      <c r="N909" s="4" t="str" cm="1">
        <f t="array" ref="N909">_xlfn.IFS(C909&gt;35,"HIGH",C909&gt;25,"MIDDLE",TRUE,"LOW")</f>
        <v>MIDDLE</v>
      </c>
      <c r="O909" s="4" t="str">
        <f t="shared" si="43"/>
        <v>OTHERS</v>
      </c>
      <c r="P909" s="4" t="str">
        <f t="shared" si="44"/>
        <v>PREMINUM MORNING</v>
      </c>
    </row>
    <row r="910" spans="1:16" x14ac:dyDescent="0.3">
      <c r="A910" s="4">
        <v>8</v>
      </c>
      <c r="B910" t="s">
        <v>11</v>
      </c>
      <c r="C910" s="4">
        <v>23.02</v>
      </c>
      <c r="D910" t="s">
        <v>18</v>
      </c>
      <c r="E910" t="s">
        <v>13</v>
      </c>
      <c r="F910" s="4" t="s">
        <v>22</v>
      </c>
      <c r="G910" s="4" t="s">
        <v>34</v>
      </c>
      <c r="H910" s="4">
        <v>6</v>
      </c>
      <c r="I910" s="4">
        <v>7</v>
      </c>
      <c r="J910" s="1">
        <v>45493</v>
      </c>
      <c r="K910" s="2">
        <v>5.456018518518518E-3</v>
      </c>
      <c r="M910" s="4" t="str">
        <f t="shared" si="42"/>
        <v>LOW</v>
      </c>
      <c r="N910" s="4" t="str" cm="1">
        <f t="array" ref="N910">_xlfn.IFS(C910&gt;35,"HIGH",C910&gt;25,"MIDDLE",TRUE,"LOW")</f>
        <v>LOW</v>
      </c>
      <c r="O910" s="4" t="str">
        <f t="shared" si="43"/>
        <v>OTHERS</v>
      </c>
      <c r="P910" s="4" t="str">
        <f t="shared" si="44"/>
        <v>PREMINUM MORNING</v>
      </c>
    </row>
    <row r="911" spans="1:16" x14ac:dyDescent="0.3">
      <c r="A911" s="4">
        <v>9</v>
      </c>
      <c r="B911" t="s">
        <v>11</v>
      </c>
      <c r="C911" s="4">
        <v>32.82</v>
      </c>
      <c r="D911" t="s">
        <v>12</v>
      </c>
      <c r="E911" t="s">
        <v>13</v>
      </c>
      <c r="F911" s="4" t="s">
        <v>22</v>
      </c>
      <c r="G911" s="4" t="s">
        <v>34</v>
      </c>
      <c r="H911" s="4">
        <v>6</v>
      </c>
      <c r="I911" s="4">
        <v>7</v>
      </c>
      <c r="J911" s="1">
        <v>45493</v>
      </c>
      <c r="K911" s="2">
        <v>6.2037037037037041E-4</v>
      </c>
      <c r="M911" s="4" t="str">
        <f t="shared" si="42"/>
        <v>LOW</v>
      </c>
      <c r="N911" s="4" t="str" cm="1">
        <f t="array" ref="N911">_xlfn.IFS(C911&gt;35,"HIGH",C911&gt;25,"MIDDLE",TRUE,"LOW")</f>
        <v>MIDDLE</v>
      </c>
      <c r="O911" s="4" t="str">
        <f t="shared" si="43"/>
        <v>OTHERS</v>
      </c>
      <c r="P911" s="4" t="str">
        <f t="shared" si="44"/>
        <v>PREMINUM MORNING</v>
      </c>
    </row>
    <row r="912" spans="1:16" x14ac:dyDescent="0.3">
      <c r="A912" s="4">
        <v>9</v>
      </c>
      <c r="B912" t="s">
        <v>11</v>
      </c>
      <c r="C912" s="4">
        <v>32.82</v>
      </c>
      <c r="D912" t="s">
        <v>12</v>
      </c>
      <c r="E912" t="s">
        <v>13</v>
      </c>
      <c r="F912" s="4" t="s">
        <v>22</v>
      </c>
      <c r="G912" s="4" t="s">
        <v>34</v>
      </c>
      <c r="H912" s="4">
        <v>6</v>
      </c>
      <c r="I912" s="4">
        <v>7</v>
      </c>
      <c r="J912" s="1">
        <v>45493</v>
      </c>
      <c r="K912" s="2">
        <v>1.7106481481481482E-3</v>
      </c>
      <c r="M912" s="4" t="str">
        <f t="shared" si="42"/>
        <v>LOW</v>
      </c>
      <c r="N912" s="4" t="str" cm="1">
        <f t="array" ref="N912">_xlfn.IFS(C912&gt;35,"HIGH",C912&gt;25,"MIDDLE",TRUE,"LOW")</f>
        <v>MIDDLE</v>
      </c>
      <c r="O912" s="4" t="str">
        <f t="shared" si="43"/>
        <v>OTHERS</v>
      </c>
      <c r="P912" s="4" t="str">
        <f t="shared" si="44"/>
        <v>PREMINUM MORNING</v>
      </c>
    </row>
    <row r="913" spans="1:16" x14ac:dyDescent="0.3">
      <c r="A913" s="4">
        <v>10</v>
      </c>
      <c r="B913" t="s">
        <v>11</v>
      </c>
      <c r="C913" s="4">
        <v>23.02</v>
      </c>
      <c r="D913" t="s">
        <v>18</v>
      </c>
      <c r="E913" t="s">
        <v>13</v>
      </c>
      <c r="F913" s="4" t="s">
        <v>22</v>
      </c>
      <c r="G913" s="4" t="s">
        <v>34</v>
      </c>
      <c r="H913" s="4">
        <v>6</v>
      </c>
      <c r="I913" s="4">
        <v>7</v>
      </c>
      <c r="J913" s="1">
        <v>45493</v>
      </c>
      <c r="K913" s="2">
        <v>2.732638888888889E-2</v>
      </c>
      <c r="M913" s="4" t="str">
        <f t="shared" si="42"/>
        <v>LOW</v>
      </c>
      <c r="N913" s="4" t="str" cm="1">
        <f t="array" ref="N913">_xlfn.IFS(C913&gt;35,"HIGH",C913&gt;25,"MIDDLE",TRUE,"LOW")</f>
        <v>LOW</v>
      </c>
      <c r="O913" s="4" t="str">
        <f t="shared" si="43"/>
        <v>OTHERS</v>
      </c>
      <c r="P913" s="4" t="str">
        <f t="shared" si="44"/>
        <v>PREMINUM MORNING</v>
      </c>
    </row>
    <row r="914" spans="1:16" x14ac:dyDescent="0.3">
      <c r="A914" s="4">
        <v>15</v>
      </c>
      <c r="B914" t="s">
        <v>11</v>
      </c>
      <c r="C914" s="4">
        <v>32.82</v>
      </c>
      <c r="D914" t="s">
        <v>12</v>
      </c>
      <c r="E914" t="s">
        <v>17</v>
      </c>
      <c r="F914" s="4" t="s">
        <v>22</v>
      </c>
      <c r="G914" s="4" t="s">
        <v>34</v>
      </c>
      <c r="H914" s="4">
        <v>6</v>
      </c>
      <c r="I914" s="4">
        <v>7</v>
      </c>
      <c r="J914" s="1">
        <v>45493</v>
      </c>
      <c r="K914" s="2">
        <v>1.052314814814815E-2</v>
      </c>
      <c r="M914" s="4" t="str">
        <f t="shared" si="42"/>
        <v>LOW</v>
      </c>
      <c r="N914" s="4" t="str" cm="1">
        <f t="array" ref="N914">_xlfn.IFS(C914&gt;35,"HIGH",C914&gt;25,"MIDDLE",TRUE,"LOW")</f>
        <v>MIDDLE</v>
      </c>
      <c r="O914" s="4" t="str">
        <f t="shared" si="43"/>
        <v>OTHERS</v>
      </c>
      <c r="P914" s="4" t="str">
        <f t="shared" si="44"/>
        <v>OTHERS</v>
      </c>
    </row>
    <row r="915" spans="1:16" x14ac:dyDescent="0.3">
      <c r="A915" s="4">
        <v>10</v>
      </c>
      <c r="B915" t="s">
        <v>11</v>
      </c>
      <c r="C915" s="4">
        <v>32.82</v>
      </c>
      <c r="D915" t="s">
        <v>21</v>
      </c>
      <c r="E915" t="s">
        <v>13</v>
      </c>
      <c r="F915" s="4" t="s">
        <v>23</v>
      </c>
      <c r="G915" s="4" t="s">
        <v>34</v>
      </c>
      <c r="H915" s="4">
        <v>7</v>
      </c>
      <c r="I915" s="4">
        <v>7</v>
      </c>
      <c r="J915" s="1">
        <v>45494</v>
      </c>
      <c r="K915" s="2">
        <v>2.1479166666666667E-2</v>
      </c>
      <c r="M915" s="4" t="str">
        <f t="shared" si="42"/>
        <v>LOW</v>
      </c>
      <c r="N915" s="4" t="str" cm="1">
        <f t="array" ref="N915">_xlfn.IFS(C915&gt;35,"HIGH",C915&gt;25,"MIDDLE",TRUE,"LOW")</f>
        <v>MIDDLE</v>
      </c>
      <c r="O915" s="4" t="str">
        <f t="shared" si="43"/>
        <v>OTHERS</v>
      </c>
      <c r="P915" s="4" t="str">
        <f t="shared" si="44"/>
        <v>PREMINUM MORNING</v>
      </c>
    </row>
    <row r="916" spans="1:16" x14ac:dyDescent="0.3">
      <c r="A916" s="4">
        <v>11</v>
      </c>
      <c r="B916" t="s">
        <v>11</v>
      </c>
      <c r="C916" s="4">
        <v>32.82</v>
      </c>
      <c r="D916" t="s">
        <v>29</v>
      </c>
      <c r="E916" t="s">
        <v>13</v>
      </c>
      <c r="F916" s="4" t="s">
        <v>23</v>
      </c>
      <c r="G916" s="4" t="s">
        <v>34</v>
      </c>
      <c r="H916" s="4">
        <v>7</v>
      </c>
      <c r="I916" s="4">
        <v>7</v>
      </c>
      <c r="J916" s="1">
        <v>45494</v>
      </c>
      <c r="K916" s="2">
        <v>2.7416666666666669E-2</v>
      </c>
      <c r="M916" s="4" t="str">
        <f t="shared" si="42"/>
        <v>LOW</v>
      </c>
      <c r="N916" s="4" t="str" cm="1">
        <f t="array" ref="N916">_xlfn.IFS(C916&gt;35,"HIGH",C916&gt;25,"MIDDLE",TRUE,"LOW")</f>
        <v>MIDDLE</v>
      </c>
      <c r="O916" s="4" t="str">
        <f t="shared" si="43"/>
        <v>OTHERS</v>
      </c>
      <c r="P916" s="4" t="str">
        <f t="shared" si="44"/>
        <v>PREMINUM MORNING</v>
      </c>
    </row>
    <row r="917" spans="1:16" x14ac:dyDescent="0.3">
      <c r="A917" s="4">
        <v>13</v>
      </c>
      <c r="B917" t="s">
        <v>11</v>
      </c>
      <c r="C917" s="4">
        <v>23.02</v>
      </c>
      <c r="D917" t="s">
        <v>24</v>
      </c>
      <c r="E917" t="s">
        <v>17</v>
      </c>
      <c r="F917" s="4" t="s">
        <v>23</v>
      </c>
      <c r="G917" s="4" t="s">
        <v>34</v>
      </c>
      <c r="H917" s="4">
        <v>7</v>
      </c>
      <c r="I917" s="4">
        <v>7</v>
      </c>
      <c r="J917" s="1">
        <v>45494</v>
      </c>
      <c r="K917" s="2">
        <v>2.3967592592592596E-2</v>
      </c>
      <c r="M917" s="4" t="str">
        <f t="shared" si="42"/>
        <v>LOW</v>
      </c>
      <c r="N917" s="4" t="str" cm="1">
        <f t="array" ref="N917">_xlfn.IFS(C917&gt;35,"HIGH",C917&gt;25,"MIDDLE",TRUE,"LOW")</f>
        <v>LOW</v>
      </c>
      <c r="O917" s="4" t="str">
        <f t="shared" si="43"/>
        <v>OTHERS</v>
      </c>
      <c r="P917" s="4" t="str">
        <f t="shared" si="44"/>
        <v>OTHERS</v>
      </c>
    </row>
    <row r="918" spans="1:16" x14ac:dyDescent="0.3">
      <c r="A918" s="4">
        <v>13</v>
      </c>
      <c r="B918" t="s">
        <v>11</v>
      </c>
      <c r="C918" s="4">
        <v>32.82</v>
      </c>
      <c r="D918" t="s">
        <v>12</v>
      </c>
      <c r="E918" t="s">
        <v>17</v>
      </c>
      <c r="F918" s="4" t="s">
        <v>23</v>
      </c>
      <c r="G918" s="4" t="s">
        <v>34</v>
      </c>
      <c r="H918" s="4">
        <v>7</v>
      </c>
      <c r="I918" s="4">
        <v>7</v>
      </c>
      <c r="J918" s="1">
        <v>45494</v>
      </c>
      <c r="K918" s="2">
        <v>2.9530092592592594E-2</v>
      </c>
      <c r="M918" s="4" t="str">
        <f t="shared" si="42"/>
        <v>LOW</v>
      </c>
      <c r="N918" s="4" t="str" cm="1">
        <f t="array" ref="N918">_xlfn.IFS(C918&gt;35,"HIGH",C918&gt;25,"MIDDLE",TRUE,"LOW")</f>
        <v>MIDDLE</v>
      </c>
      <c r="O918" s="4" t="str">
        <f t="shared" si="43"/>
        <v>OTHERS</v>
      </c>
      <c r="P918" s="4" t="str">
        <f t="shared" si="44"/>
        <v>OTHERS</v>
      </c>
    </row>
    <row r="919" spans="1:16" x14ac:dyDescent="0.3">
      <c r="A919" s="4">
        <v>8</v>
      </c>
      <c r="B919" t="s">
        <v>11</v>
      </c>
      <c r="C919" s="4">
        <v>23.02</v>
      </c>
      <c r="D919" t="s">
        <v>18</v>
      </c>
      <c r="E919" t="s">
        <v>13</v>
      </c>
      <c r="F919" s="4" t="s">
        <v>25</v>
      </c>
      <c r="G919" s="4" t="s">
        <v>34</v>
      </c>
      <c r="H919" s="4">
        <v>1</v>
      </c>
      <c r="I919" s="4">
        <v>7</v>
      </c>
      <c r="J919" s="1">
        <v>45495</v>
      </c>
      <c r="K919" s="2">
        <v>9.2951388888888892E-3</v>
      </c>
      <c r="M919" s="4" t="str">
        <f t="shared" si="42"/>
        <v>LOW</v>
      </c>
      <c r="N919" s="4" t="str" cm="1">
        <f t="array" ref="N919">_xlfn.IFS(C919&gt;35,"HIGH",C919&gt;25,"MIDDLE",TRUE,"LOW")</f>
        <v>LOW</v>
      </c>
      <c r="O919" s="4" t="str">
        <f t="shared" si="43"/>
        <v>OTHERS</v>
      </c>
      <c r="P919" s="4" t="str">
        <f t="shared" si="44"/>
        <v>PREMINUM MORNING</v>
      </c>
    </row>
    <row r="920" spans="1:16" x14ac:dyDescent="0.3">
      <c r="A920" s="4">
        <v>8</v>
      </c>
      <c r="B920" t="s">
        <v>11</v>
      </c>
      <c r="C920" s="4">
        <v>23.02</v>
      </c>
      <c r="D920" t="s">
        <v>18</v>
      </c>
      <c r="E920" t="s">
        <v>13</v>
      </c>
      <c r="F920" s="4" t="s">
        <v>25</v>
      </c>
      <c r="G920" s="4" t="s">
        <v>34</v>
      </c>
      <c r="H920" s="4">
        <v>1</v>
      </c>
      <c r="I920" s="4">
        <v>7</v>
      </c>
      <c r="J920" s="1">
        <v>45495</v>
      </c>
      <c r="K920" s="2">
        <v>2.835185185185185E-2</v>
      </c>
      <c r="M920" s="4" t="str">
        <f t="shared" si="42"/>
        <v>LOW</v>
      </c>
      <c r="N920" s="4" t="str" cm="1">
        <f t="array" ref="N920">_xlfn.IFS(C920&gt;35,"HIGH",C920&gt;25,"MIDDLE",TRUE,"LOW")</f>
        <v>LOW</v>
      </c>
      <c r="O920" s="4" t="str">
        <f t="shared" si="43"/>
        <v>OTHERS</v>
      </c>
      <c r="P920" s="4" t="str">
        <f t="shared" si="44"/>
        <v>PREMINUM MORNING</v>
      </c>
    </row>
    <row r="921" spans="1:16" x14ac:dyDescent="0.3">
      <c r="A921" s="4">
        <v>10</v>
      </c>
      <c r="B921" t="s">
        <v>11</v>
      </c>
      <c r="C921" s="4">
        <v>27.92</v>
      </c>
      <c r="D921" t="s">
        <v>19</v>
      </c>
      <c r="E921" t="s">
        <v>13</v>
      </c>
      <c r="F921" s="4" t="s">
        <v>25</v>
      </c>
      <c r="G921" s="4" t="s">
        <v>34</v>
      </c>
      <c r="H921" s="4">
        <v>1</v>
      </c>
      <c r="I921" s="4">
        <v>7</v>
      </c>
      <c r="J921" s="1">
        <v>45495</v>
      </c>
      <c r="K921" s="2">
        <v>1.084837962962963E-2</v>
      </c>
      <c r="M921" s="4" t="str">
        <f t="shared" si="42"/>
        <v>LOW</v>
      </c>
      <c r="N921" s="4" t="str" cm="1">
        <f t="array" ref="N921">_xlfn.IFS(C921&gt;35,"HIGH",C921&gt;25,"MIDDLE",TRUE,"LOW")</f>
        <v>MIDDLE</v>
      </c>
      <c r="O921" s="4" t="str">
        <f t="shared" si="43"/>
        <v>OTHERS</v>
      </c>
      <c r="P921" s="4" t="str">
        <f t="shared" si="44"/>
        <v>PREMINUM MORNING</v>
      </c>
    </row>
    <row r="922" spans="1:16" x14ac:dyDescent="0.3">
      <c r="A922" s="4">
        <v>16</v>
      </c>
      <c r="B922" t="s">
        <v>11</v>
      </c>
      <c r="C922" s="4">
        <v>32.82</v>
      </c>
      <c r="D922" t="s">
        <v>12</v>
      </c>
      <c r="E922" t="s">
        <v>17</v>
      </c>
      <c r="F922" s="4" t="s">
        <v>25</v>
      </c>
      <c r="G922" s="4" t="s">
        <v>34</v>
      </c>
      <c r="H922" s="4">
        <v>1</v>
      </c>
      <c r="I922" s="4">
        <v>7</v>
      </c>
      <c r="J922" s="1">
        <v>45495</v>
      </c>
      <c r="K922" s="2">
        <v>3.0990740740740739E-2</v>
      </c>
      <c r="M922" s="4" t="str">
        <f t="shared" si="42"/>
        <v>LOW</v>
      </c>
      <c r="N922" s="4" t="str" cm="1">
        <f t="array" ref="N922">_xlfn.IFS(C922&gt;35,"HIGH",C922&gt;25,"MIDDLE",TRUE,"LOW")</f>
        <v>MIDDLE</v>
      </c>
      <c r="O922" s="4" t="str">
        <f t="shared" si="43"/>
        <v>OTHERS</v>
      </c>
      <c r="P922" s="4" t="str">
        <f t="shared" si="44"/>
        <v>OTHERS</v>
      </c>
    </row>
    <row r="923" spans="1:16" x14ac:dyDescent="0.3">
      <c r="A923" s="4">
        <v>8</v>
      </c>
      <c r="B923" t="s">
        <v>11</v>
      </c>
      <c r="C923" s="4">
        <v>32.82</v>
      </c>
      <c r="D923" t="s">
        <v>12</v>
      </c>
      <c r="E923" t="s">
        <v>13</v>
      </c>
      <c r="F923" s="4" t="s">
        <v>27</v>
      </c>
      <c r="G923" s="4" t="s">
        <v>34</v>
      </c>
      <c r="H923" s="4">
        <v>2</v>
      </c>
      <c r="I923" s="4">
        <v>7</v>
      </c>
      <c r="J923" s="1">
        <v>45496</v>
      </c>
      <c r="K923" s="2">
        <v>8.983796296296297E-3</v>
      </c>
      <c r="M923" s="4" t="str">
        <f t="shared" si="42"/>
        <v>LOW</v>
      </c>
      <c r="N923" s="4" t="str" cm="1">
        <f t="array" ref="N923">_xlfn.IFS(C923&gt;35,"HIGH",C923&gt;25,"MIDDLE",TRUE,"LOW")</f>
        <v>MIDDLE</v>
      </c>
      <c r="O923" s="4" t="str">
        <f t="shared" si="43"/>
        <v>OTHERS</v>
      </c>
      <c r="P923" s="4" t="str">
        <f t="shared" si="44"/>
        <v>PREMINUM MORNING</v>
      </c>
    </row>
    <row r="924" spans="1:16" x14ac:dyDescent="0.3">
      <c r="A924" s="4">
        <v>8</v>
      </c>
      <c r="B924" t="s">
        <v>11</v>
      </c>
      <c r="C924" s="4">
        <v>23.02</v>
      </c>
      <c r="D924" t="s">
        <v>18</v>
      </c>
      <c r="E924" t="s">
        <v>13</v>
      </c>
      <c r="F924" s="4" t="s">
        <v>27</v>
      </c>
      <c r="G924" s="4" t="s">
        <v>34</v>
      </c>
      <c r="H924" s="4">
        <v>2</v>
      </c>
      <c r="I924" s="4">
        <v>7</v>
      </c>
      <c r="J924" s="1">
        <v>45496</v>
      </c>
      <c r="K924" s="2">
        <v>2.7997685185185184E-2</v>
      </c>
      <c r="M924" s="4" t="str">
        <f t="shared" si="42"/>
        <v>LOW</v>
      </c>
      <c r="N924" s="4" t="str" cm="1">
        <f t="array" ref="N924">_xlfn.IFS(C924&gt;35,"HIGH",C924&gt;25,"MIDDLE",TRUE,"LOW")</f>
        <v>LOW</v>
      </c>
      <c r="O924" s="4" t="str">
        <f t="shared" si="43"/>
        <v>OTHERS</v>
      </c>
      <c r="P924" s="4" t="str">
        <f t="shared" si="44"/>
        <v>PREMINUM MORNING</v>
      </c>
    </row>
    <row r="925" spans="1:16" x14ac:dyDescent="0.3">
      <c r="A925" s="4">
        <v>8</v>
      </c>
      <c r="B925" t="s">
        <v>11</v>
      </c>
      <c r="C925" s="4">
        <v>27.92</v>
      </c>
      <c r="D925" t="s">
        <v>19</v>
      </c>
      <c r="E925" t="s">
        <v>13</v>
      </c>
      <c r="F925" s="4" t="s">
        <v>27</v>
      </c>
      <c r="G925" s="4" t="s">
        <v>34</v>
      </c>
      <c r="H925" s="4">
        <v>2</v>
      </c>
      <c r="I925" s="4">
        <v>7</v>
      </c>
      <c r="J925" s="1">
        <v>45496</v>
      </c>
      <c r="K925" s="2">
        <v>3.1178240740740742E-2</v>
      </c>
      <c r="M925" s="4" t="str">
        <f t="shared" si="42"/>
        <v>LOW</v>
      </c>
      <c r="N925" s="4" t="str" cm="1">
        <f t="array" ref="N925">_xlfn.IFS(C925&gt;35,"HIGH",C925&gt;25,"MIDDLE",TRUE,"LOW")</f>
        <v>MIDDLE</v>
      </c>
      <c r="O925" s="4" t="str">
        <f t="shared" si="43"/>
        <v>OTHERS</v>
      </c>
      <c r="P925" s="4" t="str">
        <f t="shared" si="44"/>
        <v>PREMINUM MORNING</v>
      </c>
    </row>
    <row r="926" spans="1:16" x14ac:dyDescent="0.3">
      <c r="A926" s="4">
        <v>8</v>
      </c>
      <c r="B926" t="s">
        <v>11</v>
      </c>
      <c r="C926" s="4">
        <v>32.82</v>
      </c>
      <c r="D926" t="s">
        <v>21</v>
      </c>
      <c r="E926" t="s">
        <v>13</v>
      </c>
      <c r="F926" s="4" t="s">
        <v>27</v>
      </c>
      <c r="G926" s="4" t="s">
        <v>34</v>
      </c>
      <c r="H926" s="4">
        <v>2</v>
      </c>
      <c r="I926" s="4">
        <v>7</v>
      </c>
      <c r="J926" s="1">
        <v>45496</v>
      </c>
      <c r="K926" s="2">
        <v>3.4318287037037036E-2</v>
      </c>
      <c r="M926" s="4" t="str">
        <f t="shared" si="42"/>
        <v>LOW</v>
      </c>
      <c r="N926" s="4" t="str" cm="1">
        <f t="array" ref="N926">_xlfn.IFS(C926&gt;35,"HIGH",C926&gt;25,"MIDDLE",TRUE,"LOW")</f>
        <v>MIDDLE</v>
      </c>
      <c r="O926" s="4" t="str">
        <f t="shared" si="43"/>
        <v>OTHERS</v>
      </c>
      <c r="P926" s="4" t="str">
        <f t="shared" si="44"/>
        <v>PREMINUM MORNING</v>
      </c>
    </row>
    <row r="927" spans="1:16" x14ac:dyDescent="0.3">
      <c r="A927" s="4">
        <v>8</v>
      </c>
      <c r="B927" t="s">
        <v>11</v>
      </c>
      <c r="C927" s="4">
        <v>32.82</v>
      </c>
      <c r="D927" t="s">
        <v>12</v>
      </c>
      <c r="E927" t="s">
        <v>13</v>
      </c>
      <c r="F927" s="4" t="s">
        <v>27</v>
      </c>
      <c r="G927" s="4" t="s">
        <v>34</v>
      </c>
      <c r="H927" s="4">
        <v>2</v>
      </c>
      <c r="I927" s="4">
        <v>7</v>
      </c>
      <c r="J927" s="1">
        <v>45496</v>
      </c>
      <c r="K927" s="2">
        <v>3.5537037037037041E-2</v>
      </c>
      <c r="M927" s="4" t="str">
        <f t="shared" si="42"/>
        <v>LOW</v>
      </c>
      <c r="N927" s="4" t="str" cm="1">
        <f t="array" ref="N927">_xlfn.IFS(C927&gt;35,"HIGH",C927&gt;25,"MIDDLE",TRUE,"LOW")</f>
        <v>MIDDLE</v>
      </c>
      <c r="O927" s="4" t="str">
        <f t="shared" si="43"/>
        <v>OTHERS</v>
      </c>
      <c r="P927" s="4" t="str">
        <f t="shared" si="44"/>
        <v>PREMINUM MORNING</v>
      </c>
    </row>
    <row r="928" spans="1:16" x14ac:dyDescent="0.3">
      <c r="A928" s="4">
        <v>9</v>
      </c>
      <c r="B928" t="s">
        <v>11</v>
      </c>
      <c r="C928" s="4">
        <v>23.02</v>
      </c>
      <c r="D928" t="s">
        <v>18</v>
      </c>
      <c r="E928" t="s">
        <v>13</v>
      </c>
      <c r="F928" s="4" t="s">
        <v>27</v>
      </c>
      <c r="G928" s="4" t="s">
        <v>34</v>
      </c>
      <c r="H928" s="4">
        <v>2</v>
      </c>
      <c r="I928" s="4">
        <v>7</v>
      </c>
      <c r="J928" s="1">
        <v>45496</v>
      </c>
      <c r="K928" s="2">
        <v>1.2233796296296296E-3</v>
      </c>
      <c r="M928" s="4" t="str">
        <f t="shared" si="42"/>
        <v>LOW</v>
      </c>
      <c r="N928" s="4" t="str" cm="1">
        <f t="array" ref="N928">_xlfn.IFS(C928&gt;35,"HIGH",C928&gt;25,"MIDDLE",TRUE,"LOW")</f>
        <v>LOW</v>
      </c>
      <c r="O928" s="4" t="str">
        <f t="shared" si="43"/>
        <v>OTHERS</v>
      </c>
      <c r="P928" s="4" t="str">
        <f t="shared" si="44"/>
        <v>PREMINUM MORNING</v>
      </c>
    </row>
    <row r="929" spans="1:16" x14ac:dyDescent="0.3">
      <c r="A929" s="4">
        <v>10</v>
      </c>
      <c r="B929" t="s">
        <v>11</v>
      </c>
      <c r="C929" s="4">
        <v>27.92</v>
      </c>
      <c r="D929" t="s">
        <v>19</v>
      </c>
      <c r="E929" t="s">
        <v>13</v>
      </c>
      <c r="F929" s="4" t="s">
        <v>27</v>
      </c>
      <c r="G929" s="4" t="s">
        <v>34</v>
      </c>
      <c r="H929" s="4">
        <v>2</v>
      </c>
      <c r="I929" s="4">
        <v>7</v>
      </c>
      <c r="J929" s="1">
        <v>45496</v>
      </c>
      <c r="K929" s="2">
        <v>2.5057870370370368E-3</v>
      </c>
      <c r="M929" s="4" t="str">
        <f t="shared" si="42"/>
        <v>LOW</v>
      </c>
      <c r="N929" s="4" t="str" cm="1">
        <f t="array" ref="N929">_xlfn.IFS(C929&gt;35,"HIGH",C929&gt;25,"MIDDLE",TRUE,"LOW")</f>
        <v>MIDDLE</v>
      </c>
      <c r="O929" s="4" t="str">
        <f t="shared" si="43"/>
        <v>OTHERS</v>
      </c>
      <c r="P929" s="4" t="str">
        <f t="shared" si="44"/>
        <v>PREMINUM MORNING</v>
      </c>
    </row>
    <row r="930" spans="1:16" x14ac:dyDescent="0.3">
      <c r="A930" s="4">
        <v>15</v>
      </c>
      <c r="B930" t="s">
        <v>11</v>
      </c>
      <c r="C930" s="4">
        <v>27.92</v>
      </c>
      <c r="D930" t="s">
        <v>19</v>
      </c>
      <c r="E930" t="s">
        <v>17</v>
      </c>
      <c r="F930" s="4" t="s">
        <v>27</v>
      </c>
      <c r="G930" s="4" t="s">
        <v>34</v>
      </c>
      <c r="H930" s="4">
        <v>2</v>
      </c>
      <c r="I930" s="4">
        <v>7</v>
      </c>
      <c r="J930" s="1">
        <v>45496</v>
      </c>
      <c r="K930" s="2">
        <v>1.3946759259259259E-2</v>
      </c>
      <c r="M930" s="4" t="str">
        <f t="shared" si="42"/>
        <v>LOW</v>
      </c>
      <c r="N930" s="4" t="str" cm="1">
        <f t="array" ref="N930">_xlfn.IFS(C930&gt;35,"HIGH",C930&gt;25,"MIDDLE",TRUE,"LOW")</f>
        <v>MIDDLE</v>
      </c>
      <c r="O930" s="4" t="str">
        <f t="shared" si="43"/>
        <v>OTHERS</v>
      </c>
      <c r="P930" s="4" t="str">
        <f t="shared" si="44"/>
        <v>OTHERS</v>
      </c>
    </row>
    <row r="931" spans="1:16" x14ac:dyDescent="0.3">
      <c r="A931" s="4">
        <v>15</v>
      </c>
      <c r="B931" t="s">
        <v>11</v>
      </c>
      <c r="C931" s="4">
        <v>32.82</v>
      </c>
      <c r="D931" t="s">
        <v>12</v>
      </c>
      <c r="E931" t="s">
        <v>17</v>
      </c>
      <c r="F931" s="4" t="s">
        <v>27</v>
      </c>
      <c r="G931" s="4" t="s">
        <v>34</v>
      </c>
      <c r="H931" s="4">
        <v>2</v>
      </c>
      <c r="I931" s="4">
        <v>7</v>
      </c>
      <c r="J931" s="1">
        <v>45496</v>
      </c>
      <c r="K931" s="2">
        <v>1.459837962962963E-2</v>
      </c>
      <c r="M931" s="4" t="str">
        <f t="shared" si="42"/>
        <v>LOW</v>
      </c>
      <c r="N931" s="4" t="str" cm="1">
        <f t="array" ref="N931">_xlfn.IFS(C931&gt;35,"HIGH",C931&gt;25,"MIDDLE",TRUE,"LOW")</f>
        <v>MIDDLE</v>
      </c>
      <c r="O931" s="4" t="str">
        <f t="shared" si="43"/>
        <v>OTHERS</v>
      </c>
      <c r="P931" s="4" t="str">
        <f t="shared" si="44"/>
        <v>OTHERS</v>
      </c>
    </row>
    <row r="932" spans="1:16" x14ac:dyDescent="0.3">
      <c r="A932" s="4">
        <v>21</v>
      </c>
      <c r="B932" t="s">
        <v>11</v>
      </c>
      <c r="C932" s="4">
        <v>32.82</v>
      </c>
      <c r="D932" t="s">
        <v>12</v>
      </c>
      <c r="E932" t="s">
        <v>20</v>
      </c>
      <c r="F932" s="4" t="s">
        <v>27</v>
      </c>
      <c r="G932" s="4" t="s">
        <v>34</v>
      </c>
      <c r="H932" s="4">
        <v>2</v>
      </c>
      <c r="I932" s="4">
        <v>7</v>
      </c>
      <c r="J932" s="1">
        <v>45496</v>
      </c>
      <c r="K932" s="2">
        <v>1.1643518518518517E-3</v>
      </c>
      <c r="M932" s="4" t="str">
        <f t="shared" si="42"/>
        <v>LOW</v>
      </c>
      <c r="N932" s="4" t="str" cm="1">
        <f t="array" ref="N932">_xlfn.IFS(C932&gt;35,"HIGH",C932&gt;25,"MIDDLE",TRUE,"LOW")</f>
        <v>MIDDLE</v>
      </c>
      <c r="O932" s="4" t="str">
        <f t="shared" si="43"/>
        <v>OTHERS</v>
      </c>
      <c r="P932" s="4" t="str">
        <f t="shared" si="44"/>
        <v>OTHERS</v>
      </c>
    </row>
    <row r="933" spans="1:16" x14ac:dyDescent="0.3">
      <c r="A933" s="4">
        <v>21</v>
      </c>
      <c r="B933" t="s">
        <v>11</v>
      </c>
      <c r="C933" s="4">
        <v>23.02</v>
      </c>
      <c r="D933" t="s">
        <v>18</v>
      </c>
      <c r="E933" t="s">
        <v>20</v>
      </c>
      <c r="F933" s="4" t="s">
        <v>27</v>
      </c>
      <c r="G933" s="4" t="s">
        <v>34</v>
      </c>
      <c r="H933" s="4">
        <v>2</v>
      </c>
      <c r="I933" s="4">
        <v>7</v>
      </c>
      <c r="J933" s="1">
        <v>45496</v>
      </c>
      <c r="K933" s="2">
        <v>1.6128472222222221E-2</v>
      </c>
      <c r="M933" s="4" t="str">
        <f t="shared" si="42"/>
        <v>LOW</v>
      </c>
      <c r="N933" s="4" t="str" cm="1">
        <f t="array" ref="N933">_xlfn.IFS(C933&gt;35,"HIGH",C933&gt;25,"MIDDLE",TRUE,"LOW")</f>
        <v>LOW</v>
      </c>
      <c r="O933" s="4" t="str">
        <f t="shared" si="43"/>
        <v>OTHERS</v>
      </c>
      <c r="P933" s="4" t="str">
        <f t="shared" si="44"/>
        <v>OTHERS</v>
      </c>
    </row>
    <row r="934" spans="1:16" x14ac:dyDescent="0.3">
      <c r="A934" s="4">
        <v>21</v>
      </c>
      <c r="B934" t="s">
        <v>11</v>
      </c>
      <c r="C934" s="4">
        <v>23.02</v>
      </c>
      <c r="D934" t="s">
        <v>18</v>
      </c>
      <c r="E934" t="s">
        <v>20</v>
      </c>
      <c r="F934" s="4" t="s">
        <v>27</v>
      </c>
      <c r="G934" s="4" t="s">
        <v>34</v>
      </c>
      <c r="H934" s="4">
        <v>2</v>
      </c>
      <c r="I934" s="4">
        <v>7</v>
      </c>
      <c r="J934" s="1">
        <v>45496</v>
      </c>
      <c r="K934" s="2">
        <v>1.692824074074074E-2</v>
      </c>
      <c r="M934" s="4" t="str">
        <f t="shared" si="42"/>
        <v>LOW</v>
      </c>
      <c r="N934" s="4" t="str" cm="1">
        <f t="array" ref="N934">_xlfn.IFS(C934&gt;35,"HIGH",C934&gt;25,"MIDDLE",TRUE,"LOW")</f>
        <v>LOW</v>
      </c>
      <c r="O934" s="4" t="str">
        <f t="shared" si="43"/>
        <v>OTHERS</v>
      </c>
      <c r="P934" s="4" t="str">
        <f t="shared" si="44"/>
        <v>OTHERS</v>
      </c>
    </row>
    <row r="935" spans="1:16" x14ac:dyDescent="0.3">
      <c r="A935" s="4">
        <v>9</v>
      </c>
      <c r="B935" t="s">
        <v>11</v>
      </c>
      <c r="C935" s="4">
        <v>27.92</v>
      </c>
      <c r="D935" t="s">
        <v>19</v>
      </c>
      <c r="E935" t="s">
        <v>13</v>
      </c>
      <c r="F935" s="4" t="s">
        <v>28</v>
      </c>
      <c r="G935" s="4" t="s">
        <v>34</v>
      </c>
      <c r="H935" s="4">
        <v>3</v>
      </c>
      <c r="I935" s="4">
        <v>7</v>
      </c>
      <c r="J935" s="1">
        <v>45497</v>
      </c>
      <c r="K935" s="2">
        <v>1.1224537037037036E-2</v>
      </c>
      <c r="M935" s="4" t="str">
        <f t="shared" si="42"/>
        <v>LOW</v>
      </c>
      <c r="N935" s="4" t="str" cm="1">
        <f t="array" ref="N935">_xlfn.IFS(C935&gt;35,"HIGH",C935&gt;25,"MIDDLE",TRUE,"LOW")</f>
        <v>MIDDLE</v>
      </c>
      <c r="O935" s="4" t="str">
        <f t="shared" si="43"/>
        <v>OTHERS</v>
      </c>
      <c r="P935" s="4" t="str">
        <f t="shared" si="44"/>
        <v>PREMINUM MORNING</v>
      </c>
    </row>
    <row r="936" spans="1:16" x14ac:dyDescent="0.3">
      <c r="A936" s="4">
        <v>9</v>
      </c>
      <c r="B936" t="s">
        <v>11</v>
      </c>
      <c r="C936" s="4">
        <v>27.92</v>
      </c>
      <c r="D936" t="s">
        <v>19</v>
      </c>
      <c r="E936" t="s">
        <v>13</v>
      </c>
      <c r="F936" s="4" t="s">
        <v>28</v>
      </c>
      <c r="G936" s="4" t="s">
        <v>34</v>
      </c>
      <c r="H936" s="4">
        <v>3</v>
      </c>
      <c r="I936" s="4">
        <v>7</v>
      </c>
      <c r="J936" s="1">
        <v>45497</v>
      </c>
      <c r="K936" s="2">
        <v>2.7025462962962963E-2</v>
      </c>
      <c r="M936" s="4" t="str">
        <f t="shared" si="42"/>
        <v>LOW</v>
      </c>
      <c r="N936" s="4" t="str" cm="1">
        <f t="array" ref="N936">_xlfn.IFS(C936&gt;35,"HIGH",C936&gt;25,"MIDDLE",TRUE,"LOW")</f>
        <v>MIDDLE</v>
      </c>
      <c r="O936" s="4" t="str">
        <f t="shared" si="43"/>
        <v>OTHERS</v>
      </c>
      <c r="P936" s="4" t="str">
        <f t="shared" si="44"/>
        <v>PREMINUM MORNING</v>
      </c>
    </row>
    <row r="937" spans="1:16" x14ac:dyDescent="0.3">
      <c r="A937" s="4">
        <v>9</v>
      </c>
      <c r="B937" t="s">
        <v>11</v>
      </c>
      <c r="C937" s="4">
        <v>18.12</v>
      </c>
      <c r="D937" t="s">
        <v>26</v>
      </c>
      <c r="E937" t="s">
        <v>13</v>
      </c>
      <c r="F937" s="4" t="s">
        <v>28</v>
      </c>
      <c r="G937" s="4" t="s">
        <v>34</v>
      </c>
      <c r="H937" s="4">
        <v>3</v>
      </c>
      <c r="I937" s="4">
        <v>7</v>
      </c>
      <c r="J937" s="1">
        <v>45497</v>
      </c>
      <c r="K937" s="2">
        <v>3.7934027777777775E-2</v>
      </c>
      <c r="M937" s="4" t="str">
        <f t="shared" si="42"/>
        <v>LOW</v>
      </c>
      <c r="N937" s="4" t="str" cm="1">
        <f t="array" ref="N937">_xlfn.IFS(C937&gt;35,"HIGH",C937&gt;25,"MIDDLE",TRUE,"LOW")</f>
        <v>LOW</v>
      </c>
      <c r="O937" s="4" t="str">
        <f t="shared" si="43"/>
        <v>OTHERS</v>
      </c>
      <c r="P937" s="4" t="str">
        <f t="shared" si="44"/>
        <v>PREMINUM MORNING</v>
      </c>
    </row>
    <row r="938" spans="1:16" x14ac:dyDescent="0.3">
      <c r="A938" s="4">
        <v>11</v>
      </c>
      <c r="B938" t="s">
        <v>11</v>
      </c>
      <c r="C938" s="4">
        <v>32.82</v>
      </c>
      <c r="D938" t="s">
        <v>29</v>
      </c>
      <c r="E938" t="s">
        <v>13</v>
      </c>
      <c r="F938" s="4" t="s">
        <v>28</v>
      </c>
      <c r="G938" s="4" t="s">
        <v>34</v>
      </c>
      <c r="H938" s="4">
        <v>3</v>
      </c>
      <c r="I938" s="4">
        <v>7</v>
      </c>
      <c r="J938" s="1">
        <v>45497</v>
      </c>
      <c r="K938" s="2">
        <v>3.0475694444444444E-2</v>
      </c>
      <c r="M938" s="4" t="str">
        <f t="shared" si="42"/>
        <v>LOW</v>
      </c>
      <c r="N938" s="4" t="str" cm="1">
        <f t="array" ref="N938">_xlfn.IFS(C938&gt;35,"HIGH",C938&gt;25,"MIDDLE",TRUE,"LOW")</f>
        <v>MIDDLE</v>
      </c>
      <c r="O938" s="4" t="str">
        <f t="shared" si="43"/>
        <v>OTHERS</v>
      </c>
      <c r="P938" s="4" t="str">
        <f t="shared" si="44"/>
        <v>PREMINUM MORNING</v>
      </c>
    </row>
    <row r="939" spans="1:16" x14ac:dyDescent="0.3">
      <c r="A939" s="4">
        <v>13</v>
      </c>
      <c r="B939" t="s">
        <v>11</v>
      </c>
      <c r="C939" s="4">
        <v>32.82</v>
      </c>
      <c r="D939" t="s">
        <v>12</v>
      </c>
      <c r="E939" t="s">
        <v>17</v>
      </c>
      <c r="F939" s="4" t="s">
        <v>28</v>
      </c>
      <c r="G939" s="4" t="s">
        <v>34</v>
      </c>
      <c r="H939" s="4">
        <v>3</v>
      </c>
      <c r="I939" s="4">
        <v>7</v>
      </c>
      <c r="J939" s="1">
        <v>45497</v>
      </c>
      <c r="K939" s="2">
        <v>3.8354166666666668E-2</v>
      </c>
      <c r="M939" s="4" t="str">
        <f t="shared" si="42"/>
        <v>LOW</v>
      </c>
      <c r="N939" s="4" t="str" cm="1">
        <f t="array" ref="N939">_xlfn.IFS(C939&gt;35,"HIGH",C939&gt;25,"MIDDLE",TRUE,"LOW")</f>
        <v>MIDDLE</v>
      </c>
      <c r="O939" s="4" t="str">
        <f t="shared" si="43"/>
        <v>OTHERS</v>
      </c>
      <c r="P939" s="4" t="str">
        <f t="shared" si="44"/>
        <v>OTHERS</v>
      </c>
    </row>
    <row r="940" spans="1:16" x14ac:dyDescent="0.3">
      <c r="A940" s="4">
        <v>14</v>
      </c>
      <c r="B940" t="s">
        <v>11</v>
      </c>
      <c r="C940" s="4">
        <v>18.12</v>
      </c>
      <c r="D940" t="s">
        <v>26</v>
      </c>
      <c r="E940" t="s">
        <v>17</v>
      </c>
      <c r="F940" s="4" t="s">
        <v>28</v>
      </c>
      <c r="G940" s="4" t="s">
        <v>34</v>
      </c>
      <c r="H940" s="4">
        <v>3</v>
      </c>
      <c r="I940" s="4">
        <v>7</v>
      </c>
      <c r="J940" s="1">
        <v>45497</v>
      </c>
      <c r="K940" s="2">
        <v>3.182638888888889E-2</v>
      </c>
      <c r="M940" s="4" t="str">
        <f t="shared" si="42"/>
        <v>LOW</v>
      </c>
      <c r="N940" s="4" t="str" cm="1">
        <f t="array" ref="N940">_xlfn.IFS(C940&gt;35,"HIGH",C940&gt;25,"MIDDLE",TRUE,"LOW")</f>
        <v>LOW</v>
      </c>
      <c r="O940" s="4" t="str">
        <f t="shared" si="43"/>
        <v>OTHERS</v>
      </c>
      <c r="P940" s="4" t="str">
        <f t="shared" si="44"/>
        <v>OTHERS</v>
      </c>
    </row>
    <row r="941" spans="1:16" x14ac:dyDescent="0.3">
      <c r="A941" s="4">
        <v>15</v>
      </c>
      <c r="B941" t="s">
        <v>11</v>
      </c>
      <c r="C941" s="4">
        <v>32.82</v>
      </c>
      <c r="D941" t="s">
        <v>12</v>
      </c>
      <c r="E941" t="s">
        <v>17</v>
      </c>
      <c r="F941" s="4" t="s">
        <v>28</v>
      </c>
      <c r="G941" s="4" t="s">
        <v>34</v>
      </c>
      <c r="H941" s="4">
        <v>3</v>
      </c>
      <c r="I941" s="4">
        <v>7</v>
      </c>
      <c r="J941" s="1">
        <v>45497</v>
      </c>
      <c r="K941" s="2">
        <v>1.2853009259259258E-2</v>
      </c>
      <c r="M941" s="4" t="str">
        <f t="shared" si="42"/>
        <v>LOW</v>
      </c>
      <c r="N941" s="4" t="str" cm="1">
        <f t="array" ref="N941">_xlfn.IFS(C941&gt;35,"HIGH",C941&gt;25,"MIDDLE",TRUE,"LOW")</f>
        <v>MIDDLE</v>
      </c>
      <c r="O941" s="4" t="str">
        <f t="shared" si="43"/>
        <v>OTHERS</v>
      </c>
      <c r="P941" s="4" t="str">
        <f t="shared" si="44"/>
        <v>OTHERS</v>
      </c>
    </row>
    <row r="942" spans="1:16" x14ac:dyDescent="0.3">
      <c r="A942" s="4">
        <v>19</v>
      </c>
      <c r="B942" t="s">
        <v>11</v>
      </c>
      <c r="C942" s="4">
        <v>32.82</v>
      </c>
      <c r="D942" t="s">
        <v>29</v>
      </c>
      <c r="E942" t="s">
        <v>20</v>
      </c>
      <c r="F942" s="4" t="s">
        <v>28</v>
      </c>
      <c r="G942" s="4" t="s">
        <v>34</v>
      </c>
      <c r="H942" s="4">
        <v>3</v>
      </c>
      <c r="I942" s="4">
        <v>7</v>
      </c>
      <c r="J942" s="1">
        <v>45497</v>
      </c>
      <c r="K942" s="2">
        <v>1.0482638888888889E-2</v>
      </c>
      <c r="M942" s="4" t="str">
        <f t="shared" si="42"/>
        <v>LOW</v>
      </c>
      <c r="N942" s="4" t="str" cm="1">
        <f t="array" ref="N942">_xlfn.IFS(C942&gt;35,"HIGH",C942&gt;25,"MIDDLE",TRUE,"LOW")</f>
        <v>MIDDLE</v>
      </c>
      <c r="O942" s="4" t="str">
        <f t="shared" si="43"/>
        <v>OTHERS</v>
      </c>
      <c r="P942" s="4" t="str">
        <f t="shared" si="44"/>
        <v>OTHERS</v>
      </c>
    </row>
    <row r="943" spans="1:16" x14ac:dyDescent="0.3">
      <c r="A943" s="4">
        <v>19</v>
      </c>
      <c r="B943" t="s">
        <v>11</v>
      </c>
      <c r="C943" s="4">
        <v>32.82</v>
      </c>
      <c r="D943" t="s">
        <v>29</v>
      </c>
      <c r="E943" t="s">
        <v>20</v>
      </c>
      <c r="F943" s="4" t="s">
        <v>28</v>
      </c>
      <c r="G943" s="4" t="s">
        <v>34</v>
      </c>
      <c r="H943" s="4">
        <v>3</v>
      </c>
      <c r="I943" s="4">
        <v>7</v>
      </c>
      <c r="J943" s="1">
        <v>45497</v>
      </c>
      <c r="K943" s="2">
        <v>1.1803240740740741E-2</v>
      </c>
      <c r="M943" s="4" t="str">
        <f t="shared" si="42"/>
        <v>LOW</v>
      </c>
      <c r="N943" s="4" t="str" cm="1">
        <f t="array" ref="N943">_xlfn.IFS(C943&gt;35,"HIGH",C943&gt;25,"MIDDLE",TRUE,"LOW")</f>
        <v>MIDDLE</v>
      </c>
      <c r="O943" s="4" t="str">
        <f t="shared" si="43"/>
        <v>OTHERS</v>
      </c>
      <c r="P943" s="4" t="str">
        <f t="shared" si="44"/>
        <v>OTHERS</v>
      </c>
    </row>
    <row r="944" spans="1:16" x14ac:dyDescent="0.3">
      <c r="A944" s="4">
        <v>21</v>
      </c>
      <c r="B944" t="s">
        <v>11</v>
      </c>
      <c r="C944" s="4">
        <v>27.92</v>
      </c>
      <c r="D944" t="s">
        <v>19</v>
      </c>
      <c r="E944" t="s">
        <v>20</v>
      </c>
      <c r="F944" s="4" t="s">
        <v>28</v>
      </c>
      <c r="G944" s="4" t="s">
        <v>34</v>
      </c>
      <c r="H944" s="4">
        <v>3</v>
      </c>
      <c r="I944" s="4">
        <v>7</v>
      </c>
      <c r="J944" s="1">
        <v>45497</v>
      </c>
      <c r="K944" s="2">
        <v>1.223148148148148E-2</v>
      </c>
      <c r="M944" s="4" t="str">
        <f t="shared" si="42"/>
        <v>LOW</v>
      </c>
      <c r="N944" s="4" t="str" cm="1">
        <f t="array" ref="N944">_xlfn.IFS(C944&gt;35,"HIGH",C944&gt;25,"MIDDLE",TRUE,"LOW")</f>
        <v>MIDDLE</v>
      </c>
      <c r="O944" s="4" t="str">
        <f t="shared" si="43"/>
        <v>OTHERS</v>
      </c>
      <c r="P944" s="4" t="str">
        <f t="shared" si="44"/>
        <v>OTHERS</v>
      </c>
    </row>
    <row r="945" spans="1:16" x14ac:dyDescent="0.3">
      <c r="A945" s="4">
        <v>21</v>
      </c>
      <c r="B945" t="s">
        <v>11</v>
      </c>
      <c r="C945" s="4">
        <v>23.02</v>
      </c>
      <c r="D945" t="s">
        <v>18</v>
      </c>
      <c r="E945" t="s">
        <v>20</v>
      </c>
      <c r="F945" s="4" t="s">
        <v>28</v>
      </c>
      <c r="G945" s="4" t="s">
        <v>34</v>
      </c>
      <c r="H945" s="4">
        <v>3</v>
      </c>
      <c r="I945" s="4">
        <v>7</v>
      </c>
      <c r="J945" s="1">
        <v>45497</v>
      </c>
      <c r="K945" s="2">
        <v>1.2978009259259259E-2</v>
      </c>
      <c r="M945" s="4" t="str">
        <f t="shared" si="42"/>
        <v>LOW</v>
      </c>
      <c r="N945" s="4" t="str" cm="1">
        <f t="array" ref="N945">_xlfn.IFS(C945&gt;35,"HIGH",C945&gt;25,"MIDDLE",TRUE,"LOW")</f>
        <v>LOW</v>
      </c>
      <c r="O945" s="4" t="str">
        <f t="shared" si="43"/>
        <v>OTHERS</v>
      </c>
      <c r="P945" s="4" t="str">
        <f t="shared" si="44"/>
        <v>OTHERS</v>
      </c>
    </row>
    <row r="946" spans="1:16" x14ac:dyDescent="0.3">
      <c r="A946" s="4">
        <v>21</v>
      </c>
      <c r="B946" t="s">
        <v>11</v>
      </c>
      <c r="C946" s="4">
        <v>23.02</v>
      </c>
      <c r="D946" t="s">
        <v>18</v>
      </c>
      <c r="E946" t="s">
        <v>20</v>
      </c>
      <c r="F946" s="4" t="s">
        <v>28</v>
      </c>
      <c r="G946" s="4" t="s">
        <v>34</v>
      </c>
      <c r="H946" s="4">
        <v>3</v>
      </c>
      <c r="I946" s="4">
        <v>7</v>
      </c>
      <c r="J946" s="1">
        <v>45497</v>
      </c>
      <c r="K946" s="2">
        <v>1.7563657407407406E-2</v>
      </c>
      <c r="M946" s="4" t="str">
        <f t="shared" si="42"/>
        <v>LOW</v>
      </c>
      <c r="N946" s="4" t="str" cm="1">
        <f t="array" ref="N946">_xlfn.IFS(C946&gt;35,"HIGH",C946&gt;25,"MIDDLE",TRUE,"LOW")</f>
        <v>LOW</v>
      </c>
      <c r="O946" s="4" t="str">
        <f t="shared" si="43"/>
        <v>OTHERS</v>
      </c>
      <c r="P946" s="4" t="str">
        <f t="shared" si="44"/>
        <v>OTHERS</v>
      </c>
    </row>
    <row r="947" spans="1:16" x14ac:dyDescent="0.3">
      <c r="A947" s="4">
        <v>7</v>
      </c>
      <c r="B947" t="s">
        <v>11</v>
      </c>
      <c r="C947" s="4">
        <v>23.02</v>
      </c>
      <c r="D947" t="s">
        <v>18</v>
      </c>
      <c r="E947" t="s">
        <v>13</v>
      </c>
      <c r="F947" s="4" t="s">
        <v>30</v>
      </c>
      <c r="G947" s="4" t="s">
        <v>34</v>
      </c>
      <c r="H947" s="4">
        <v>4</v>
      </c>
      <c r="I947" s="4">
        <v>7</v>
      </c>
      <c r="J947" s="1">
        <v>45498</v>
      </c>
      <c r="K947" s="2">
        <v>3.805439814814815E-2</v>
      </c>
      <c r="M947" s="4" t="str">
        <f t="shared" si="42"/>
        <v>LOW</v>
      </c>
      <c r="N947" s="4" t="str" cm="1">
        <f t="array" ref="N947">_xlfn.IFS(C947&gt;35,"HIGH",C947&gt;25,"MIDDLE",TRUE,"LOW")</f>
        <v>LOW</v>
      </c>
      <c r="O947" s="4" t="str">
        <f t="shared" si="43"/>
        <v>OTHERS</v>
      </c>
      <c r="P947" s="4" t="str">
        <f t="shared" si="44"/>
        <v>PREMINUM MORNING</v>
      </c>
    </row>
    <row r="948" spans="1:16" x14ac:dyDescent="0.3">
      <c r="A948" s="4">
        <v>8</v>
      </c>
      <c r="B948" t="s">
        <v>11</v>
      </c>
      <c r="C948" s="4">
        <v>32.82</v>
      </c>
      <c r="D948" t="s">
        <v>12</v>
      </c>
      <c r="E948" t="s">
        <v>13</v>
      </c>
      <c r="F948" s="4" t="s">
        <v>30</v>
      </c>
      <c r="G948" s="4" t="s">
        <v>34</v>
      </c>
      <c r="H948" s="4">
        <v>4</v>
      </c>
      <c r="I948" s="4">
        <v>7</v>
      </c>
      <c r="J948" s="1">
        <v>45498</v>
      </c>
      <c r="K948" s="2">
        <v>3.4240740740740745E-2</v>
      </c>
      <c r="M948" s="4" t="str">
        <f t="shared" si="42"/>
        <v>LOW</v>
      </c>
      <c r="N948" s="4" t="str" cm="1">
        <f t="array" ref="N948">_xlfn.IFS(C948&gt;35,"HIGH",C948&gt;25,"MIDDLE",TRUE,"LOW")</f>
        <v>MIDDLE</v>
      </c>
      <c r="O948" s="4" t="str">
        <f t="shared" si="43"/>
        <v>OTHERS</v>
      </c>
      <c r="P948" s="4" t="str">
        <f t="shared" si="44"/>
        <v>PREMINUM MORNING</v>
      </c>
    </row>
    <row r="949" spans="1:16" x14ac:dyDescent="0.3">
      <c r="A949" s="4">
        <v>10</v>
      </c>
      <c r="B949" t="s">
        <v>11</v>
      </c>
      <c r="C949" s="4">
        <v>27.92</v>
      </c>
      <c r="D949" t="s">
        <v>19</v>
      </c>
      <c r="E949" t="s">
        <v>13</v>
      </c>
      <c r="F949" s="4" t="s">
        <v>30</v>
      </c>
      <c r="G949" s="4" t="s">
        <v>34</v>
      </c>
      <c r="H949" s="4">
        <v>4</v>
      </c>
      <c r="I949" s="4">
        <v>7</v>
      </c>
      <c r="J949" s="1">
        <v>45498</v>
      </c>
      <c r="K949" s="2">
        <v>2.0655092592592593E-2</v>
      </c>
      <c r="M949" s="4" t="str">
        <f t="shared" si="42"/>
        <v>LOW</v>
      </c>
      <c r="N949" s="4" t="str" cm="1">
        <f t="array" ref="N949">_xlfn.IFS(C949&gt;35,"HIGH",C949&gt;25,"MIDDLE",TRUE,"LOW")</f>
        <v>MIDDLE</v>
      </c>
      <c r="O949" s="4" t="str">
        <f t="shared" si="43"/>
        <v>OTHERS</v>
      </c>
      <c r="P949" s="4" t="str">
        <f t="shared" si="44"/>
        <v>PREMINUM MORNING</v>
      </c>
    </row>
    <row r="950" spans="1:16" x14ac:dyDescent="0.3">
      <c r="A950" s="4">
        <v>11</v>
      </c>
      <c r="B950" t="s">
        <v>11</v>
      </c>
      <c r="C950" s="4">
        <v>23.02</v>
      </c>
      <c r="D950" t="s">
        <v>18</v>
      </c>
      <c r="E950" t="s">
        <v>13</v>
      </c>
      <c r="F950" s="4" t="s">
        <v>30</v>
      </c>
      <c r="G950" s="4" t="s">
        <v>34</v>
      </c>
      <c r="H950" s="4">
        <v>4</v>
      </c>
      <c r="I950" s="4">
        <v>7</v>
      </c>
      <c r="J950" s="1">
        <v>45498</v>
      </c>
      <c r="K950" s="2">
        <v>1.8109953703703704E-2</v>
      </c>
      <c r="M950" s="4" t="str">
        <f t="shared" si="42"/>
        <v>LOW</v>
      </c>
      <c r="N950" s="4" t="str" cm="1">
        <f t="array" ref="N950">_xlfn.IFS(C950&gt;35,"HIGH",C950&gt;25,"MIDDLE",TRUE,"LOW")</f>
        <v>LOW</v>
      </c>
      <c r="O950" s="4" t="str">
        <f t="shared" si="43"/>
        <v>OTHERS</v>
      </c>
      <c r="P950" s="4" t="str">
        <f t="shared" si="44"/>
        <v>PREMINUM MORNING</v>
      </c>
    </row>
    <row r="951" spans="1:16" x14ac:dyDescent="0.3">
      <c r="A951" s="4">
        <v>15</v>
      </c>
      <c r="B951" t="s">
        <v>11</v>
      </c>
      <c r="C951" s="4">
        <v>32.82</v>
      </c>
      <c r="D951" t="s">
        <v>29</v>
      </c>
      <c r="E951" t="s">
        <v>17</v>
      </c>
      <c r="F951" s="4" t="s">
        <v>30</v>
      </c>
      <c r="G951" s="4" t="s">
        <v>34</v>
      </c>
      <c r="H951" s="4">
        <v>4</v>
      </c>
      <c r="I951" s="4">
        <v>7</v>
      </c>
      <c r="J951" s="1">
        <v>45498</v>
      </c>
      <c r="K951" s="2">
        <v>1.7436342592592594E-2</v>
      </c>
      <c r="M951" s="4" t="str">
        <f t="shared" si="42"/>
        <v>LOW</v>
      </c>
      <c r="N951" s="4" t="str" cm="1">
        <f t="array" ref="N951">_xlfn.IFS(C951&gt;35,"HIGH",C951&gt;25,"MIDDLE",TRUE,"LOW")</f>
        <v>MIDDLE</v>
      </c>
      <c r="O951" s="4" t="str">
        <f t="shared" si="43"/>
        <v>OTHERS</v>
      </c>
      <c r="P951" s="4" t="str">
        <f t="shared" si="44"/>
        <v>OTHERS</v>
      </c>
    </row>
    <row r="952" spans="1:16" x14ac:dyDescent="0.3">
      <c r="A952" s="4">
        <v>19</v>
      </c>
      <c r="B952" t="s">
        <v>11</v>
      </c>
      <c r="C952" s="4">
        <v>32.82</v>
      </c>
      <c r="D952" t="s">
        <v>29</v>
      </c>
      <c r="E952" t="s">
        <v>20</v>
      </c>
      <c r="F952" s="4" t="s">
        <v>30</v>
      </c>
      <c r="G952" s="4" t="s">
        <v>34</v>
      </c>
      <c r="H952" s="4">
        <v>4</v>
      </c>
      <c r="I952" s="4">
        <v>7</v>
      </c>
      <c r="J952" s="1">
        <v>45498</v>
      </c>
      <c r="K952" s="2">
        <v>1.4592592592592593E-2</v>
      </c>
      <c r="M952" s="4" t="str">
        <f t="shared" si="42"/>
        <v>LOW</v>
      </c>
      <c r="N952" s="4" t="str" cm="1">
        <f t="array" ref="N952">_xlfn.IFS(C952&gt;35,"HIGH",C952&gt;25,"MIDDLE",TRUE,"LOW")</f>
        <v>MIDDLE</v>
      </c>
      <c r="O952" s="4" t="str">
        <f t="shared" si="43"/>
        <v>OTHERS</v>
      </c>
      <c r="P952" s="4" t="str">
        <f t="shared" si="44"/>
        <v>OTHERS</v>
      </c>
    </row>
    <row r="953" spans="1:16" x14ac:dyDescent="0.3">
      <c r="A953" s="4">
        <v>21</v>
      </c>
      <c r="B953" t="s">
        <v>11</v>
      </c>
      <c r="C953" s="4">
        <v>23.02</v>
      </c>
      <c r="D953" t="s">
        <v>24</v>
      </c>
      <c r="E953" t="s">
        <v>20</v>
      </c>
      <c r="F953" s="4" t="s">
        <v>30</v>
      </c>
      <c r="G953" s="4" t="s">
        <v>34</v>
      </c>
      <c r="H953" s="4">
        <v>4</v>
      </c>
      <c r="I953" s="4">
        <v>7</v>
      </c>
      <c r="J953" s="1">
        <v>45498</v>
      </c>
      <c r="K953" s="2">
        <v>4.1817129629629635E-3</v>
      </c>
      <c r="M953" s="4" t="str">
        <f t="shared" si="42"/>
        <v>LOW</v>
      </c>
      <c r="N953" s="4" t="str" cm="1">
        <f t="array" ref="N953">_xlfn.IFS(C953&gt;35,"HIGH",C953&gt;25,"MIDDLE",TRUE,"LOW")</f>
        <v>LOW</v>
      </c>
      <c r="O953" s="4" t="str">
        <f t="shared" si="43"/>
        <v>OTHERS</v>
      </c>
      <c r="P953" s="4" t="str">
        <f t="shared" si="44"/>
        <v>OTHERS</v>
      </c>
    </row>
    <row r="954" spans="1:16" x14ac:dyDescent="0.3">
      <c r="A954" s="4">
        <v>21</v>
      </c>
      <c r="B954" t="s">
        <v>11</v>
      </c>
      <c r="C954" s="4">
        <v>18.12</v>
      </c>
      <c r="D954" t="s">
        <v>26</v>
      </c>
      <c r="E954" t="s">
        <v>20</v>
      </c>
      <c r="F954" s="4" t="s">
        <v>30</v>
      </c>
      <c r="G954" s="4" t="s">
        <v>34</v>
      </c>
      <c r="H954" s="4">
        <v>4</v>
      </c>
      <c r="I954" s="4">
        <v>7</v>
      </c>
      <c r="J954" s="1">
        <v>45498</v>
      </c>
      <c r="K954" s="2">
        <v>4.7453703703703703E-3</v>
      </c>
      <c r="M954" s="4" t="str">
        <f t="shared" si="42"/>
        <v>LOW</v>
      </c>
      <c r="N954" s="4" t="str" cm="1">
        <f t="array" ref="N954">_xlfn.IFS(C954&gt;35,"HIGH",C954&gt;25,"MIDDLE",TRUE,"LOW")</f>
        <v>LOW</v>
      </c>
      <c r="O954" s="4" t="str">
        <f t="shared" si="43"/>
        <v>OTHERS</v>
      </c>
      <c r="P954" s="4" t="str">
        <f t="shared" si="44"/>
        <v>OTHERS</v>
      </c>
    </row>
    <row r="955" spans="1:16" x14ac:dyDescent="0.3">
      <c r="A955" s="4">
        <v>22</v>
      </c>
      <c r="B955" t="s">
        <v>11</v>
      </c>
      <c r="C955" s="4">
        <v>23.02</v>
      </c>
      <c r="D955" t="s">
        <v>24</v>
      </c>
      <c r="E955" t="s">
        <v>20</v>
      </c>
      <c r="F955" s="4" t="s">
        <v>30</v>
      </c>
      <c r="G955" s="4" t="s">
        <v>34</v>
      </c>
      <c r="H955" s="4">
        <v>4</v>
      </c>
      <c r="I955" s="4">
        <v>7</v>
      </c>
      <c r="J955" s="1">
        <v>45498</v>
      </c>
      <c r="K955" s="2">
        <v>2.6982638888888889E-2</v>
      </c>
      <c r="M955" s="4" t="str">
        <f t="shared" si="42"/>
        <v>LOW</v>
      </c>
      <c r="N955" s="4" t="str" cm="1">
        <f t="array" ref="N955">_xlfn.IFS(C955&gt;35,"HIGH",C955&gt;25,"MIDDLE",TRUE,"LOW")</f>
        <v>LOW</v>
      </c>
      <c r="O955" s="4" t="str">
        <f t="shared" si="43"/>
        <v>OTHERS</v>
      </c>
      <c r="P955" s="4" t="str">
        <f t="shared" si="44"/>
        <v>OTHERS</v>
      </c>
    </row>
    <row r="956" spans="1:16" x14ac:dyDescent="0.3">
      <c r="A956" s="4">
        <v>22</v>
      </c>
      <c r="B956" t="s">
        <v>11</v>
      </c>
      <c r="C956" s="4">
        <v>32.82</v>
      </c>
      <c r="D956" t="s">
        <v>21</v>
      </c>
      <c r="E956" t="s">
        <v>20</v>
      </c>
      <c r="F956" s="4" t="s">
        <v>30</v>
      </c>
      <c r="G956" s="4" t="s">
        <v>34</v>
      </c>
      <c r="H956" s="4">
        <v>4</v>
      </c>
      <c r="I956" s="4">
        <v>7</v>
      </c>
      <c r="J956" s="1">
        <v>45498</v>
      </c>
      <c r="K956" s="2">
        <v>2.7625000000000004E-2</v>
      </c>
      <c r="M956" s="4" t="str">
        <f t="shared" si="42"/>
        <v>LOW</v>
      </c>
      <c r="N956" s="4" t="str" cm="1">
        <f t="array" ref="N956">_xlfn.IFS(C956&gt;35,"HIGH",C956&gt;25,"MIDDLE",TRUE,"LOW")</f>
        <v>MIDDLE</v>
      </c>
      <c r="O956" s="4" t="str">
        <f t="shared" si="43"/>
        <v>OTHERS</v>
      </c>
      <c r="P956" s="4" t="str">
        <f t="shared" si="44"/>
        <v>OTHERS</v>
      </c>
    </row>
    <row r="957" spans="1:16" x14ac:dyDescent="0.3">
      <c r="A957" s="4">
        <v>8</v>
      </c>
      <c r="B957" t="s">
        <v>11</v>
      </c>
      <c r="C957" s="4">
        <v>32.82</v>
      </c>
      <c r="D957" t="s">
        <v>12</v>
      </c>
      <c r="E957" t="s">
        <v>13</v>
      </c>
      <c r="F957" s="4" t="s">
        <v>14</v>
      </c>
      <c r="G957" s="4" t="s">
        <v>34</v>
      </c>
      <c r="H957" s="4">
        <v>5</v>
      </c>
      <c r="I957" s="4">
        <v>7</v>
      </c>
      <c r="J957" s="1">
        <v>45499</v>
      </c>
      <c r="K957" s="2">
        <v>2.2931712962962963E-2</v>
      </c>
      <c r="M957" s="4" t="str">
        <f t="shared" si="42"/>
        <v>LOW</v>
      </c>
      <c r="N957" s="4" t="str" cm="1">
        <f t="array" ref="N957">_xlfn.IFS(C957&gt;35,"HIGH",C957&gt;25,"MIDDLE",TRUE,"LOW")</f>
        <v>MIDDLE</v>
      </c>
      <c r="O957" s="4" t="str">
        <f t="shared" si="43"/>
        <v>OTHERS</v>
      </c>
      <c r="P957" s="4" t="str">
        <f t="shared" si="44"/>
        <v>PREMINUM MORNING</v>
      </c>
    </row>
    <row r="958" spans="1:16" x14ac:dyDescent="0.3">
      <c r="A958" s="4">
        <v>9</v>
      </c>
      <c r="B958" t="s">
        <v>11</v>
      </c>
      <c r="C958" s="4">
        <v>27.92</v>
      </c>
      <c r="D958" t="s">
        <v>19</v>
      </c>
      <c r="E958" t="s">
        <v>13</v>
      </c>
      <c r="F958" s="4" t="s">
        <v>14</v>
      </c>
      <c r="G958" s="4" t="s">
        <v>34</v>
      </c>
      <c r="H958" s="4">
        <v>5</v>
      </c>
      <c r="I958" s="4">
        <v>7</v>
      </c>
      <c r="J958" s="1">
        <v>45499</v>
      </c>
      <c r="K958" s="2">
        <v>1.3627314814814816E-2</v>
      </c>
      <c r="M958" s="4" t="str">
        <f t="shared" si="42"/>
        <v>LOW</v>
      </c>
      <c r="N958" s="4" t="str" cm="1">
        <f t="array" ref="N958">_xlfn.IFS(C958&gt;35,"HIGH",C958&gt;25,"MIDDLE",TRUE,"LOW")</f>
        <v>MIDDLE</v>
      </c>
      <c r="O958" s="4" t="str">
        <f t="shared" si="43"/>
        <v>OTHERS</v>
      </c>
      <c r="P958" s="4" t="str">
        <f t="shared" si="44"/>
        <v>PREMINUM MORNING</v>
      </c>
    </row>
    <row r="959" spans="1:16" x14ac:dyDescent="0.3">
      <c r="A959" s="4">
        <v>9</v>
      </c>
      <c r="B959" t="s">
        <v>11</v>
      </c>
      <c r="C959" s="4">
        <v>18.12</v>
      </c>
      <c r="D959" t="s">
        <v>26</v>
      </c>
      <c r="E959" t="s">
        <v>13</v>
      </c>
      <c r="F959" s="4" t="s">
        <v>14</v>
      </c>
      <c r="G959" s="4" t="s">
        <v>34</v>
      </c>
      <c r="H959" s="4">
        <v>5</v>
      </c>
      <c r="I959" s="4">
        <v>7</v>
      </c>
      <c r="J959" s="1">
        <v>45499</v>
      </c>
      <c r="K959" s="2">
        <v>1.4285879629629629E-2</v>
      </c>
      <c r="M959" s="4" t="str">
        <f t="shared" si="42"/>
        <v>LOW</v>
      </c>
      <c r="N959" s="4" t="str" cm="1">
        <f t="array" ref="N959">_xlfn.IFS(C959&gt;35,"HIGH",C959&gt;25,"MIDDLE",TRUE,"LOW")</f>
        <v>LOW</v>
      </c>
      <c r="O959" s="4" t="str">
        <f t="shared" si="43"/>
        <v>OTHERS</v>
      </c>
      <c r="P959" s="4" t="str">
        <f t="shared" si="44"/>
        <v>PREMINUM MORNING</v>
      </c>
    </row>
    <row r="960" spans="1:16" x14ac:dyDescent="0.3">
      <c r="A960" s="4">
        <v>9</v>
      </c>
      <c r="B960" t="s">
        <v>11</v>
      </c>
      <c r="C960" s="4">
        <v>23.02</v>
      </c>
      <c r="D960" t="s">
        <v>24</v>
      </c>
      <c r="E960" t="s">
        <v>13</v>
      </c>
      <c r="F960" s="4" t="s">
        <v>14</v>
      </c>
      <c r="G960" s="4" t="s">
        <v>34</v>
      </c>
      <c r="H960" s="4">
        <v>5</v>
      </c>
      <c r="I960" s="4">
        <v>7</v>
      </c>
      <c r="J960" s="1">
        <v>45499</v>
      </c>
      <c r="K960" s="2">
        <v>2.3049768518518518E-2</v>
      </c>
      <c r="M960" s="4" t="str">
        <f t="shared" si="42"/>
        <v>LOW</v>
      </c>
      <c r="N960" s="4" t="str" cm="1">
        <f t="array" ref="N960">_xlfn.IFS(C960&gt;35,"HIGH",C960&gt;25,"MIDDLE",TRUE,"LOW")</f>
        <v>LOW</v>
      </c>
      <c r="O960" s="4" t="str">
        <f t="shared" si="43"/>
        <v>OTHERS</v>
      </c>
      <c r="P960" s="4" t="str">
        <f t="shared" si="44"/>
        <v>PREMINUM MORNING</v>
      </c>
    </row>
    <row r="961" spans="1:16" x14ac:dyDescent="0.3">
      <c r="A961" s="4">
        <v>9</v>
      </c>
      <c r="B961" t="s">
        <v>11</v>
      </c>
      <c r="C961" s="4">
        <v>23.02</v>
      </c>
      <c r="D961" t="s">
        <v>24</v>
      </c>
      <c r="E961" t="s">
        <v>13</v>
      </c>
      <c r="F961" s="4" t="s">
        <v>14</v>
      </c>
      <c r="G961" s="4" t="s">
        <v>34</v>
      </c>
      <c r="H961" s="4">
        <v>5</v>
      </c>
      <c r="I961" s="4">
        <v>7</v>
      </c>
      <c r="J961" s="1">
        <v>45499</v>
      </c>
      <c r="K961" s="2">
        <v>2.3803240740740739E-2</v>
      </c>
      <c r="M961" s="4" t="str">
        <f t="shared" si="42"/>
        <v>LOW</v>
      </c>
      <c r="N961" s="4" t="str" cm="1">
        <f t="array" ref="N961">_xlfn.IFS(C961&gt;35,"HIGH",C961&gt;25,"MIDDLE",TRUE,"LOW")</f>
        <v>LOW</v>
      </c>
      <c r="O961" s="4" t="str">
        <f t="shared" si="43"/>
        <v>OTHERS</v>
      </c>
      <c r="P961" s="4" t="str">
        <f t="shared" si="44"/>
        <v>PREMINUM MORNING</v>
      </c>
    </row>
    <row r="962" spans="1:16" x14ac:dyDescent="0.3">
      <c r="A962" s="4">
        <v>9</v>
      </c>
      <c r="B962" t="s">
        <v>11</v>
      </c>
      <c r="C962" s="4">
        <v>32.82</v>
      </c>
      <c r="D962" t="s">
        <v>12</v>
      </c>
      <c r="E962" t="s">
        <v>13</v>
      </c>
      <c r="F962" s="4" t="s">
        <v>14</v>
      </c>
      <c r="G962" s="4" t="s">
        <v>34</v>
      </c>
      <c r="H962" s="4">
        <v>5</v>
      </c>
      <c r="I962" s="4">
        <v>7</v>
      </c>
      <c r="J962" s="1">
        <v>45499</v>
      </c>
      <c r="K962" s="2">
        <v>4.106365740740741E-2</v>
      </c>
      <c r="M962" s="4" t="str">
        <f t="shared" si="42"/>
        <v>LOW</v>
      </c>
      <c r="N962" s="4" t="str" cm="1">
        <f t="array" ref="N962">_xlfn.IFS(C962&gt;35,"HIGH",C962&gt;25,"MIDDLE",TRUE,"LOW")</f>
        <v>MIDDLE</v>
      </c>
      <c r="O962" s="4" t="str">
        <f t="shared" si="43"/>
        <v>OTHERS</v>
      </c>
      <c r="P962" s="4" t="str">
        <f t="shared" si="44"/>
        <v>PREMINUM MORNING</v>
      </c>
    </row>
    <row r="963" spans="1:16" x14ac:dyDescent="0.3">
      <c r="A963" s="4">
        <v>10</v>
      </c>
      <c r="B963" t="s">
        <v>11</v>
      </c>
      <c r="C963" s="4">
        <v>32.82</v>
      </c>
      <c r="D963" t="s">
        <v>12</v>
      </c>
      <c r="E963" t="s">
        <v>13</v>
      </c>
      <c r="F963" s="4" t="s">
        <v>14</v>
      </c>
      <c r="G963" s="4" t="s">
        <v>34</v>
      </c>
      <c r="H963" s="4">
        <v>5</v>
      </c>
      <c r="I963" s="4">
        <v>7</v>
      </c>
      <c r="J963" s="1">
        <v>45499</v>
      </c>
      <c r="K963" s="2">
        <v>3.1250000000000001E-5</v>
      </c>
      <c r="M963" s="4" t="str">
        <f t="shared" ref="M963:M1026" si="45">IF(C963&gt;35,"HIGH","LOW")</f>
        <v>LOW</v>
      </c>
      <c r="N963" s="4" t="str" cm="1">
        <f t="array" ref="N963">_xlfn.IFS(C963&gt;35,"HIGH",C963&gt;25,"MIDDLE",TRUE,"LOW")</f>
        <v>MIDDLE</v>
      </c>
      <c r="O963" s="4" t="str">
        <f t="shared" ref="O963:O1026" si="46">IF(AND(C963&gt;35,E963="MORNING"),"PREMINUM MORNING","OTHERS")</f>
        <v>OTHERS</v>
      </c>
      <c r="P963" s="4" t="str">
        <f t="shared" ref="P963:P1026" si="47">IF(OR(C963&gt;35,E963="MORNING"),"PREMINUM MORNING","OTHERS")</f>
        <v>PREMINUM MORNING</v>
      </c>
    </row>
    <row r="964" spans="1:16" x14ac:dyDescent="0.3">
      <c r="A964" s="4">
        <v>11</v>
      </c>
      <c r="B964" t="s">
        <v>11</v>
      </c>
      <c r="C964" s="4">
        <v>27.92</v>
      </c>
      <c r="D964" t="s">
        <v>19</v>
      </c>
      <c r="E964" t="s">
        <v>13</v>
      </c>
      <c r="F964" s="4" t="s">
        <v>14</v>
      </c>
      <c r="G964" s="4" t="s">
        <v>34</v>
      </c>
      <c r="H964" s="4">
        <v>5</v>
      </c>
      <c r="I964" s="4">
        <v>7</v>
      </c>
      <c r="J964" s="1">
        <v>45499</v>
      </c>
      <c r="K964" s="2">
        <v>3.279976851851852E-2</v>
      </c>
      <c r="M964" s="4" t="str">
        <f t="shared" si="45"/>
        <v>LOW</v>
      </c>
      <c r="N964" s="4" t="str" cm="1">
        <f t="array" ref="N964">_xlfn.IFS(C964&gt;35,"HIGH",C964&gt;25,"MIDDLE",TRUE,"LOW")</f>
        <v>MIDDLE</v>
      </c>
      <c r="O964" s="4" t="str">
        <f t="shared" si="46"/>
        <v>OTHERS</v>
      </c>
      <c r="P964" s="4" t="str">
        <f t="shared" si="47"/>
        <v>PREMINUM MORNING</v>
      </c>
    </row>
    <row r="965" spans="1:16" x14ac:dyDescent="0.3">
      <c r="A965" s="4">
        <v>12</v>
      </c>
      <c r="B965" t="s">
        <v>11</v>
      </c>
      <c r="C965" s="4">
        <v>27.92</v>
      </c>
      <c r="D965" t="s">
        <v>19</v>
      </c>
      <c r="E965" t="s">
        <v>17</v>
      </c>
      <c r="F965" s="4" t="s">
        <v>14</v>
      </c>
      <c r="G965" s="4" t="s">
        <v>34</v>
      </c>
      <c r="H965" s="4">
        <v>5</v>
      </c>
      <c r="I965" s="4">
        <v>7</v>
      </c>
      <c r="J965" s="1">
        <v>45499</v>
      </c>
      <c r="K965" s="2">
        <v>4.8807870370370368E-3</v>
      </c>
      <c r="M965" s="4" t="str">
        <f t="shared" si="45"/>
        <v>LOW</v>
      </c>
      <c r="N965" s="4" t="str" cm="1">
        <f t="array" ref="N965">_xlfn.IFS(C965&gt;35,"HIGH",C965&gt;25,"MIDDLE",TRUE,"LOW")</f>
        <v>MIDDLE</v>
      </c>
      <c r="O965" s="4" t="str">
        <f t="shared" si="46"/>
        <v>OTHERS</v>
      </c>
      <c r="P965" s="4" t="str">
        <f t="shared" si="47"/>
        <v>OTHERS</v>
      </c>
    </row>
    <row r="966" spans="1:16" x14ac:dyDescent="0.3">
      <c r="A966" s="4">
        <v>12</v>
      </c>
      <c r="B966" t="s">
        <v>11</v>
      </c>
      <c r="C966" s="4">
        <v>32.82</v>
      </c>
      <c r="D966" t="s">
        <v>29</v>
      </c>
      <c r="E966" t="s">
        <v>17</v>
      </c>
      <c r="F966" s="4" t="s">
        <v>14</v>
      </c>
      <c r="G966" s="4" t="s">
        <v>34</v>
      </c>
      <c r="H966" s="4">
        <v>5</v>
      </c>
      <c r="I966" s="4">
        <v>7</v>
      </c>
      <c r="J966" s="1">
        <v>45499</v>
      </c>
      <c r="K966" s="2">
        <v>1.9537037037037037E-2</v>
      </c>
      <c r="M966" s="4" t="str">
        <f t="shared" si="45"/>
        <v>LOW</v>
      </c>
      <c r="N966" s="4" t="str" cm="1">
        <f t="array" ref="N966">_xlfn.IFS(C966&gt;35,"HIGH",C966&gt;25,"MIDDLE",TRUE,"LOW")</f>
        <v>MIDDLE</v>
      </c>
      <c r="O966" s="4" t="str">
        <f t="shared" si="46"/>
        <v>OTHERS</v>
      </c>
      <c r="P966" s="4" t="str">
        <f t="shared" si="47"/>
        <v>OTHERS</v>
      </c>
    </row>
    <row r="967" spans="1:16" x14ac:dyDescent="0.3">
      <c r="A967" s="4">
        <v>12</v>
      </c>
      <c r="B967" t="s">
        <v>11</v>
      </c>
      <c r="C967" s="4">
        <v>32.82</v>
      </c>
      <c r="D967" t="s">
        <v>29</v>
      </c>
      <c r="E967" t="s">
        <v>17</v>
      </c>
      <c r="F967" s="4" t="s">
        <v>14</v>
      </c>
      <c r="G967" s="4" t="s">
        <v>34</v>
      </c>
      <c r="H967" s="4">
        <v>5</v>
      </c>
      <c r="I967" s="4">
        <v>7</v>
      </c>
      <c r="J967" s="1">
        <v>45499</v>
      </c>
      <c r="K967" s="2">
        <v>2.0343750000000001E-2</v>
      </c>
      <c r="M967" s="4" t="str">
        <f t="shared" si="45"/>
        <v>LOW</v>
      </c>
      <c r="N967" s="4" t="str" cm="1">
        <f t="array" ref="N967">_xlfn.IFS(C967&gt;35,"HIGH",C967&gt;25,"MIDDLE",TRUE,"LOW")</f>
        <v>MIDDLE</v>
      </c>
      <c r="O967" s="4" t="str">
        <f t="shared" si="46"/>
        <v>OTHERS</v>
      </c>
      <c r="P967" s="4" t="str">
        <f t="shared" si="47"/>
        <v>OTHERS</v>
      </c>
    </row>
    <row r="968" spans="1:16" x14ac:dyDescent="0.3">
      <c r="A968" s="4">
        <v>13</v>
      </c>
      <c r="B968" t="s">
        <v>11</v>
      </c>
      <c r="C968" s="4">
        <v>32.82</v>
      </c>
      <c r="D968" t="s">
        <v>12</v>
      </c>
      <c r="E968" t="s">
        <v>17</v>
      </c>
      <c r="F968" s="4" t="s">
        <v>14</v>
      </c>
      <c r="G968" s="4" t="s">
        <v>34</v>
      </c>
      <c r="H968" s="4">
        <v>5</v>
      </c>
      <c r="I968" s="4">
        <v>7</v>
      </c>
      <c r="J968" s="1">
        <v>45499</v>
      </c>
      <c r="K968" s="2">
        <v>6.8993055555555561E-3</v>
      </c>
      <c r="M968" s="4" t="str">
        <f t="shared" si="45"/>
        <v>LOW</v>
      </c>
      <c r="N968" s="4" t="str" cm="1">
        <f t="array" ref="N968">_xlfn.IFS(C968&gt;35,"HIGH",C968&gt;25,"MIDDLE",TRUE,"LOW")</f>
        <v>MIDDLE</v>
      </c>
      <c r="O968" s="4" t="str">
        <f t="shared" si="46"/>
        <v>OTHERS</v>
      </c>
      <c r="P968" s="4" t="str">
        <f t="shared" si="47"/>
        <v>OTHERS</v>
      </c>
    </row>
    <row r="969" spans="1:16" x14ac:dyDescent="0.3">
      <c r="A969" s="4">
        <v>17</v>
      </c>
      <c r="B969" t="s">
        <v>11</v>
      </c>
      <c r="C969" s="4">
        <v>23.02</v>
      </c>
      <c r="D969" t="s">
        <v>18</v>
      </c>
      <c r="E969" t="s">
        <v>20</v>
      </c>
      <c r="F969" s="4" t="s">
        <v>14</v>
      </c>
      <c r="G969" s="4" t="s">
        <v>34</v>
      </c>
      <c r="H969" s="4">
        <v>5</v>
      </c>
      <c r="I969" s="4">
        <v>7</v>
      </c>
      <c r="J969" s="1">
        <v>45499</v>
      </c>
      <c r="K969" s="2">
        <v>1.6311342592592593E-2</v>
      </c>
      <c r="M969" s="4" t="str">
        <f t="shared" si="45"/>
        <v>LOW</v>
      </c>
      <c r="N969" s="4" t="str" cm="1">
        <f t="array" ref="N969">_xlfn.IFS(C969&gt;35,"HIGH",C969&gt;25,"MIDDLE",TRUE,"LOW")</f>
        <v>LOW</v>
      </c>
      <c r="O969" s="4" t="str">
        <f t="shared" si="46"/>
        <v>OTHERS</v>
      </c>
      <c r="P969" s="4" t="str">
        <f t="shared" si="47"/>
        <v>OTHERS</v>
      </c>
    </row>
    <row r="970" spans="1:16" x14ac:dyDescent="0.3">
      <c r="A970" s="4">
        <v>17</v>
      </c>
      <c r="B970" t="s">
        <v>11</v>
      </c>
      <c r="C970" s="4">
        <v>32.82</v>
      </c>
      <c r="D970" t="s">
        <v>29</v>
      </c>
      <c r="E970" t="s">
        <v>20</v>
      </c>
      <c r="F970" s="4" t="s">
        <v>14</v>
      </c>
      <c r="G970" s="4" t="s">
        <v>34</v>
      </c>
      <c r="H970" s="4">
        <v>5</v>
      </c>
      <c r="I970" s="4">
        <v>7</v>
      </c>
      <c r="J970" s="1">
        <v>45499</v>
      </c>
      <c r="K970" s="2">
        <v>4.0615740740740737E-2</v>
      </c>
      <c r="M970" s="4" t="str">
        <f t="shared" si="45"/>
        <v>LOW</v>
      </c>
      <c r="N970" s="4" t="str" cm="1">
        <f t="array" ref="N970">_xlfn.IFS(C970&gt;35,"HIGH",C970&gt;25,"MIDDLE",TRUE,"LOW")</f>
        <v>MIDDLE</v>
      </c>
      <c r="O970" s="4" t="str">
        <f t="shared" si="46"/>
        <v>OTHERS</v>
      </c>
      <c r="P970" s="4" t="str">
        <f t="shared" si="47"/>
        <v>OTHERS</v>
      </c>
    </row>
    <row r="971" spans="1:16" x14ac:dyDescent="0.3">
      <c r="A971" s="4">
        <v>21</v>
      </c>
      <c r="B971" t="s">
        <v>11</v>
      </c>
      <c r="C971" s="4">
        <v>32.82</v>
      </c>
      <c r="D971" t="s">
        <v>12</v>
      </c>
      <c r="E971" t="s">
        <v>20</v>
      </c>
      <c r="F971" s="4" t="s">
        <v>14</v>
      </c>
      <c r="G971" s="4" t="s">
        <v>34</v>
      </c>
      <c r="H971" s="4">
        <v>5</v>
      </c>
      <c r="I971" s="4">
        <v>7</v>
      </c>
      <c r="J971" s="1">
        <v>45499</v>
      </c>
      <c r="K971" s="2">
        <v>1.0527777777777778E-2</v>
      </c>
      <c r="M971" s="4" t="str">
        <f t="shared" si="45"/>
        <v>LOW</v>
      </c>
      <c r="N971" s="4" t="str" cm="1">
        <f t="array" ref="N971">_xlfn.IFS(C971&gt;35,"HIGH",C971&gt;25,"MIDDLE",TRUE,"LOW")</f>
        <v>MIDDLE</v>
      </c>
      <c r="O971" s="4" t="str">
        <f t="shared" si="46"/>
        <v>OTHERS</v>
      </c>
      <c r="P971" s="4" t="str">
        <f t="shared" si="47"/>
        <v>OTHERS</v>
      </c>
    </row>
    <row r="972" spans="1:16" x14ac:dyDescent="0.3">
      <c r="A972" s="4">
        <v>22</v>
      </c>
      <c r="B972" t="s">
        <v>11</v>
      </c>
      <c r="C972" s="4">
        <v>27.92</v>
      </c>
      <c r="D972" t="s">
        <v>19</v>
      </c>
      <c r="E972" t="s">
        <v>20</v>
      </c>
      <c r="F972" s="4" t="s">
        <v>14</v>
      </c>
      <c r="G972" s="4" t="s">
        <v>34</v>
      </c>
      <c r="H972" s="4">
        <v>5</v>
      </c>
      <c r="I972" s="4">
        <v>7</v>
      </c>
      <c r="J972" s="1">
        <v>45499</v>
      </c>
      <c r="K972" s="2">
        <v>3.4633101851851852E-2</v>
      </c>
      <c r="M972" s="4" t="str">
        <f t="shared" si="45"/>
        <v>LOW</v>
      </c>
      <c r="N972" s="4" t="str" cm="1">
        <f t="array" ref="N972">_xlfn.IFS(C972&gt;35,"HIGH",C972&gt;25,"MIDDLE",TRUE,"LOW")</f>
        <v>MIDDLE</v>
      </c>
      <c r="O972" s="4" t="str">
        <f t="shared" si="46"/>
        <v>OTHERS</v>
      </c>
      <c r="P972" s="4" t="str">
        <f t="shared" si="47"/>
        <v>OTHERS</v>
      </c>
    </row>
    <row r="973" spans="1:16" x14ac:dyDescent="0.3">
      <c r="A973" s="4">
        <v>9</v>
      </c>
      <c r="B973" t="s">
        <v>11</v>
      </c>
      <c r="C973" s="4">
        <v>32.82</v>
      </c>
      <c r="D973" t="s">
        <v>29</v>
      </c>
      <c r="E973" t="s">
        <v>13</v>
      </c>
      <c r="F973" s="4" t="s">
        <v>22</v>
      </c>
      <c r="G973" s="4" t="s">
        <v>34</v>
      </c>
      <c r="H973" s="4">
        <v>6</v>
      </c>
      <c r="I973" s="4">
        <v>7</v>
      </c>
      <c r="J973" s="1">
        <v>45500</v>
      </c>
      <c r="K973" s="2">
        <v>6.4409722222222221E-3</v>
      </c>
      <c r="M973" s="4" t="str">
        <f t="shared" si="45"/>
        <v>LOW</v>
      </c>
      <c r="N973" s="4" t="str" cm="1">
        <f t="array" ref="N973">_xlfn.IFS(C973&gt;35,"HIGH",C973&gt;25,"MIDDLE",TRUE,"LOW")</f>
        <v>MIDDLE</v>
      </c>
      <c r="O973" s="4" t="str">
        <f t="shared" si="46"/>
        <v>OTHERS</v>
      </c>
      <c r="P973" s="4" t="str">
        <f t="shared" si="47"/>
        <v>PREMINUM MORNING</v>
      </c>
    </row>
    <row r="974" spans="1:16" x14ac:dyDescent="0.3">
      <c r="A974" s="4">
        <v>11</v>
      </c>
      <c r="B974" t="s">
        <v>11</v>
      </c>
      <c r="C974" s="4">
        <v>27.92</v>
      </c>
      <c r="D974" t="s">
        <v>19</v>
      </c>
      <c r="E974" t="s">
        <v>13</v>
      </c>
      <c r="F974" s="4" t="s">
        <v>22</v>
      </c>
      <c r="G974" s="4" t="s">
        <v>34</v>
      </c>
      <c r="H974" s="4">
        <v>6</v>
      </c>
      <c r="I974" s="4">
        <v>7</v>
      </c>
      <c r="J974" s="1">
        <v>45500</v>
      </c>
      <c r="K974" s="2">
        <v>3.8557870370370374E-2</v>
      </c>
      <c r="M974" s="4" t="str">
        <f t="shared" si="45"/>
        <v>LOW</v>
      </c>
      <c r="N974" s="4" t="str" cm="1">
        <f t="array" ref="N974">_xlfn.IFS(C974&gt;35,"HIGH",C974&gt;25,"MIDDLE",TRUE,"LOW")</f>
        <v>MIDDLE</v>
      </c>
      <c r="O974" s="4" t="str">
        <f t="shared" si="46"/>
        <v>OTHERS</v>
      </c>
      <c r="P974" s="4" t="str">
        <f t="shared" si="47"/>
        <v>PREMINUM MORNING</v>
      </c>
    </row>
    <row r="975" spans="1:16" x14ac:dyDescent="0.3">
      <c r="A975" s="4">
        <v>12</v>
      </c>
      <c r="B975" t="s">
        <v>11</v>
      </c>
      <c r="C975" s="4">
        <v>27.92</v>
      </c>
      <c r="D975" t="s">
        <v>19</v>
      </c>
      <c r="E975" t="s">
        <v>17</v>
      </c>
      <c r="F975" s="4" t="s">
        <v>22</v>
      </c>
      <c r="G975" s="4" t="s">
        <v>34</v>
      </c>
      <c r="H975" s="4">
        <v>6</v>
      </c>
      <c r="I975" s="4">
        <v>7</v>
      </c>
      <c r="J975" s="1">
        <v>45500</v>
      </c>
      <c r="K975" s="2">
        <v>1.7478009259259259E-2</v>
      </c>
      <c r="M975" s="4" t="str">
        <f t="shared" si="45"/>
        <v>LOW</v>
      </c>
      <c r="N975" s="4" t="str" cm="1">
        <f t="array" ref="N975">_xlfn.IFS(C975&gt;35,"HIGH",C975&gt;25,"MIDDLE",TRUE,"LOW")</f>
        <v>MIDDLE</v>
      </c>
      <c r="O975" s="4" t="str">
        <f t="shared" si="46"/>
        <v>OTHERS</v>
      </c>
      <c r="P975" s="4" t="str">
        <f t="shared" si="47"/>
        <v>OTHERS</v>
      </c>
    </row>
    <row r="976" spans="1:16" x14ac:dyDescent="0.3">
      <c r="A976" s="4">
        <v>12</v>
      </c>
      <c r="B976" t="s">
        <v>11</v>
      </c>
      <c r="C976" s="4">
        <v>18.12</v>
      </c>
      <c r="D976" t="s">
        <v>26</v>
      </c>
      <c r="E976" t="s">
        <v>17</v>
      </c>
      <c r="F976" s="4" t="s">
        <v>22</v>
      </c>
      <c r="G976" s="4" t="s">
        <v>34</v>
      </c>
      <c r="H976" s="4">
        <v>6</v>
      </c>
      <c r="I976" s="4">
        <v>7</v>
      </c>
      <c r="J976" s="1">
        <v>45500</v>
      </c>
      <c r="K976" s="2">
        <v>1.8208333333333333E-2</v>
      </c>
      <c r="M976" s="4" t="str">
        <f t="shared" si="45"/>
        <v>LOW</v>
      </c>
      <c r="N976" s="4" t="str" cm="1">
        <f t="array" ref="N976">_xlfn.IFS(C976&gt;35,"HIGH",C976&gt;25,"MIDDLE",TRUE,"LOW")</f>
        <v>LOW</v>
      </c>
      <c r="O976" s="4" t="str">
        <f t="shared" si="46"/>
        <v>OTHERS</v>
      </c>
      <c r="P976" s="4" t="str">
        <f t="shared" si="47"/>
        <v>OTHERS</v>
      </c>
    </row>
    <row r="977" spans="1:16" x14ac:dyDescent="0.3">
      <c r="A977" s="4">
        <v>12</v>
      </c>
      <c r="B977" t="s">
        <v>11</v>
      </c>
      <c r="C977" s="4">
        <v>27.92</v>
      </c>
      <c r="D977" t="s">
        <v>19</v>
      </c>
      <c r="E977" t="s">
        <v>17</v>
      </c>
      <c r="F977" s="4" t="s">
        <v>22</v>
      </c>
      <c r="G977" s="4" t="s">
        <v>34</v>
      </c>
      <c r="H977" s="4">
        <v>6</v>
      </c>
      <c r="I977" s="4">
        <v>7</v>
      </c>
      <c r="J977" s="1">
        <v>45500</v>
      </c>
      <c r="K977" s="2">
        <v>2.3184027777777776E-2</v>
      </c>
      <c r="M977" s="4" t="str">
        <f t="shared" si="45"/>
        <v>LOW</v>
      </c>
      <c r="N977" s="4" t="str" cm="1">
        <f t="array" ref="N977">_xlfn.IFS(C977&gt;35,"HIGH",C977&gt;25,"MIDDLE",TRUE,"LOW")</f>
        <v>MIDDLE</v>
      </c>
      <c r="O977" s="4" t="str">
        <f t="shared" si="46"/>
        <v>OTHERS</v>
      </c>
      <c r="P977" s="4" t="str">
        <f t="shared" si="47"/>
        <v>OTHERS</v>
      </c>
    </row>
    <row r="978" spans="1:16" x14ac:dyDescent="0.3">
      <c r="A978" s="4">
        <v>14</v>
      </c>
      <c r="B978" t="s">
        <v>11</v>
      </c>
      <c r="C978" s="4">
        <v>18.12</v>
      </c>
      <c r="D978" t="s">
        <v>26</v>
      </c>
      <c r="E978" t="s">
        <v>17</v>
      </c>
      <c r="F978" s="4" t="s">
        <v>22</v>
      </c>
      <c r="G978" s="4" t="s">
        <v>34</v>
      </c>
      <c r="H978" s="4">
        <v>6</v>
      </c>
      <c r="I978" s="4">
        <v>7</v>
      </c>
      <c r="J978" s="1">
        <v>45500</v>
      </c>
      <c r="K978" s="2">
        <v>1.9929398148148147E-2</v>
      </c>
      <c r="M978" s="4" t="str">
        <f t="shared" si="45"/>
        <v>LOW</v>
      </c>
      <c r="N978" s="4" t="str" cm="1">
        <f t="array" ref="N978">_xlfn.IFS(C978&gt;35,"HIGH",C978&gt;25,"MIDDLE",TRUE,"LOW")</f>
        <v>LOW</v>
      </c>
      <c r="O978" s="4" t="str">
        <f t="shared" si="46"/>
        <v>OTHERS</v>
      </c>
      <c r="P978" s="4" t="str">
        <f t="shared" si="47"/>
        <v>OTHERS</v>
      </c>
    </row>
    <row r="979" spans="1:16" x14ac:dyDescent="0.3">
      <c r="A979" s="4">
        <v>14</v>
      </c>
      <c r="B979" t="s">
        <v>11</v>
      </c>
      <c r="C979" s="4">
        <v>32.82</v>
      </c>
      <c r="D979" t="s">
        <v>12</v>
      </c>
      <c r="E979" t="s">
        <v>17</v>
      </c>
      <c r="F979" s="4" t="s">
        <v>22</v>
      </c>
      <c r="G979" s="4" t="s">
        <v>34</v>
      </c>
      <c r="H979" s="4">
        <v>6</v>
      </c>
      <c r="I979" s="4">
        <v>7</v>
      </c>
      <c r="J979" s="1">
        <v>45500</v>
      </c>
      <c r="K979" s="2">
        <v>3.6032407407407402E-2</v>
      </c>
      <c r="M979" s="4" t="str">
        <f t="shared" si="45"/>
        <v>LOW</v>
      </c>
      <c r="N979" s="4" t="str" cm="1">
        <f t="array" ref="N979">_xlfn.IFS(C979&gt;35,"HIGH",C979&gt;25,"MIDDLE",TRUE,"LOW")</f>
        <v>MIDDLE</v>
      </c>
      <c r="O979" s="4" t="str">
        <f t="shared" si="46"/>
        <v>OTHERS</v>
      </c>
      <c r="P979" s="4" t="str">
        <f t="shared" si="47"/>
        <v>OTHERS</v>
      </c>
    </row>
    <row r="980" spans="1:16" x14ac:dyDescent="0.3">
      <c r="A980" s="4">
        <v>17</v>
      </c>
      <c r="B980" t="s">
        <v>11</v>
      </c>
      <c r="C980" s="4">
        <v>32.82</v>
      </c>
      <c r="D980" t="s">
        <v>29</v>
      </c>
      <c r="E980" t="s">
        <v>20</v>
      </c>
      <c r="F980" s="4" t="s">
        <v>22</v>
      </c>
      <c r="G980" s="4" t="s">
        <v>34</v>
      </c>
      <c r="H980" s="4">
        <v>6</v>
      </c>
      <c r="I980" s="4">
        <v>7</v>
      </c>
      <c r="J980" s="1">
        <v>45500</v>
      </c>
      <c r="K980" s="2">
        <v>1.7754629629629631E-3</v>
      </c>
      <c r="M980" s="4" t="str">
        <f t="shared" si="45"/>
        <v>LOW</v>
      </c>
      <c r="N980" s="4" t="str" cm="1">
        <f t="array" ref="N980">_xlfn.IFS(C980&gt;35,"HIGH",C980&gt;25,"MIDDLE",TRUE,"LOW")</f>
        <v>MIDDLE</v>
      </c>
      <c r="O980" s="4" t="str">
        <f t="shared" si="46"/>
        <v>OTHERS</v>
      </c>
      <c r="P980" s="4" t="str">
        <f t="shared" si="47"/>
        <v>OTHERS</v>
      </c>
    </row>
    <row r="981" spans="1:16" x14ac:dyDescent="0.3">
      <c r="A981" s="4">
        <v>17</v>
      </c>
      <c r="B981" t="s">
        <v>11</v>
      </c>
      <c r="C981" s="4">
        <v>32.82</v>
      </c>
      <c r="D981" t="s">
        <v>29</v>
      </c>
      <c r="E981" t="s">
        <v>20</v>
      </c>
      <c r="F981" s="4" t="s">
        <v>22</v>
      </c>
      <c r="G981" s="4" t="s">
        <v>34</v>
      </c>
      <c r="H981" s="4">
        <v>6</v>
      </c>
      <c r="I981" s="4">
        <v>7</v>
      </c>
      <c r="J981" s="1">
        <v>45500</v>
      </c>
      <c r="K981" s="2">
        <v>2.5358796296296297E-3</v>
      </c>
      <c r="M981" s="4" t="str">
        <f t="shared" si="45"/>
        <v>LOW</v>
      </c>
      <c r="N981" s="4" t="str" cm="1">
        <f t="array" ref="N981">_xlfn.IFS(C981&gt;35,"HIGH",C981&gt;25,"MIDDLE",TRUE,"LOW")</f>
        <v>MIDDLE</v>
      </c>
      <c r="O981" s="4" t="str">
        <f t="shared" si="46"/>
        <v>OTHERS</v>
      </c>
      <c r="P981" s="4" t="str">
        <f t="shared" si="47"/>
        <v>OTHERS</v>
      </c>
    </row>
    <row r="982" spans="1:16" x14ac:dyDescent="0.3">
      <c r="A982" s="4">
        <v>17</v>
      </c>
      <c r="B982" t="s">
        <v>11</v>
      </c>
      <c r="C982" s="4">
        <v>27.92</v>
      </c>
      <c r="D982" t="s">
        <v>19</v>
      </c>
      <c r="E982" t="s">
        <v>20</v>
      </c>
      <c r="F982" s="4" t="s">
        <v>22</v>
      </c>
      <c r="G982" s="4" t="s">
        <v>34</v>
      </c>
      <c r="H982" s="4">
        <v>6</v>
      </c>
      <c r="I982" s="4">
        <v>7</v>
      </c>
      <c r="J982" s="1">
        <v>45500</v>
      </c>
      <c r="K982" s="2">
        <v>6.2546296296296291E-3</v>
      </c>
      <c r="M982" s="4" t="str">
        <f t="shared" si="45"/>
        <v>LOW</v>
      </c>
      <c r="N982" s="4" t="str" cm="1">
        <f t="array" ref="N982">_xlfn.IFS(C982&gt;35,"HIGH",C982&gt;25,"MIDDLE",TRUE,"LOW")</f>
        <v>MIDDLE</v>
      </c>
      <c r="O982" s="4" t="str">
        <f t="shared" si="46"/>
        <v>OTHERS</v>
      </c>
      <c r="P982" s="4" t="str">
        <f t="shared" si="47"/>
        <v>OTHERS</v>
      </c>
    </row>
    <row r="983" spans="1:16" x14ac:dyDescent="0.3">
      <c r="A983" s="4">
        <v>17</v>
      </c>
      <c r="B983" t="s">
        <v>11</v>
      </c>
      <c r="C983" s="4">
        <v>27.92</v>
      </c>
      <c r="D983" t="s">
        <v>19</v>
      </c>
      <c r="E983" t="s">
        <v>20</v>
      </c>
      <c r="F983" s="4" t="s">
        <v>22</v>
      </c>
      <c r="G983" s="4" t="s">
        <v>34</v>
      </c>
      <c r="H983" s="4">
        <v>6</v>
      </c>
      <c r="I983" s="4">
        <v>7</v>
      </c>
      <c r="J983" s="1">
        <v>45500</v>
      </c>
      <c r="K983" s="2">
        <v>7.038194444444445E-3</v>
      </c>
      <c r="M983" s="4" t="str">
        <f t="shared" si="45"/>
        <v>LOW</v>
      </c>
      <c r="N983" s="4" t="str" cm="1">
        <f t="array" ref="N983">_xlfn.IFS(C983&gt;35,"HIGH",C983&gt;25,"MIDDLE",TRUE,"LOW")</f>
        <v>MIDDLE</v>
      </c>
      <c r="O983" s="4" t="str">
        <f t="shared" si="46"/>
        <v>OTHERS</v>
      </c>
      <c r="P983" s="4" t="str">
        <f t="shared" si="47"/>
        <v>OTHERS</v>
      </c>
    </row>
    <row r="984" spans="1:16" x14ac:dyDescent="0.3">
      <c r="A984" s="4">
        <v>20</v>
      </c>
      <c r="B984" t="s">
        <v>11</v>
      </c>
      <c r="C984" s="4">
        <v>32.82</v>
      </c>
      <c r="D984" t="s">
        <v>12</v>
      </c>
      <c r="E984" t="s">
        <v>20</v>
      </c>
      <c r="F984" s="4" t="s">
        <v>22</v>
      </c>
      <c r="G984" s="4" t="s">
        <v>34</v>
      </c>
      <c r="H984" s="4">
        <v>6</v>
      </c>
      <c r="I984" s="4">
        <v>7</v>
      </c>
      <c r="J984" s="1">
        <v>45500</v>
      </c>
      <c r="K984" s="2">
        <v>3.8428240740740742E-2</v>
      </c>
      <c r="M984" s="4" t="str">
        <f t="shared" si="45"/>
        <v>LOW</v>
      </c>
      <c r="N984" s="4" t="str" cm="1">
        <f t="array" ref="N984">_xlfn.IFS(C984&gt;35,"HIGH",C984&gt;25,"MIDDLE",TRUE,"LOW")</f>
        <v>MIDDLE</v>
      </c>
      <c r="O984" s="4" t="str">
        <f t="shared" si="46"/>
        <v>OTHERS</v>
      </c>
      <c r="P984" s="4" t="str">
        <f t="shared" si="47"/>
        <v>OTHERS</v>
      </c>
    </row>
    <row r="985" spans="1:16" x14ac:dyDescent="0.3">
      <c r="A985" s="4">
        <v>22</v>
      </c>
      <c r="B985" t="s">
        <v>11</v>
      </c>
      <c r="C985" s="4">
        <v>32.82</v>
      </c>
      <c r="D985" t="s">
        <v>29</v>
      </c>
      <c r="E985" t="s">
        <v>20</v>
      </c>
      <c r="F985" s="4" t="s">
        <v>22</v>
      </c>
      <c r="G985" s="4" t="s">
        <v>34</v>
      </c>
      <c r="H985" s="4">
        <v>6</v>
      </c>
      <c r="I985" s="4">
        <v>7</v>
      </c>
      <c r="J985" s="1">
        <v>45500</v>
      </c>
      <c r="K985" s="2">
        <v>3.9165509259259261E-2</v>
      </c>
      <c r="M985" s="4" t="str">
        <f t="shared" si="45"/>
        <v>LOW</v>
      </c>
      <c r="N985" s="4" t="str" cm="1">
        <f t="array" ref="N985">_xlfn.IFS(C985&gt;35,"HIGH",C985&gt;25,"MIDDLE",TRUE,"LOW")</f>
        <v>MIDDLE</v>
      </c>
      <c r="O985" s="4" t="str">
        <f t="shared" si="46"/>
        <v>OTHERS</v>
      </c>
      <c r="P985" s="4" t="str">
        <f t="shared" si="47"/>
        <v>OTHERS</v>
      </c>
    </row>
    <row r="986" spans="1:16" x14ac:dyDescent="0.3">
      <c r="A986" s="4">
        <v>11</v>
      </c>
      <c r="B986" t="s">
        <v>11</v>
      </c>
      <c r="C986" s="4">
        <v>18.12</v>
      </c>
      <c r="D986" t="s">
        <v>26</v>
      </c>
      <c r="E986" t="s">
        <v>13</v>
      </c>
      <c r="F986" s="4" t="s">
        <v>23</v>
      </c>
      <c r="G986" s="4" t="s">
        <v>34</v>
      </c>
      <c r="H986" s="4">
        <v>7</v>
      </c>
      <c r="I986" s="4">
        <v>7</v>
      </c>
      <c r="J986" s="1">
        <v>45501</v>
      </c>
      <c r="K986" s="2">
        <v>5.160879629629629E-3</v>
      </c>
      <c r="M986" s="4" t="str">
        <f t="shared" si="45"/>
        <v>LOW</v>
      </c>
      <c r="N986" s="4" t="str" cm="1">
        <f t="array" ref="N986">_xlfn.IFS(C986&gt;35,"HIGH",C986&gt;25,"MIDDLE",TRUE,"LOW")</f>
        <v>LOW</v>
      </c>
      <c r="O986" s="4" t="str">
        <f t="shared" si="46"/>
        <v>OTHERS</v>
      </c>
      <c r="P986" s="4" t="str">
        <f t="shared" si="47"/>
        <v>PREMINUM MORNING</v>
      </c>
    </row>
    <row r="987" spans="1:16" x14ac:dyDescent="0.3">
      <c r="A987" s="4">
        <v>14</v>
      </c>
      <c r="B987" t="s">
        <v>11</v>
      </c>
      <c r="C987" s="4">
        <v>27.92</v>
      </c>
      <c r="D987" t="s">
        <v>19</v>
      </c>
      <c r="E987" t="s">
        <v>17</v>
      </c>
      <c r="F987" s="4" t="s">
        <v>23</v>
      </c>
      <c r="G987" s="4" t="s">
        <v>34</v>
      </c>
      <c r="H987" s="4">
        <v>7</v>
      </c>
      <c r="I987" s="4">
        <v>7</v>
      </c>
      <c r="J987" s="1">
        <v>45501</v>
      </c>
      <c r="K987" s="2">
        <v>1.243287037037037E-2</v>
      </c>
      <c r="M987" s="4" t="str">
        <f t="shared" si="45"/>
        <v>LOW</v>
      </c>
      <c r="N987" s="4" t="str" cm="1">
        <f t="array" ref="N987">_xlfn.IFS(C987&gt;35,"HIGH",C987&gt;25,"MIDDLE",TRUE,"LOW")</f>
        <v>MIDDLE</v>
      </c>
      <c r="O987" s="4" t="str">
        <f t="shared" si="46"/>
        <v>OTHERS</v>
      </c>
      <c r="P987" s="4" t="str">
        <f t="shared" si="47"/>
        <v>OTHERS</v>
      </c>
    </row>
    <row r="988" spans="1:16" x14ac:dyDescent="0.3">
      <c r="A988" s="4">
        <v>14</v>
      </c>
      <c r="B988" t="s">
        <v>11</v>
      </c>
      <c r="C988" s="4">
        <v>32.82</v>
      </c>
      <c r="D988" t="s">
        <v>12</v>
      </c>
      <c r="E988" t="s">
        <v>17</v>
      </c>
      <c r="F988" s="4" t="s">
        <v>23</v>
      </c>
      <c r="G988" s="4" t="s">
        <v>34</v>
      </c>
      <c r="H988" s="4">
        <v>7</v>
      </c>
      <c r="I988" s="4">
        <v>7</v>
      </c>
      <c r="J988" s="1">
        <v>45501</v>
      </c>
      <c r="K988" s="2">
        <v>1.3104166666666667E-2</v>
      </c>
      <c r="M988" s="4" t="str">
        <f t="shared" si="45"/>
        <v>LOW</v>
      </c>
      <c r="N988" s="4" t="str" cm="1">
        <f t="array" ref="N988">_xlfn.IFS(C988&gt;35,"HIGH",C988&gt;25,"MIDDLE",TRUE,"LOW")</f>
        <v>MIDDLE</v>
      </c>
      <c r="O988" s="4" t="str">
        <f t="shared" si="46"/>
        <v>OTHERS</v>
      </c>
      <c r="P988" s="4" t="str">
        <f t="shared" si="47"/>
        <v>OTHERS</v>
      </c>
    </row>
    <row r="989" spans="1:16" x14ac:dyDescent="0.3">
      <c r="A989" s="4">
        <v>8</v>
      </c>
      <c r="B989" t="s">
        <v>11</v>
      </c>
      <c r="C989" s="4">
        <v>32.82</v>
      </c>
      <c r="D989" t="s">
        <v>12</v>
      </c>
      <c r="E989" t="s">
        <v>13</v>
      </c>
      <c r="F989" s="4" t="s">
        <v>25</v>
      </c>
      <c r="G989" s="4" t="s">
        <v>34</v>
      </c>
      <c r="H989" s="4">
        <v>1</v>
      </c>
      <c r="I989" s="4">
        <v>7</v>
      </c>
      <c r="J989" s="1">
        <v>45502</v>
      </c>
      <c r="K989" s="2">
        <v>8.4074074074074068E-3</v>
      </c>
      <c r="M989" s="4" t="str">
        <f t="shared" si="45"/>
        <v>LOW</v>
      </c>
      <c r="N989" s="4" t="str" cm="1">
        <f t="array" ref="N989">_xlfn.IFS(C989&gt;35,"HIGH",C989&gt;25,"MIDDLE",TRUE,"LOW")</f>
        <v>MIDDLE</v>
      </c>
      <c r="O989" s="4" t="str">
        <f t="shared" si="46"/>
        <v>OTHERS</v>
      </c>
      <c r="P989" s="4" t="str">
        <f t="shared" si="47"/>
        <v>PREMINUM MORNING</v>
      </c>
    </row>
    <row r="990" spans="1:16" x14ac:dyDescent="0.3">
      <c r="A990" s="4">
        <v>9</v>
      </c>
      <c r="B990" t="s">
        <v>11</v>
      </c>
      <c r="C990" s="4">
        <v>23.02</v>
      </c>
      <c r="D990" t="s">
        <v>18</v>
      </c>
      <c r="E990" t="s">
        <v>13</v>
      </c>
      <c r="F990" s="4" t="s">
        <v>25</v>
      </c>
      <c r="G990" s="4" t="s">
        <v>34</v>
      </c>
      <c r="H990" s="4">
        <v>1</v>
      </c>
      <c r="I990" s="4">
        <v>7</v>
      </c>
      <c r="J990" s="1">
        <v>45502</v>
      </c>
      <c r="K990" s="2">
        <v>3.3333333333333335E-3</v>
      </c>
      <c r="M990" s="4" t="str">
        <f t="shared" si="45"/>
        <v>LOW</v>
      </c>
      <c r="N990" s="4" t="str" cm="1">
        <f t="array" ref="N990">_xlfn.IFS(C990&gt;35,"HIGH",C990&gt;25,"MIDDLE",TRUE,"LOW")</f>
        <v>LOW</v>
      </c>
      <c r="O990" s="4" t="str">
        <f t="shared" si="46"/>
        <v>OTHERS</v>
      </c>
      <c r="P990" s="4" t="str">
        <f t="shared" si="47"/>
        <v>PREMINUM MORNING</v>
      </c>
    </row>
    <row r="991" spans="1:16" x14ac:dyDescent="0.3">
      <c r="A991" s="4">
        <v>9</v>
      </c>
      <c r="B991" t="s">
        <v>11</v>
      </c>
      <c r="C991" s="4">
        <v>27.92</v>
      </c>
      <c r="D991" t="s">
        <v>19</v>
      </c>
      <c r="E991" t="s">
        <v>13</v>
      </c>
      <c r="F991" s="4" t="s">
        <v>25</v>
      </c>
      <c r="G991" s="4" t="s">
        <v>34</v>
      </c>
      <c r="H991" s="4">
        <v>1</v>
      </c>
      <c r="I991" s="4">
        <v>7</v>
      </c>
      <c r="J991" s="1">
        <v>45502</v>
      </c>
      <c r="K991" s="2">
        <v>1.0951388888888889E-2</v>
      </c>
      <c r="M991" s="4" t="str">
        <f t="shared" si="45"/>
        <v>LOW</v>
      </c>
      <c r="N991" s="4" t="str" cm="1">
        <f t="array" ref="N991">_xlfn.IFS(C991&gt;35,"HIGH",C991&gt;25,"MIDDLE",TRUE,"LOW")</f>
        <v>MIDDLE</v>
      </c>
      <c r="O991" s="4" t="str">
        <f t="shared" si="46"/>
        <v>OTHERS</v>
      </c>
      <c r="P991" s="4" t="str">
        <f t="shared" si="47"/>
        <v>PREMINUM MORNING</v>
      </c>
    </row>
    <row r="992" spans="1:16" x14ac:dyDescent="0.3">
      <c r="A992" s="4">
        <v>9</v>
      </c>
      <c r="B992" t="s">
        <v>11</v>
      </c>
      <c r="C992" s="4">
        <v>23.02</v>
      </c>
      <c r="D992" t="s">
        <v>18</v>
      </c>
      <c r="E992" t="s">
        <v>13</v>
      </c>
      <c r="F992" s="4" t="s">
        <v>25</v>
      </c>
      <c r="G992" s="4" t="s">
        <v>34</v>
      </c>
      <c r="H992" s="4">
        <v>1</v>
      </c>
      <c r="I992" s="4">
        <v>7</v>
      </c>
      <c r="J992" s="1">
        <v>45502</v>
      </c>
      <c r="K992" s="2">
        <v>1.370486111111111E-2</v>
      </c>
      <c r="M992" s="4" t="str">
        <f t="shared" si="45"/>
        <v>LOW</v>
      </c>
      <c r="N992" s="4" t="str" cm="1">
        <f t="array" ref="N992">_xlfn.IFS(C992&gt;35,"HIGH",C992&gt;25,"MIDDLE",TRUE,"LOW")</f>
        <v>LOW</v>
      </c>
      <c r="O992" s="4" t="str">
        <f t="shared" si="46"/>
        <v>OTHERS</v>
      </c>
      <c r="P992" s="4" t="str">
        <f t="shared" si="47"/>
        <v>PREMINUM MORNING</v>
      </c>
    </row>
    <row r="993" spans="1:16" x14ac:dyDescent="0.3">
      <c r="A993" s="4">
        <v>9</v>
      </c>
      <c r="B993" t="s">
        <v>11</v>
      </c>
      <c r="C993" s="4">
        <v>27.92</v>
      </c>
      <c r="D993" t="s">
        <v>19</v>
      </c>
      <c r="E993" t="s">
        <v>13</v>
      </c>
      <c r="F993" s="4" t="s">
        <v>25</v>
      </c>
      <c r="G993" s="4" t="s">
        <v>34</v>
      </c>
      <c r="H993" s="4">
        <v>1</v>
      </c>
      <c r="I993" s="4">
        <v>7</v>
      </c>
      <c r="J993" s="1">
        <v>45502</v>
      </c>
      <c r="K993" s="2">
        <v>3.5702546296296295E-2</v>
      </c>
      <c r="M993" s="4" t="str">
        <f t="shared" si="45"/>
        <v>LOW</v>
      </c>
      <c r="N993" s="4" t="str" cm="1">
        <f t="array" ref="N993">_xlfn.IFS(C993&gt;35,"HIGH",C993&gt;25,"MIDDLE",TRUE,"LOW")</f>
        <v>MIDDLE</v>
      </c>
      <c r="O993" s="4" t="str">
        <f t="shared" si="46"/>
        <v>OTHERS</v>
      </c>
      <c r="P993" s="4" t="str">
        <f t="shared" si="47"/>
        <v>PREMINUM MORNING</v>
      </c>
    </row>
    <row r="994" spans="1:16" x14ac:dyDescent="0.3">
      <c r="A994" s="4">
        <v>9</v>
      </c>
      <c r="B994" t="s">
        <v>11</v>
      </c>
      <c r="C994" s="4">
        <v>32.82</v>
      </c>
      <c r="D994" t="s">
        <v>29</v>
      </c>
      <c r="E994" t="s">
        <v>13</v>
      </c>
      <c r="F994" s="4" t="s">
        <v>25</v>
      </c>
      <c r="G994" s="4" t="s">
        <v>34</v>
      </c>
      <c r="H994" s="4">
        <v>1</v>
      </c>
      <c r="I994" s="4">
        <v>7</v>
      </c>
      <c r="J994" s="1">
        <v>45502</v>
      </c>
      <c r="K994" s="2">
        <v>4.0620370370370369E-2</v>
      </c>
      <c r="M994" s="4" t="str">
        <f t="shared" si="45"/>
        <v>LOW</v>
      </c>
      <c r="N994" s="4" t="str" cm="1">
        <f t="array" ref="N994">_xlfn.IFS(C994&gt;35,"HIGH",C994&gt;25,"MIDDLE",TRUE,"LOW")</f>
        <v>MIDDLE</v>
      </c>
      <c r="O994" s="4" t="str">
        <f t="shared" si="46"/>
        <v>OTHERS</v>
      </c>
      <c r="P994" s="4" t="str">
        <f t="shared" si="47"/>
        <v>PREMINUM MORNING</v>
      </c>
    </row>
    <row r="995" spans="1:16" x14ac:dyDescent="0.3">
      <c r="A995" s="4">
        <v>10</v>
      </c>
      <c r="B995" t="s">
        <v>11</v>
      </c>
      <c r="C995" s="4">
        <v>32.82</v>
      </c>
      <c r="D995" t="s">
        <v>16</v>
      </c>
      <c r="E995" t="s">
        <v>13</v>
      </c>
      <c r="F995" s="4" t="s">
        <v>25</v>
      </c>
      <c r="G995" s="4" t="s">
        <v>34</v>
      </c>
      <c r="H995" s="4">
        <v>1</v>
      </c>
      <c r="I995" s="4">
        <v>7</v>
      </c>
      <c r="J995" s="1">
        <v>45502</v>
      </c>
      <c r="K995" s="2">
        <v>3.037037037037037E-2</v>
      </c>
      <c r="M995" s="4" t="str">
        <f t="shared" si="45"/>
        <v>LOW</v>
      </c>
      <c r="N995" s="4" t="str" cm="1">
        <f t="array" ref="N995">_xlfn.IFS(C995&gt;35,"HIGH",C995&gt;25,"MIDDLE",TRUE,"LOW")</f>
        <v>MIDDLE</v>
      </c>
      <c r="O995" s="4" t="str">
        <f t="shared" si="46"/>
        <v>OTHERS</v>
      </c>
      <c r="P995" s="4" t="str">
        <f t="shared" si="47"/>
        <v>PREMINUM MORNING</v>
      </c>
    </row>
    <row r="996" spans="1:16" x14ac:dyDescent="0.3">
      <c r="A996" s="4">
        <v>10</v>
      </c>
      <c r="B996" t="s">
        <v>11</v>
      </c>
      <c r="C996" s="4">
        <v>32.82</v>
      </c>
      <c r="D996" t="s">
        <v>16</v>
      </c>
      <c r="E996" t="s">
        <v>13</v>
      </c>
      <c r="F996" s="4" t="s">
        <v>25</v>
      </c>
      <c r="G996" s="4" t="s">
        <v>34</v>
      </c>
      <c r="H996" s="4">
        <v>1</v>
      </c>
      <c r="I996" s="4">
        <v>7</v>
      </c>
      <c r="J996" s="1">
        <v>45502</v>
      </c>
      <c r="K996" s="2">
        <v>3.120138888888889E-2</v>
      </c>
      <c r="M996" s="4" t="str">
        <f t="shared" si="45"/>
        <v>LOW</v>
      </c>
      <c r="N996" s="4" t="str" cm="1">
        <f t="array" ref="N996">_xlfn.IFS(C996&gt;35,"HIGH",C996&gt;25,"MIDDLE",TRUE,"LOW")</f>
        <v>MIDDLE</v>
      </c>
      <c r="O996" s="4" t="str">
        <f t="shared" si="46"/>
        <v>OTHERS</v>
      </c>
      <c r="P996" s="4" t="str">
        <f t="shared" si="47"/>
        <v>PREMINUM MORNING</v>
      </c>
    </row>
    <row r="997" spans="1:16" x14ac:dyDescent="0.3">
      <c r="A997" s="4">
        <v>19</v>
      </c>
      <c r="B997" t="s">
        <v>11</v>
      </c>
      <c r="C997" s="4">
        <v>32.82</v>
      </c>
      <c r="D997" t="s">
        <v>29</v>
      </c>
      <c r="E997" t="s">
        <v>20</v>
      </c>
      <c r="F997" s="4" t="s">
        <v>25</v>
      </c>
      <c r="G997" s="4" t="s">
        <v>34</v>
      </c>
      <c r="H997" s="4">
        <v>1</v>
      </c>
      <c r="I997" s="4">
        <v>7</v>
      </c>
      <c r="J997" s="1">
        <v>45502</v>
      </c>
      <c r="K997" s="2">
        <v>4.526620370370371E-3</v>
      </c>
      <c r="M997" s="4" t="str">
        <f t="shared" si="45"/>
        <v>LOW</v>
      </c>
      <c r="N997" s="4" t="str" cm="1">
        <f t="array" ref="N997">_xlfn.IFS(C997&gt;35,"HIGH",C997&gt;25,"MIDDLE",TRUE,"LOW")</f>
        <v>MIDDLE</v>
      </c>
      <c r="O997" s="4" t="str">
        <f t="shared" si="46"/>
        <v>OTHERS</v>
      </c>
      <c r="P997" s="4" t="str">
        <f t="shared" si="47"/>
        <v>OTHERS</v>
      </c>
    </row>
    <row r="998" spans="1:16" x14ac:dyDescent="0.3">
      <c r="A998" s="4">
        <v>19</v>
      </c>
      <c r="B998" t="s">
        <v>11</v>
      </c>
      <c r="C998" s="4">
        <v>23.02</v>
      </c>
      <c r="D998" t="s">
        <v>18</v>
      </c>
      <c r="E998" t="s">
        <v>20</v>
      </c>
      <c r="F998" s="4" t="s">
        <v>25</v>
      </c>
      <c r="G998" s="4" t="s">
        <v>34</v>
      </c>
      <c r="H998" s="4">
        <v>1</v>
      </c>
      <c r="I998" s="4">
        <v>7</v>
      </c>
      <c r="J998" s="1">
        <v>45502</v>
      </c>
      <c r="K998" s="2">
        <v>2.102199074074074E-2</v>
      </c>
      <c r="M998" s="4" t="str">
        <f t="shared" si="45"/>
        <v>LOW</v>
      </c>
      <c r="N998" s="4" t="str" cm="1">
        <f t="array" ref="N998">_xlfn.IFS(C998&gt;35,"HIGH",C998&gt;25,"MIDDLE",TRUE,"LOW")</f>
        <v>LOW</v>
      </c>
      <c r="O998" s="4" t="str">
        <f t="shared" si="46"/>
        <v>OTHERS</v>
      </c>
      <c r="P998" s="4" t="str">
        <f t="shared" si="47"/>
        <v>OTHERS</v>
      </c>
    </row>
    <row r="999" spans="1:16" x14ac:dyDescent="0.3">
      <c r="A999" s="4">
        <v>21</v>
      </c>
      <c r="B999" t="s">
        <v>11</v>
      </c>
      <c r="C999" s="4">
        <v>32.82</v>
      </c>
      <c r="D999" t="s">
        <v>21</v>
      </c>
      <c r="E999" t="s">
        <v>20</v>
      </c>
      <c r="F999" s="4" t="s">
        <v>25</v>
      </c>
      <c r="G999" s="4" t="s">
        <v>34</v>
      </c>
      <c r="H999" s="4">
        <v>1</v>
      </c>
      <c r="I999" s="4">
        <v>7</v>
      </c>
      <c r="J999" s="1">
        <v>45502</v>
      </c>
      <c r="K999" s="2">
        <v>3.9981481481481486E-2</v>
      </c>
      <c r="M999" s="4" t="str">
        <f t="shared" si="45"/>
        <v>LOW</v>
      </c>
      <c r="N999" s="4" t="str" cm="1">
        <f t="array" ref="N999">_xlfn.IFS(C999&gt;35,"HIGH",C999&gt;25,"MIDDLE",TRUE,"LOW")</f>
        <v>MIDDLE</v>
      </c>
      <c r="O999" s="4" t="str">
        <f t="shared" si="46"/>
        <v>OTHERS</v>
      </c>
      <c r="P999" s="4" t="str">
        <f t="shared" si="47"/>
        <v>OTHERS</v>
      </c>
    </row>
    <row r="1000" spans="1:16" x14ac:dyDescent="0.3">
      <c r="A1000" s="4">
        <v>7</v>
      </c>
      <c r="B1000" t="s">
        <v>11</v>
      </c>
      <c r="C1000" s="4">
        <v>27.92</v>
      </c>
      <c r="D1000" t="s">
        <v>19</v>
      </c>
      <c r="E1000" t="s">
        <v>13</v>
      </c>
      <c r="F1000" s="4" t="s">
        <v>27</v>
      </c>
      <c r="G1000" s="4" t="s">
        <v>34</v>
      </c>
      <c r="H1000" s="4">
        <v>2</v>
      </c>
      <c r="I1000" s="4">
        <v>7</v>
      </c>
      <c r="J1000" s="1">
        <v>45503</v>
      </c>
      <c r="K1000" s="2">
        <v>2.859837962962963E-2</v>
      </c>
      <c r="M1000" s="4" t="str">
        <f t="shared" si="45"/>
        <v>LOW</v>
      </c>
      <c r="N1000" s="4" t="str" cm="1">
        <f t="array" ref="N1000">_xlfn.IFS(C1000&gt;35,"HIGH",C1000&gt;25,"MIDDLE",TRUE,"LOW")</f>
        <v>MIDDLE</v>
      </c>
      <c r="O1000" s="4" t="str">
        <f t="shared" si="46"/>
        <v>OTHERS</v>
      </c>
      <c r="P1000" s="4" t="str">
        <f t="shared" si="47"/>
        <v>PREMINUM MORNING</v>
      </c>
    </row>
    <row r="1001" spans="1:16" x14ac:dyDescent="0.3">
      <c r="A1001" s="4">
        <v>8</v>
      </c>
      <c r="B1001" t="s">
        <v>11</v>
      </c>
      <c r="C1001" s="4">
        <v>23.02</v>
      </c>
      <c r="D1001" t="s">
        <v>24</v>
      </c>
      <c r="E1001" t="s">
        <v>13</v>
      </c>
      <c r="F1001" s="4" t="s">
        <v>27</v>
      </c>
      <c r="G1001" s="4" t="s">
        <v>34</v>
      </c>
      <c r="H1001" s="4">
        <v>2</v>
      </c>
      <c r="I1001" s="4">
        <v>7</v>
      </c>
      <c r="J1001" s="1">
        <v>45503</v>
      </c>
      <c r="K1001" s="2">
        <v>3.5555555555555553E-3</v>
      </c>
      <c r="M1001" s="4" t="str">
        <f t="shared" si="45"/>
        <v>LOW</v>
      </c>
      <c r="N1001" s="4" t="str" cm="1">
        <f t="array" ref="N1001">_xlfn.IFS(C1001&gt;35,"HIGH",C1001&gt;25,"MIDDLE",TRUE,"LOW")</f>
        <v>LOW</v>
      </c>
      <c r="O1001" s="4" t="str">
        <f t="shared" si="46"/>
        <v>OTHERS</v>
      </c>
      <c r="P1001" s="4" t="str">
        <f t="shared" si="47"/>
        <v>PREMINUM MORNING</v>
      </c>
    </row>
    <row r="1002" spans="1:16" x14ac:dyDescent="0.3">
      <c r="A1002" s="4">
        <v>8</v>
      </c>
      <c r="B1002" t="s">
        <v>11</v>
      </c>
      <c r="C1002" s="4">
        <v>32.82</v>
      </c>
      <c r="D1002" t="s">
        <v>29</v>
      </c>
      <c r="E1002" t="s">
        <v>13</v>
      </c>
      <c r="F1002" s="4" t="s">
        <v>27</v>
      </c>
      <c r="G1002" s="4" t="s">
        <v>34</v>
      </c>
      <c r="H1002" s="4">
        <v>2</v>
      </c>
      <c r="I1002" s="4">
        <v>7</v>
      </c>
      <c r="J1002" s="1">
        <v>45503</v>
      </c>
      <c r="K1002" s="2">
        <v>1.4480324074074073E-2</v>
      </c>
      <c r="M1002" s="4" t="str">
        <f t="shared" si="45"/>
        <v>LOW</v>
      </c>
      <c r="N1002" s="4" t="str" cm="1">
        <f t="array" ref="N1002">_xlfn.IFS(C1002&gt;35,"HIGH",C1002&gt;25,"MIDDLE",TRUE,"LOW")</f>
        <v>MIDDLE</v>
      </c>
      <c r="O1002" s="4" t="str">
        <f t="shared" si="46"/>
        <v>OTHERS</v>
      </c>
      <c r="P1002" s="4" t="str">
        <f t="shared" si="47"/>
        <v>PREMINUM MORNING</v>
      </c>
    </row>
    <row r="1003" spans="1:16" x14ac:dyDescent="0.3">
      <c r="A1003" s="4">
        <v>9</v>
      </c>
      <c r="B1003" t="s">
        <v>11</v>
      </c>
      <c r="C1003" s="4">
        <v>27.92</v>
      </c>
      <c r="D1003" t="s">
        <v>19</v>
      </c>
      <c r="E1003" t="s">
        <v>13</v>
      </c>
      <c r="F1003" s="4" t="s">
        <v>27</v>
      </c>
      <c r="G1003" s="4" t="s">
        <v>34</v>
      </c>
      <c r="H1003" s="4">
        <v>2</v>
      </c>
      <c r="I1003" s="4">
        <v>7</v>
      </c>
      <c r="J1003" s="1">
        <v>45503</v>
      </c>
      <c r="K1003" s="2">
        <v>9.5277777777777791E-3</v>
      </c>
      <c r="M1003" s="4" t="str">
        <f t="shared" si="45"/>
        <v>LOW</v>
      </c>
      <c r="N1003" s="4" t="str" cm="1">
        <f t="array" ref="N1003">_xlfn.IFS(C1003&gt;35,"HIGH",C1003&gt;25,"MIDDLE",TRUE,"LOW")</f>
        <v>MIDDLE</v>
      </c>
      <c r="O1003" s="4" t="str">
        <f t="shared" si="46"/>
        <v>OTHERS</v>
      </c>
      <c r="P1003" s="4" t="str">
        <f t="shared" si="47"/>
        <v>PREMINUM MORNING</v>
      </c>
    </row>
    <row r="1004" spans="1:16" x14ac:dyDescent="0.3">
      <c r="A1004" s="4">
        <v>10</v>
      </c>
      <c r="B1004" t="s">
        <v>11</v>
      </c>
      <c r="C1004" s="4">
        <v>23.02</v>
      </c>
      <c r="D1004" t="s">
        <v>24</v>
      </c>
      <c r="E1004" t="s">
        <v>13</v>
      </c>
      <c r="F1004" s="4" t="s">
        <v>27</v>
      </c>
      <c r="G1004" s="4" t="s">
        <v>34</v>
      </c>
      <c r="H1004" s="4">
        <v>2</v>
      </c>
      <c r="I1004" s="4">
        <v>7</v>
      </c>
      <c r="J1004" s="1">
        <v>45503</v>
      </c>
      <c r="K1004" s="2">
        <v>1.1934027777777776E-2</v>
      </c>
      <c r="M1004" s="4" t="str">
        <f t="shared" si="45"/>
        <v>LOW</v>
      </c>
      <c r="N1004" s="4" t="str" cm="1">
        <f t="array" ref="N1004">_xlfn.IFS(C1004&gt;35,"HIGH",C1004&gt;25,"MIDDLE",TRUE,"LOW")</f>
        <v>LOW</v>
      </c>
      <c r="O1004" s="4" t="str">
        <f t="shared" si="46"/>
        <v>OTHERS</v>
      </c>
      <c r="P1004" s="4" t="str">
        <f t="shared" si="47"/>
        <v>PREMINUM MORNING</v>
      </c>
    </row>
    <row r="1005" spans="1:16" x14ac:dyDescent="0.3">
      <c r="A1005" s="4">
        <v>10</v>
      </c>
      <c r="B1005" t="s">
        <v>11</v>
      </c>
      <c r="C1005" s="4">
        <v>27.92</v>
      </c>
      <c r="D1005" t="s">
        <v>19</v>
      </c>
      <c r="E1005" t="s">
        <v>13</v>
      </c>
      <c r="F1005" s="4" t="s">
        <v>27</v>
      </c>
      <c r="G1005" s="4" t="s">
        <v>34</v>
      </c>
      <c r="H1005" s="4">
        <v>2</v>
      </c>
      <c r="I1005" s="4">
        <v>7</v>
      </c>
      <c r="J1005" s="1">
        <v>45503</v>
      </c>
      <c r="K1005" s="2">
        <v>1.3590277777777778E-2</v>
      </c>
      <c r="M1005" s="4" t="str">
        <f t="shared" si="45"/>
        <v>LOW</v>
      </c>
      <c r="N1005" s="4" t="str" cm="1">
        <f t="array" ref="N1005">_xlfn.IFS(C1005&gt;35,"HIGH",C1005&gt;25,"MIDDLE",TRUE,"LOW")</f>
        <v>MIDDLE</v>
      </c>
      <c r="O1005" s="4" t="str">
        <f t="shared" si="46"/>
        <v>OTHERS</v>
      </c>
      <c r="P1005" s="4" t="str">
        <f t="shared" si="47"/>
        <v>PREMINUM MORNING</v>
      </c>
    </row>
    <row r="1006" spans="1:16" x14ac:dyDescent="0.3">
      <c r="A1006" s="4">
        <v>10</v>
      </c>
      <c r="B1006" t="s">
        <v>11</v>
      </c>
      <c r="C1006" s="4">
        <v>32.82</v>
      </c>
      <c r="D1006" t="s">
        <v>12</v>
      </c>
      <c r="E1006" t="s">
        <v>13</v>
      </c>
      <c r="F1006" s="4" t="s">
        <v>27</v>
      </c>
      <c r="G1006" s="4" t="s">
        <v>34</v>
      </c>
      <c r="H1006" s="4">
        <v>2</v>
      </c>
      <c r="I1006" s="4">
        <v>7</v>
      </c>
      <c r="J1006" s="1">
        <v>45503</v>
      </c>
      <c r="K1006" s="2">
        <v>1.6204861111111111E-2</v>
      </c>
      <c r="M1006" s="4" t="str">
        <f t="shared" si="45"/>
        <v>LOW</v>
      </c>
      <c r="N1006" s="4" t="str" cm="1">
        <f t="array" ref="N1006">_xlfn.IFS(C1006&gt;35,"HIGH",C1006&gt;25,"MIDDLE",TRUE,"LOW")</f>
        <v>MIDDLE</v>
      </c>
      <c r="O1006" s="4" t="str">
        <f t="shared" si="46"/>
        <v>OTHERS</v>
      </c>
      <c r="P1006" s="4" t="str">
        <f t="shared" si="47"/>
        <v>PREMINUM MORNING</v>
      </c>
    </row>
    <row r="1007" spans="1:16" x14ac:dyDescent="0.3">
      <c r="A1007" s="4">
        <v>11</v>
      </c>
      <c r="B1007" t="s">
        <v>11</v>
      </c>
      <c r="C1007" s="4">
        <v>23.02</v>
      </c>
      <c r="D1007" t="s">
        <v>18</v>
      </c>
      <c r="E1007" t="s">
        <v>13</v>
      </c>
      <c r="F1007" s="4" t="s">
        <v>27</v>
      </c>
      <c r="G1007" s="4" t="s">
        <v>34</v>
      </c>
      <c r="H1007" s="4">
        <v>2</v>
      </c>
      <c r="I1007" s="4">
        <v>7</v>
      </c>
      <c r="J1007" s="1">
        <v>45503</v>
      </c>
      <c r="K1007" s="2">
        <v>8.4189814814814804E-3</v>
      </c>
      <c r="M1007" s="4" t="str">
        <f t="shared" si="45"/>
        <v>LOW</v>
      </c>
      <c r="N1007" s="4" t="str" cm="1">
        <f t="array" ref="N1007">_xlfn.IFS(C1007&gt;35,"HIGH",C1007&gt;25,"MIDDLE",TRUE,"LOW")</f>
        <v>LOW</v>
      </c>
      <c r="O1007" s="4" t="str">
        <f t="shared" si="46"/>
        <v>OTHERS</v>
      </c>
      <c r="P1007" s="4" t="str">
        <f t="shared" si="47"/>
        <v>PREMINUM MORNING</v>
      </c>
    </row>
    <row r="1008" spans="1:16" x14ac:dyDescent="0.3">
      <c r="A1008" s="4">
        <v>11</v>
      </c>
      <c r="B1008" t="s">
        <v>11</v>
      </c>
      <c r="C1008" s="4">
        <v>18.12</v>
      </c>
      <c r="D1008" t="s">
        <v>26</v>
      </c>
      <c r="E1008" t="s">
        <v>13</v>
      </c>
      <c r="F1008" s="4" t="s">
        <v>27</v>
      </c>
      <c r="G1008" s="4" t="s">
        <v>34</v>
      </c>
      <c r="H1008" s="4">
        <v>2</v>
      </c>
      <c r="I1008" s="4">
        <v>7</v>
      </c>
      <c r="J1008" s="1">
        <v>45503</v>
      </c>
      <c r="K1008" s="2">
        <v>9.2152777777777788E-3</v>
      </c>
      <c r="M1008" s="4" t="str">
        <f t="shared" si="45"/>
        <v>LOW</v>
      </c>
      <c r="N1008" s="4" t="str" cm="1">
        <f t="array" ref="N1008">_xlfn.IFS(C1008&gt;35,"HIGH",C1008&gt;25,"MIDDLE",TRUE,"LOW")</f>
        <v>LOW</v>
      </c>
      <c r="O1008" s="4" t="str">
        <f t="shared" si="46"/>
        <v>OTHERS</v>
      </c>
      <c r="P1008" s="4" t="str">
        <f t="shared" si="47"/>
        <v>PREMINUM MORNING</v>
      </c>
    </row>
    <row r="1009" spans="1:16" x14ac:dyDescent="0.3">
      <c r="A1009" s="4">
        <v>11</v>
      </c>
      <c r="B1009" t="s">
        <v>11</v>
      </c>
      <c r="C1009" s="4">
        <v>27.92</v>
      </c>
      <c r="D1009" t="s">
        <v>19</v>
      </c>
      <c r="E1009" t="s">
        <v>13</v>
      </c>
      <c r="F1009" s="4" t="s">
        <v>27</v>
      </c>
      <c r="G1009" s="4" t="s">
        <v>34</v>
      </c>
      <c r="H1009" s="4">
        <v>2</v>
      </c>
      <c r="I1009" s="4">
        <v>7</v>
      </c>
      <c r="J1009" s="1">
        <v>45503</v>
      </c>
      <c r="K1009" s="2">
        <v>1.0204861111111112E-2</v>
      </c>
      <c r="M1009" s="4" t="str">
        <f t="shared" si="45"/>
        <v>LOW</v>
      </c>
      <c r="N1009" s="4" t="str" cm="1">
        <f t="array" ref="N1009">_xlfn.IFS(C1009&gt;35,"HIGH",C1009&gt;25,"MIDDLE",TRUE,"LOW")</f>
        <v>MIDDLE</v>
      </c>
      <c r="O1009" s="4" t="str">
        <f t="shared" si="46"/>
        <v>OTHERS</v>
      </c>
      <c r="P1009" s="4" t="str">
        <f t="shared" si="47"/>
        <v>PREMINUM MORNING</v>
      </c>
    </row>
    <row r="1010" spans="1:16" x14ac:dyDescent="0.3">
      <c r="A1010" s="4">
        <v>11</v>
      </c>
      <c r="B1010" t="s">
        <v>11</v>
      </c>
      <c r="C1010" s="4">
        <v>27.92</v>
      </c>
      <c r="D1010" t="s">
        <v>19</v>
      </c>
      <c r="E1010" t="s">
        <v>13</v>
      </c>
      <c r="F1010" s="4" t="s">
        <v>27</v>
      </c>
      <c r="G1010" s="4" t="s">
        <v>34</v>
      </c>
      <c r="H1010" s="4">
        <v>2</v>
      </c>
      <c r="I1010" s="4">
        <v>7</v>
      </c>
      <c r="J1010" s="1">
        <v>45503</v>
      </c>
      <c r="K1010" s="2">
        <v>1.112962962962963E-2</v>
      </c>
      <c r="M1010" s="4" t="str">
        <f t="shared" si="45"/>
        <v>LOW</v>
      </c>
      <c r="N1010" s="4" t="str" cm="1">
        <f t="array" ref="N1010">_xlfn.IFS(C1010&gt;35,"HIGH",C1010&gt;25,"MIDDLE",TRUE,"LOW")</f>
        <v>MIDDLE</v>
      </c>
      <c r="O1010" s="4" t="str">
        <f t="shared" si="46"/>
        <v>OTHERS</v>
      </c>
      <c r="P1010" s="4" t="str">
        <f t="shared" si="47"/>
        <v>PREMINUM MORNING</v>
      </c>
    </row>
    <row r="1011" spans="1:16" x14ac:dyDescent="0.3">
      <c r="A1011" s="4">
        <v>11</v>
      </c>
      <c r="B1011" t="s">
        <v>11</v>
      </c>
      <c r="C1011" s="4">
        <v>27.92</v>
      </c>
      <c r="D1011" t="s">
        <v>19</v>
      </c>
      <c r="E1011" t="s">
        <v>13</v>
      </c>
      <c r="F1011" s="4" t="s">
        <v>27</v>
      </c>
      <c r="G1011" s="4" t="s">
        <v>34</v>
      </c>
      <c r="H1011" s="4">
        <v>2</v>
      </c>
      <c r="I1011" s="4">
        <v>7</v>
      </c>
      <c r="J1011" s="1">
        <v>45503</v>
      </c>
      <c r="K1011" s="2">
        <v>2.1234953703703704E-2</v>
      </c>
      <c r="M1011" s="4" t="str">
        <f t="shared" si="45"/>
        <v>LOW</v>
      </c>
      <c r="N1011" s="4" t="str" cm="1">
        <f t="array" ref="N1011">_xlfn.IFS(C1011&gt;35,"HIGH",C1011&gt;25,"MIDDLE",TRUE,"LOW")</f>
        <v>MIDDLE</v>
      </c>
      <c r="O1011" s="4" t="str">
        <f t="shared" si="46"/>
        <v>OTHERS</v>
      </c>
      <c r="P1011" s="4" t="str">
        <f t="shared" si="47"/>
        <v>PREMINUM MORNING</v>
      </c>
    </row>
    <row r="1012" spans="1:16" x14ac:dyDescent="0.3">
      <c r="A1012" s="4">
        <v>11</v>
      </c>
      <c r="B1012" t="s">
        <v>11</v>
      </c>
      <c r="C1012" s="4">
        <v>27.92</v>
      </c>
      <c r="D1012" t="s">
        <v>19</v>
      </c>
      <c r="E1012" t="s">
        <v>13</v>
      </c>
      <c r="F1012" s="4" t="s">
        <v>27</v>
      </c>
      <c r="G1012" s="4" t="s">
        <v>34</v>
      </c>
      <c r="H1012" s="4">
        <v>2</v>
      </c>
      <c r="I1012" s="4">
        <v>7</v>
      </c>
      <c r="J1012" s="1">
        <v>45503</v>
      </c>
      <c r="K1012" s="2">
        <v>2.1999999999999999E-2</v>
      </c>
      <c r="M1012" s="4" t="str">
        <f t="shared" si="45"/>
        <v>LOW</v>
      </c>
      <c r="N1012" s="4" t="str" cm="1">
        <f t="array" ref="N1012">_xlfn.IFS(C1012&gt;35,"HIGH",C1012&gt;25,"MIDDLE",TRUE,"LOW")</f>
        <v>MIDDLE</v>
      </c>
      <c r="O1012" s="4" t="str">
        <f t="shared" si="46"/>
        <v>OTHERS</v>
      </c>
      <c r="P1012" s="4" t="str">
        <f t="shared" si="47"/>
        <v>PREMINUM MORNING</v>
      </c>
    </row>
    <row r="1013" spans="1:16" x14ac:dyDescent="0.3">
      <c r="A1013" s="4">
        <v>12</v>
      </c>
      <c r="B1013" t="s">
        <v>11</v>
      </c>
      <c r="C1013" s="4">
        <v>32.82</v>
      </c>
      <c r="D1013" t="s">
        <v>12</v>
      </c>
      <c r="E1013" t="s">
        <v>17</v>
      </c>
      <c r="F1013" s="4" t="s">
        <v>27</v>
      </c>
      <c r="G1013" s="4" t="s">
        <v>34</v>
      </c>
      <c r="H1013" s="4">
        <v>2</v>
      </c>
      <c r="I1013" s="4">
        <v>7</v>
      </c>
      <c r="J1013" s="1">
        <v>45503</v>
      </c>
      <c r="K1013" s="2">
        <v>5.642361111111111E-3</v>
      </c>
      <c r="M1013" s="4" t="str">
        <f t="shared" si="45"/>
        <v>LOW</v>
      </c>
      <c r="N1013" s="4" t="str" cm="1">
        <f t="array" ref="N1013">_xlfn.IFS(C1013&gt;35,"HIGH",C1013&gt;25,"MIDDLE",TRUE,"LOW")</f>
        <v>MIDDLE</v>
      </c>
      <c r="O1013" s="4" t="str">
        <f t="shared" si="46"/>
        <v>OTHERS</v>
      </c>
      <c r="P1013" s="4" t="str">
        <f t="shared" si="47"/>
        <v>OTHERS</v>
      </c>
    </row>
    <row r="1014" spans="1:16" x14ac:dyDescent="0.3">
      <c r="A1014" s="4">
        <v>15</v>
      </c>
      <c r="B1014" t="s">
        <v>11</v>
      </c>
      <c r="C1014" s="4">
        <v>27.92</v>
      </c>
      <c r="D1014" t="s">
        <v>19</v>
      </c>
      <c r="E1014" t="s">
        <v>17</v>
      </c>
      <c r="F1014" s="4" t="s">
        <v>27</v>
      </c>
      <c r="G1014" s="4" t="s">
        <v>34</v>
      </c>
      <c r="H1014" s="4">
        <v>2</v>
      </c>
      <c r="I1014" s="4">
        <v>7</v>
      </c>
      <c r="J1014" s="1">
        <v>45503</v>
      </c>
      <c r="K1014" s="2">
        <v>1.1222222222222222E-2</v>
      </c>
      <c r="M1014" s="4" t="str">
        <f t="shared" si="45"/>
        <v>LOW</v>
      </c>
      <c r="N1014" s="4" t="str" cm="1">
        <f t="array" ref="N1014">_xlfn.IFS(C1014&gt;35,"HIGH",C1014&gt;25,"MIDDLE",TRUE,"LOW")</f>
        <v>MIDDLE</v>
      </c>
      <c r="O1014" s="4" t="str">
        <f t="shared" si="46"/>
        <v>OTHERS</v>
      </c>
      <c r="P1014" s="4" t="str">
        <f t="shared" si="47"/>
        <v>OTHERS</v>
      </c>
    </row>
    <row r="1015" spans="1:16" x14ac:dyDescent="0.3">
      <c r="A1015" s="4">
        <v>16</v>
      </c>
      <c r="B1015" t="s">
        <v>11</v>
      </c>
      <c r="C1015" s="4">
        <v>23.02</v>
      </c>
      <c r="D1015" t="s">
        <v>24</v>
      </c>
      <c r="E1015" t="s">
        <v>17</v>
      </c>
      <c r="F1015" s="4" t="s">
        <v>27</v>
      </c>
      <c r="G1015" s="4" t="s">
        <v>34</v>
      </c>
      <c r="H1015" s="4">
        <v>2</v>
      </c>
      <c r="I1015" s="4">
        <v>7</v>
      </c>
      <c r="J1015" s="1">
        <v>45503</v>
      </c>
      <c r="K1015" s="2">
        <v>6.1678240740740738E-3</v>
      </c>
      <c r="M1015" s="4" t="str">
        <f t="shared" si="45"/>
        <v>LOW</v>
      </c>
      <c r="N1015" s="4" t="str" cm="1">
        <f t="array" ref="N1015">_xlfn.IFS(C1015&gt;35,"HIGH",C1015&gt;25,"MIDDLE",TRUE,"LOW")</f>
        <v>LOW</v>
      </c>
      <c r="O1015" s="4" t="str">
        <f t="shared" si="46"/>
        <v>OTHERS</v>
      </c>
      <c r="P1015" s="4" t="str">
        <f t="shared" si="47"/>
        <v>OTHERS</v>
      </c>
    </row>
    <row r="1016" spans="1:16" x14ac:dyDescent="0.3">
      <c r="A1016" s="4">
        <v>16</v>
      </c>
      <c r="B1016" t="s">
        <v>11</v>
      </c>
      <c r="C1016" s="4">
        <v>27.92</v>
      </c>
      <c r="D1016" t="s">
        <v>19</v>
      </c>
      <c r="E1016" t="s">
        <v>17</v>
      </c>
      <c r="F1016" s="4" t="s">
        <v>27</v>
      </c>
      <c r="G1016" s="4" t="s">
        <v>34</v>
      </c>
      <c r="H1016" s="4">
        <v>2</v>
      </c>
      <c r="I1016" s="4">
        <v>7</v>
      </c>
      <c r="J1016" s="1">
        <v>45503</v>
      </c>
      <c r="K1016" s="2">
        <v>6.7546296296296295E-3</v>
      </c>
      <c r="M1016" s="4" t="str">
        <f t="shared" si="45"/>
        <v>LOW</v>
      </c>
      <c r="N1016" s="4" t="str" cm="1">
        <f t="array" ref="N1016">_xlfn.IFS(C1016&gt;35,"HIGH",C1016&gt;25,"MIDDLE",TRUE,"LOW")</f>
        <v>MIDDLE</v>
      </c>
      <c r="O1016" s="4" t="str">
        <f t="shared" si="46"/>
        <v>OTHERS</v>
      </c>
      <c r="P1016" s="4" t="str">
        <f t="shared" si="47"/>
        <v>OTHERS</v>
      </c>
    </row>
    <row r="1017" spans="1:16" x14ac:dyDescent="0.3">
      <c r="A1017" s="4">
        <v>20</v>
      </c>
      <c r="B1017" t="s">
        <v>11</v>
      </c>
      <c r="C1017" s="4">
        <v>18.12</v>
      </c>
      <c r="D1017" t="s">
        <v>26</v>
      </c>
      <c r="E1017" t="s">
        <v>20</v>
      </c>
      <c r="F1017" s="4" t="s">
        <v>27</v>
      </c>
      <c r="G1017" s="4" t="s">
        <v>34</v>
      </c>
      <c r="H1017" s="4">
        <v>2</v>
      </c>
      <c r="I1017" s="4">
        <v>7</v>
      </c>
      <c r="J1017" s="1">
        <v>45503</v>
      </c>
      <c r="K1017" s="2">
        <v>1.689699074074074E-2</v>
      </c>
      <c r="M1017" s="4" t="str">
        <f t="shared" si="45"/>
        <v>LOW</v>
      </c>
      <c r="N1017" s="4" t="str" cm="1">
        <f t="array" ref="N1017">_xlfn.IFS(C1017&gt;35,"HIGH",C1017&gt;25,"MIDDLE",TRUE,"LOW")</f>
        <v>LOW</v>
      </c>
      <c r="O1017" s="4" t="str">
        <f t="shared" si="46"/>
        <v>OTHERS</v>
      </c>
      <c r="P1017" s="4" t="str">
        <f t="shared" si="47"/>
        <v>OTHERS</v>
      </c>
    </row>
    <row r="1018" spans="1:16" x14ac:dyDescent="0.3">
      <c r="A1018" s="4">
        <v>20</v>
      </c>
      <c r="B1018" t="s">
        <v>11</v>
      </c>
      <c r="C1018" s="4">
        <v>27.92</v>
      </c>
      <c r="D1018" t="s">
        <v>19</v>
      </c>
      <c r="E1018" t="s">
        <v>20</v>
      </c>
      <c r="F1018" s="4" t="s">
        <v>27</v>
      </c>
      <c r="G1018" s="4" t="s">
        <v>34</v>
      </c>
      <c r="H1018" s="4">
        <v>2</v>
      </c>
      <c r="I1018" s="4">
        <v>7</v>
      </c>
      <c r="J1018" s="1">
        <v>45503</v>
      </c>
      <c r="K1018" s="2">
        <v>3.7406250000000002E-2</v>
      </c>
      <c r="M1018" s="4" t="str">
        <f t="shared" si="45"/>
        <v>LOW</v>
      </c>
      <c r="N1018" s="4" t="str" cm="1">
        <f t="array" ref="N1018">_xlfn.IFS(C1018&gt;35,"HIGH",C1018&gt;25,"MIDDLE",TRUE,"LOW")</f>
        <v>MIDDLE</v>
      </c>
      <c r="O1018" s="4" t="str">
        <f t="shared" si="46"/>
        <v>OTHERS</v>
      </c>
      <c r="P1018" s="4" t="str">
        <f t="shared" si="47"/>
        <v>OTHERS</v>
      </c>
    </row>
    <row r="1019" spans="1:16" x14ac:dyDescent="0.3">
      <c r="A1019" s="4">
        <v>20</v>
      </c>
      <c r="B1019" t="s">
        <v>11</v>
      </c>
      <c r="C1019" s="4">
        <v>27.92</v>
      </c>
      <c r="D1019" t="s">
        <v>19</v>
      </c>
      <c r="E1019" t="s">
        <v>20</v>
      </c>
      <c r="F1019" s="4" t="s">
        <v>27</v>
      </c>
      <c r="G1019" s="4" t="s">
        <v>34</v>
      </c>
      <c r="H1019" s="4">
        <v>2</v>
      </c>
      <c r="I1019" s="4">
        <v>7</v>
      </c>
      <c r="J1019" s="1">
        <v>45503</v>
      </c>
      <c r="K1019" s="2">
        <v>3.8035879629629635E-2</v>
      </c>
      <c r="M1019" s="4" t="str">
        <f t="shared" si="45"/>
        <v>LOW</v>
      </c>
      <c r="N1019" s="4" t="str" cm="1">
        <f t="array" ref="N1019">_xlfn.IFS(C1019&gt;35,"HIGH",C1019&gt;25,"MIDDLE",TRUE,"LOW")</f>
        <v>MIDDLE</v>
      </c>
      <c r="O1019" s="4" t="str">
        <f t="shared" si="46"/>
        <v>OTHERS</v>
      </c>
      <c r="P1019" s="4" t="str">
        <f t="shared" si="47"/>
        <v>OTHERS</v>
      </c>
    </row>
    <row r="1020" spans="1:16" x14ac:dyDescent="0.3">
      <c r="A1020" s="4">
        <v>20</v>
      </c>
      <c r="B1020" t="s">
        <v>11</v>
      </c>
      <c r="C1020" s="4">
        <v>27.92</v>
      </c>
      <c r="D1020" t="s">
        <v>19</v>
      </c>
      <c r="E1020" t="s">
        <v>20</v>
      </c>
      <c r="F1020" s="4" t="s">
        <v>27</v>
      </c>
      <c r="G1020" s="4" t="s">
        <v>34</v>
      </c>
      <c r="H1020" s="4">
        <v>2</v>
      </c>
      <c r="I1020" s="4">
        <v>7</v>
      </c>
      <c r="J1020" s="1">
        <v>45503</v>
      </c>
      <c r="K1020" s="2">
        <v>3.9609953703703703E-2</v>
      </c>
      <c r="M1020" s="4" t="str">
        <f t="shared" si="45"/>
        <v>LOW</v>
      </c>
      <c r="N1020" s="4" t="str" cm="1">
        <f t="array" ref="N1020">_xlfn.IFS(C1020&gt;35,"HIGH",C1020&gt;25,"MIDDLE",TRUE,"LOW")</f>
        <v>MIDDLE</v>
      </c>
      <c r="O1020" s="4" t="str">
        <f t="shared" si="46"/>
        <v>OTHERS</v>
      </c>
      <c r="P1020" s="4" t="str">
        <f t="shared" si="47"/>
        <v>OTHERS</v>
      </c>
    </row>
    <row r="1021" spans="1:16" x14ac:dyDescent="0.3">
      <c r="A1021" s="4">
        <v>21</v>
      </c>
      <c r="B1021" t="s">
        <v>11</v>
      </c>
      <c r="C1021" s="4">
        <v>32.82</v>
      </c>
      <c r="D1021" t="s">
        <v>12</v>
      </c>
      <c r="E1021" t="s">
        <v>20</v>
      </c>
      <c r="F1021" s="4" t="s">
        <v>27</v>
      </c>
      <c r="G1021" s="4" t="s">
        <v>34</v>
      </c>
      <c r="H1021" s="4">
        <v>2</v>
      </c>
      <c r="I1021" s="4">
        <v>7</v>
      </c>
      <c r="J1021" s="1">
        <v>45503</v>
      </c>
      <c r="K1021" s="2">
        <v>2.3138888888888889E-2</v>
      </c>
      <c r="M1021" s="4" t="str">
        <f t="shared" si="45"/>
        <v>LOW</v>
      </c>
      <c r="N1021" s="4" t="str" cm="1">
        <f t="array" ref="N1021">_xlfn.IFS(C1021&gt;35,"HIGH",C1021&gt;25,"MIDDLE",TRUE,"LOW")</f>
        <v>MIDDLE</v>
      </c>
      <c r="O1021" s="4" t="str">
        <f t="shared" si="46"/>
        <v>OTHERS</v>
      </c>
      <c r="P1021" s="4" t="str">
        <f t="shared" si="47"/>
        <v>OTHERS</v>
      </c>
    </row>
    <row r="1022" spans="1:16" x14ac:dyDescent="0.3">
      <c r="A1022" s="4">
        <v>22</v>
      </c>
      <c r="B1022" t="s">
        <v>11</v>
      </c>
      <c r="C1022" s="4">
        <v>23.02</v>
      </c>
      <c r="D1022" t="s">
        <v>18</v>
      </c>
      <c r="E1022" t="s">
        <v>20</v>
      </c>
      <c r="F1022" s="4" t="s">
        <v>27</v>
      </c>
      <c r="G1022" s="4" t="s">
        <v>34</v>
      </c>
      <c r="H1022" s="4">
        <v>2</v>
      </c>
      <c r="I1022" s="4">
        <v>7</v>
      </c>
      <c r="J1022" s="1">
        <v>45503</v>
      </c>
      <c r="K1022" s="2">
        <v>1.066550925925926E-2</v>
      </c>
      <c r="M1022" s="4" t="str">
        <f t="shared" si="45"/>
        <v>LOW</v>
      </c>
      <c r="N1022" s="4" t="str" cm="1">
        <f t="array" ref="N1022">_xlfn.IFS(C1022&gt;35,"HIGH",C1022&gt;25,"MIDDLE",TRUE,"LOW")</f>
        <v>LOW</v>
      </c>
      <c r="O1022" s="4" t="str">
        <f t="shared" si="46"/>
        <v>OTHERS</v>
      </c>
      <c r="P1022" s="4" t="str">
        <f t="shared" si="47"/>
        <v>OTHERS</v>
      </c>
    </row>
    <row r="1023" spans="1:16" x14ac:dyDescent="0.3">
      <c r="A1023" s="4">
        <v>22</v>
      </c>
      <c r="B1023" t="s">
        <v>11</v>
      </c>
      <c r="C1023" s="4">
        <v>32.82</v>
      </c>
      <c r="D1023" t="s">
        <v>29</v>
      </c>
      <c r="E1023" t="s">
        <v>20</v>
      </c>
      <c r="F1023" s="4" t="s">
        <v>27</v>
      </c>
      <c r="G1023" s="4" t="s">
        <v>34</v>
      </c>
      <c r="H1023" s="4">
        <v>2</v>
      </c>
      <c r="I1023" s="4">
        <v>7</v>
      </c>
      <c r="J1023" s="1">
        <v>45503</v>
      </c>
      <c r="K1023" s="2">
        <v>1.133449074074074E-2</v>
      </c>
      <c r="M1023" s="4" t="str">
        <f t="shared" si="45"/>
        <v>LOW</v>
      </c>
      <c r="N1023" s="4" t="str" cm="1">
        <f t="array" ref="N1023">_xlfn.IFS(C1023&gt;35,"HIGH",C1023&gt;25,"MIDDLE",TRUE,"LOW")</f>
        <v>MIDDLE</v>
      </c>
      <c r="O1023" s="4" t="str">
        <f t="shared" si="46"/>
        <v>OTHERS</v>
      </c>
      <c r="P1023" s="4" t="str">
        <f t="shared" si="47"/>
        <v>OTHERS</v>
      </c>
    </row>
    <row r="1024" spans="1:16" x14ac:dyDescent="0.3">
      <c r="A1024" s="4">
        <v>7</v>
      </c>
      <c r="B1024" t="s">
        <v>11</v>
      </c>
      <c r="C1024" s="4">
        <v>27.92</v>
      </c>
      <c r="D1024" t="s">
        <v>19</v>
      </c>
      <c r="E1024" t="s">
        <v>13</v>
      </c>
      <c r="F1024" s="4" t="s">
        <v>28</v>
      </c>
      <c r="G1024" s="4" t="s">
        <v>34</v>
      </c>
      <c r="H1024" s="4">
        <v>3</v>
      </c>
      <c r="I1024" s="4">
        <v>7</v>
      </c>
      <c r="J1024" s="1">
        <v>45504</v>
      </c>
      <c r="K1024" s="2">
        <v>4.1575231481481484E-2</v>
      </c>
      <c r="M1024" s="4" t="str">
        <f t="shared" si="45"/>
        <v>LOW</v>
      </c>
      <c r="N1024" s="4" t="str" cm="1">
        <f t="array" ref="N1024">_xlfn.IFS(C1024&gt;35,"HIGH",C1024&gt;25,"MIDDLE",TRUE,"LOW")</f>
        <v>MIDDLE</v>
      </c>
      <c r="O1024" s="4" t="str">
        <f t="shared" si="46"/>
        <v>OTHERS</v>
      </c>
      <c r="P1024" s="4" t="str">
        <f t="shared" si="47"/>
        <v>PREMINUM MORNING</v>
      </c>
    </row>
    <row r="1025" spans="1:16" x14ac:dyDescent="0.3">
      <c r="A1025" s="4">
        <v>8</v>
      </c>
      <c r="B1025" t="s">
        <v>11</v>
      </c>
      <c r="C1025" s="4">
        <v>27.92</v>
      </c>
      <c r="D1025" t="s">
        <v>19</v>
      </c>
      <c r="E1025" t="s">
        <v>13</v>
      </c>
      <c r="F1025" s="4" t="s">
        <v>28</v>
      </c>
      <c r="G1025" s="4" t="s">
        <v>34</v>
      </c>
      <c r="H1025" s="4">
        <v>3</v>
      </c>
      <c r="I1025" s="4">
        <v>7</v>
      </c>
      <c r="J1025" s="1">
        <v>45504</v>
      </c>
      <c r="K1025" s="2">
        <v>2.617939814814815E-2</v>
      </c>
      <c r="M1025" s="4" t="str">
        <f t="shared" si="45"/>
        <v>LOW</v>
      </c>
      <c r="N1025" s="4" t="str" cm="1">
        <f t="array" ref="N1025">_xlfn.IFS(C1025&gt;35,"HIGH",C1025&gt;25,"MIDDLE",TRUE,"LOW")</f>
        <v>MIDDLE</v>
      </c>
      <c r="O1025" s="4" t="str">
        <f t="shared" si="46"/>
        <v>OTHERS</v>
      </c>
      <c r="P1025" s="4" t="str">
        <f t="shared" si="47"/>
        <v>PREMINUM MORNING</v>
      </c>
    </row>
    <row r="1026" spans="1:16" x14ac:dyDescent="0.3">
      <c r="A1026" s="4">
        <v>8</v>
      </c>
      <c r="B1026" t="s">
        <v>11</v>
      </c>
      <c r="C1026" s="4">
        <v>27.92</v>
      </c>
      <c r="D1026" t="s">
        <v>19</v>
      </c>
      <c r="E1026" t="s">
        <v>13</v>
      </c>
      <c r="F1026" s="4" t="s">
        <v>28</v>
      </c>
      <c r="G1026" s="4" t="s">
        <v>34</v>
      </c>
      <c r="H1026" s="4">
        <v>3</v>
      </c>
      <c r="I1026" s="4">
        <v>7</v>
      </c>
      <c r="J1026" s="1">
        <v>45504</v>
      </c>
      <c r="K1026" s="2">
        <v>2.6831018518518518E-2</v>
      </c>
      <c r="M1026" s="4" t="str">
        <f t="shared" si="45"/>
        <v>LOW</v>
      </c>
      <c r="N1026" s="4" t="str" cm="1">
        <f t="array" ref="N1026">_xlfn.IFS(C1026&gt;35,"HIGH",C1026&gt;25,"MIDDLE",TRUE,"LOW")</f>
        <v>MIDDLE</v>
      </c>
      <c r="O1026" s="4" t="str">
        <f t="shared" si="46"/>
        <v>OTHERS</v>
      </c>
      <c r="P1026" s="4" t="str">
        <f t="shared" si="47"/>
        <v>PREMINUM MORNING</v>
      </c>
    </row>
    <row r="1027" spans="1:16" x14ac:dyDescent="0.3">
      <c r="A1027" s="4">
        <v>9</v>
      </c>
      <c r="B1027" t="s">
        <v>11</v>
      </c>
      <c r="C1027" s="4">
        <v>23.02</v>
      </c>
      <c r="D1027" t="s">
        <v>18</v>
      </c>
      <c r="E1027" t="s">
        <v>13</v>
      </c>
      <c r="F1027" s="4" t="s">
        <v>28</v>
      </c>
      <c r="G1027" s="4" t="s">
        <v>34</v>
      </c>
      <c r="H1027" s="4">
        <v>3</v>
      </c>
      <c r="I1027" s="4">
        <v>7</v>
      </c>
      <c r="J1027" s="1">
        <v>45504</v>
      </c>
      <c r="K1027" s="2">
        <v>3.8024305555555554E-2</v>
      </c>
      <c r="M1027" s="4" t="str">
        <f t="shared" ref="M1027:M1090" si="48">IF(C1027&gt;35,"HIGH","LOW")</f>
        <v>LOW</v>
      </c>
      <c r="N1027" s="4" t="str" cm="1">
        <f t="array" ref="N1027">_xlfn.IFS(C1027&gt;35,"HIGH",C1027&gt;25,"MIDDLE",TRUE,"LOW")</f>
        <v>LOW</v>
      </c>
      <c r="O1027" s="4" t="str">
        <f t="shared" ref="O1027:O1090" si="49">IF(AND(C1027&gt;35,E1027="MORNING"),"PREMINUM MORNING","OTHERS")</f>
        <v>OTHERS</v>
      </c>
      <c r="P1027" s="4" t="str">
        <f t="shared" ref="P1027:P1090" si="50">IF(OR(C1027&gt;35,E1027="MORNING"),"PREMINUM MORNING","OTHERS")</f>
        <v>PREMINUM MORNING</v>
      </c>
    </row>
    <row r="1028" spans="1:16" x14ac:dyDescent="0.3">
      <c r="A1028" s="4">
        <v>9</v>
      </c>
      <c r="B1028" t="s">
        <v>11</v>
      </c>
      <c r="C1028" s="4">
        <v>23.02</v>
      </c>
      <c r="D1028" t="s">
        <v>18</v>
      </c>
      <c r="E1028" t="s">
        <v>13</v>
      </c>
      <c r="F1028" s="4" t="s">
        <v>28</v>
      </c>
      <c r="G1028" s="4" t="s">
        <v>34</v>
      </c>
      <c r="H1028" s="4">
        <v>3</v>
      </c>
      <c r="I1028" s="4">
        <v>7</v>
      </c>
      <c r="J1028" s="1">
        <v>45504</v>
      </c>
      <c r="K1028" s="2">
        <v>3.8716435185185187E-2</v>
      </c>
      <c r="M1028" s="4" t="str">
        <f t="shared" si="48"/>
        <v>LOW</v>
      </c>
      <c r="N1028" s="4" t="str" cm="1">
        <f t="array" ref="N1028">_xlfn.IFS(C1028&gt;35,"HIGH",C1028&gt;25,"MIDDLE",TRUE,"LOW")</f>
        <v>LOW</v>
      </c>
      <c r="O1028" s="4" t="str">
        <f t="shared" si="49"/>
        <v>OTHERS</v>
      </c>
      <c r="P1028" s="4" t="str">
        <f t="shared" si="50"/>
        <v>PREMINUM MORNING</v>
      </c>
    </row>
    <row r="1029" spans="1:16" x14ac:dyDescent="0.3">
      <c r="A1029" s="4">
        <v>9</v>
      </c>
      <c r="B1029" t="s">
        <v>11</v>
      </c>
      <c r="C1029" s="4">
        <v>27.92</v>
      </c>
      <c r="D1029" t="s">
        <v>19</v>
      </c>
      <c r="E1029" t="s">
        <v>13</v>
      </c>
      <c r="F1029" s="4" t="s">
        <v>28</v>
      </c>
      <c r="G1029" s="4" t="s">
        <v>34</v>
      </c>
      <c r="H1029" s="4">
        <v>3</v>
      </c>
      <c r="I1029" s="4">
        <v>7</v>
      </c>
      <c r="J1029" s="1">
        <v>45504</v>
      </c>
      <c r="K1029" s="2">
        <v>4.0461805555555556E-2</v>
      </c>
      <c r="M1029" s="4" t="str">
        <f t="shared" si="48"/>
        <v>LOW</v>
      </c>
      <c r="N1029" s="4" t="str" cm="1">
        <f t="array" ref="N1029">_xlfn.IFS(C1029&gt;35,"HIGH",C1029&gt;25,"MIDDLE",TRUE,"LOW")</f>
        <v>MIDDLE</v>
      </c>
      <c r="O1029" s="4" t="str">
        <f t="shared" si="49"/>
        <v>OTHERS</v>
      </c>
      <c r="P1029" s="4" t="str">
        <f t="shared" si="50"/>
        <v>PREMINUM MORNING</v>
      </c>
    </row>
    <row r="1030" spans="1:16" x14ac:dyDescent="0.3">
      <c r="A1030" s="4">
        <v>13</v>
      </c>
      <c r="B1030" t="s">
        <v>11</v>
      </c>
      <c r="C1030" s="4">
        <v>32.82</v>
      </c>
      <c r="D1030" t="s">
        <v>21</v>
      </c>
      <c r="E1030" t="s">
        <v>17</v>
      </c>
      <c r="F1030" s="4" t="s">
        <v>28</v>
      </c>
      <c r="G1030" s="4" t="s">
        <v>34</v>
      </c>
      <c r="H1030" s="4">
        <v>3</v>
      </c>
      <c r="I1030" s="4">
        <v>7</v>
      </c>
      <c r="J1030" s="1">
        <v>45504</v>
      </c>
      <c r="K1030" s="2">
        <v>8.1319444444444451E-3</v>
      </c>
      <c r="M1030" s="4" t="str">
        <f t="shared" si="48"/>
        <v>LOW</v>
      </c>
      <c r="N1030" s="4" t="str" cm="1">
        <f t="array" ref="N1030">_xlfn.IFS(C1030&gt;35,"HIGH",C1030&gt;25,"MIDDLE",TRUE,"LOW")</f>
        <v>MIDDLE</v>
      </c>
      <c r="O1030" s="4" t="str">
        <f t="shared" si="49"/>
        <v>OTHERS</v>
      </c>
      <c r="P1030" s="4" t="str">
        <f t="shared" si="50"/>
        <v>OTHERS</v>
      </c>
    </row>
    <row r="1031" spans="1:16" x14ac:dyDescent="0.3">
      <c r="A1031" s="4">
        <v>13</v>
      </c>
      <c r="B1031" t="s">
        <v>11</v>
      </c>
      <c r="C1031" s="4">
        <v>32.82</v>
      </c>
      <c r="D1031" t="s">
        <v>12</v>
      </c>
      <c r="E1031" t="s">
        <v>17</v>
      </c>
      <c r="F1031" s="4" t="s">
        <v>28</v>
      </c>
      <c r="G1031" s="4" t="s">
        <v>34</v>
      </c>
      <c r="H1031" s="4">
        <v>3</v>
      </c>
      <c r="I1031" s="4">
        <v>7</v>
      </c>
      <c r="J1031" s="1">
        <v>45504</v>
      </c>
      <c r="K1031" s="2">
        <v>9.7256944444444431E-3</v>
      </c>
      <c r="M1031" s="4" t="str">
        <f t="shared" si="48"/>
        <v>LOW</v>
      </c>
      <c r="N1031" s="4" t="str" cm="1">
        <f t="array" ref="N1031">_xlfn.IFS(C1031&gt;35,"HIGH",C1031&gt;25,"MIDDLE",TRUE,"LOW")</f>
        <v>MIDDLE</v>
      </c>
      <c r="O1031" s="4" t="str">
        <f t="shared" si="49"/>
        <v>OTHERS</v>
      </c>
      <c r="P1031" s="4" t="str">
        <f t="shared" si="50"/>
        <v>OTHERS</v>
      </c>
    </row>
    <row r="1032" spans="1:16" x14ac:dyDescent="0.3">
      <c r="A1032" s="4">
        <v>13</v>
      </c>
      <c r="B1032" t="s">
        <v>11</v>
      </c>
      <c r="C1032" s="4">
        <v>27.92</v>
      </c>
      <c r="D1032" t="s">
        <v>19</v>
      </c>
      <c r="E1032" t="s">
        <v>17</v>
      </c>
      <c r="F1032" s="4" t="s">
        <v>28</v>
      </c>
      <c r="G1032" s="4" t="s">
        <v>34</v>
      </c>
      <c r="H1032" s="4">
        <v>3</v>
      </c>
      <c r="I1032" s="4">
        <v>7</v>
      </c>
      <c r="J1032" s="1">
        <v>45504</v>
      </c>
      <c r="K1032" s="2">
        <v>1.7238425925925928E-2</v>
      </c>
      <c r="M1032" s="4" t="str">
        <f t="shared" si="48"/>
        <v>LOW</v>
      </c>
      <c r="N1032" s="4" t="str" cm="1">
        <f t="array" ref="N1032">_xlfn.IFS(C1032&gt;35,"HIGH",C1032&gt;25,"MIDDLE",TRUE,"LOW")</f>
        <v>MIDDLE</v>
      </c>
      <c r="O1032" s="4" t="str">
        <f t="shared" si="49"/>
        <v>OTHERS</v>
      </c>
      <c r="P1032" s="4" t="str">
        <f t="shared" si="50"/>
        <v>OTHERS</v>
      </c>
    </row>
    <row r="1033" spans="1:16" x14ac:dyDescent="0.3">
      <c r="A1033" s="4">
        <v>17</v>
      </c>
      <c r="B1033" t="s">
        <v>11</v>
      </c>
      <c r="C1033" s="4">
        <v>23.02</v>
      </c>
      <c r="D1033" t="s">
        <v>24</v>
      </c>
      <c r="E1033" t="s">
        <v>20</v>
      </c>
      <c r="F1033" s="4" t="s">
        <v>28</v>
      </c>
      <c r="G1033" s="4" t="s">
        <v>34</v>
      </c>
      <c r="H1033" s="4">
        <v>3</v>
      </c>
      <c r="I1033" s="4">
        <v>7</v>
      </c>
      <c r="J1033" s="1">
        <v>45504</v>
      </c>
      <c r="K1033" s="2">
        <v>3.3412037037037039E-2</v>
      </c>
      <c r="M1033" s="4" t="str">
        <f t="shared" si="48"/>
        <v>LOW</v>
      </c>
      <c r="N1033" s="4" t="str" cm="1">
        <f t="array" ref="N1033">_xlfn.IFS(C1033&gt;35,"HIGH",C1033&gt;25,"MIDDLE",TRUE,"LOW")</f>
        <v>LOW</v>
      </c>
      <c r="O1033" s="4" t="str">
        <f t="shared" si="49"/>
        <v>OTHERS</v>
      </c>
      <c r="P1033" s="4" t="str">
        <f t="shared" si="50"/>
        <v>OTHERS</v>
      </c>
    </row>
    <row r="1034" spans="1:16" x14ac:dyDescent="0.3">
      <c r="A1034" s="4">
        <v>18</v>
      </c>
      <c r="B1034" t="s">
        <v>11</v>
      </c>
      <c r="C1034" s="4">
        <v>32.82</v>
      </c>
      <c r="D1034" t="s">
        <v>12</v>
      </c>
      <c r="E1034" t="s">
        <v>20</v>
      </c>
      <c r="F1034" s="4" t="s">
        <v>28</v>
      </c>
      <c r="G1034" s="4" t="s">
        <v>34</v>
      </c>
      <c r="H1034" s="4">
        <v>3</v>
      </c>
      <c r="I1034" s="4">
        <v>7</v>
      </c>
      <c r="J1034" s="1">
        <v>45504</v>
      </c>
      <c r="K1034" s="2">
        <v>2.9513888888888888E-3</v>
      </c>
      <c r="M1034" s="4" t="str">
        <f t="shared" si="48"/>
        <v>LOW</v>
      </c>
      <c r="N1034" s="4" t="str" cm="1">
        <f t="array" ref="N1034">_xlfn.IFS(C1034&gt;35,"HIGH",C1034&gt;25,"MIDDLE",TRUE,"LOW")</f>
        <v>MIDDLE</v>
      </c>
      <c r="O1034" s="4" t="str">
        <f t="shared" si="49"/>
        <v>OTHERS</v>
      </c>
      <c r="P1034" s="4" t="str">
        <f t="shared" si="50"/>
        <v>OTHERS</v>
      </c>
    </row>
    <row r="1035" spans="1:16" x14ac:dyDescent="0.3">
      <c r="A1035" s="4">
        <v>19</v>
      </c>
      <c r="B1035" t="s">
        <v>11</v>
      </c>
      <c r="C1035" s="4">
        <v>23.02</v>
      </c>
      <c r="D1035" t="s">
        <v>24</v>
      </c>
      <c r="E1035" t="s">
        <v>20</v>
      </c>
      <c r="F1035" s="4" t="s">
        <v>28</v>
      </c>
      <c r="G1035" s="4" t="s">
        <v>34</v>
      </c>
      <c r="H1035" s="4">
        <v>3</v>
      </c>
      <c r="I1035" s="4">
        <v>7</v>
      </c>
      <c r="J1035" s="1">
        <v>45504</v>
      </c>
      <c r="K1035" s="2">
        <v>1.5728009259259261E-2</v>
      </c>
      <c r="M1035" s="4" t="str">
        <f t="shared" si="48"/>
        <v>LOW</v>
      </c>
      <c r="N1035" s="4" t="str" cm="1">
        <f t="array" ref="N1035">_xlfn.IFS(C1035&gt;35,"HIGH",C1035&gt;25,"MIDDLE",TRUE,"LOW")</f>
        <v>LOW</v>
      </c>
      <c r="O1035" s="4" t="str">
        <f t="shared" si="49"/>
        <v>OTHERS</v>
      </c>
      <c r="P1035" s="4" t="str">
        <f t="shared" si="50"/>
        <v>OTHERS</v>
      </c>
    </row>
    <row r="1036" spans="1:16" x14ac:dyDescent="0.3">
      <c r="A1036" s="4">
        <v>19</v>
      </c>
      <c r="B1036" t="s">
        <v>11</v>
      </c>
      <c r="C1036" s="4">
        <v>32.82</v>
      </c>
      <c r="D1036" t="s">
        <v>12</v>
      </c>
      <c r="E1036" t="s">
        <v>20</v>
      </c>
      <c r="F1036" s="4" t="s">
        <v>28</v>
      </c>
      <c r="G1036" s="4" t="s">
        <v>34</v>
      </c>
      <c r="H1036" s="4">
        <v>3</v>
      </c>
      <c r="I1036" s="4">
        <v>7</v>
      </c>
      <c r="J1036" s="1">
        <v>45504</v>
      </c>
      <c r="K1036" s="2">
        <v>1.9966435185185184E-2</v>
      </c>
      <c r="M1036" s="4" t="str">
        <f t="shared" si="48"/>
        <v>LOW</v>
      </c>
      <c r="N1036" s="4" t="str" cm="1">
        <f t="array" ref="N1036">_xlfn.IFS(C1036&gt;35,"HIGH",C1036&gt;25,"MIDDLE",TRUE,"LOW")</f>
        <v>MIDDLE</v>
      </c>
      <c r="O1036" s="4" t="str">
        <f t="shared" si="49"/>
        <v>OTHERS</v>
      </c>
      <c r="P1036" s="4" t="str">
        <f t="shared" si="50"/>
        <v>OTHERS</v>
      </c>
    </row>
    <row r="1037" spans="1:16" x14ac:dyDescent="0.3">
      <c r="A1037" s="4">
        <v>20</v>
      </c>
      <c r="B1037" t="s">
        <v>11</v>
      </c>
      <c r="C1037" s="4">
        <v>32.82</v>
      </c>
      <c r="D1037" t="s">
        <v>21</v>
      </c>
      <c r="E1037" t="s">
        <v>20</v>
      </c>
      <c r="F1037" s="4" t="s">
        <v>28</v>
      </c>
      <c r="G1037" s="4" t="s">
        <v>34</v>
      </c>
      <c r="H1037" s="4">
        <v>3</v>
      </c>
      <c r="I1037" s="4">
        <v>7</v>
      </c>
      <c r="J1037" s="1">
        <v>45504</v>
      </c>
      <c r="K1037" s="2">
        <v>3.2435185185185185E-2</v>
      </c>
      <c r="M1037" s="4" t="str">
        <f t="shared" si="48"/>
        <v>LOW</v>
      </c>
      <c r="N1037" s="4" t="str" cm="1">
        <f t="array" ref="N1037">_xlfn.IFS(C1037&gt;35,"HIGH",C1037&gt;25,"MIDDLE",TRUE,"LOW")</f>
        <v>MIDDLE</v>
      </c>
      <c r="O1037" s="4" t="str">
        <f t="shared" si="49"/>
        <v>OTHERS</v>
      </c>
      <c r="P1037" s="4" t="str">
        <f t="shared" si="50"/>
        <v>OTHERS</v>
      </c>
    </row>
    <row r="1038" spans="1:16" x14ac:dyDescent="0.3">
      <c r="A1038" s="4">
        <v>20</v>
      </c>
      <c r="B1038" t="s">
        <v>11</v>
      </c>
      <c r="C1038" s="4">
        <v>23.02</v>
      </c>
      <c r="D1038" t="s">
        <v>24</v>
      </c>
      <c r="E1038" t="s">
        <v>20</v>
      </c>
      <c r="F1038" s="4" t="s">
        <v>28</v>
      </c>
      <c r="G1038" s="4" t="s">
        <v>34</v>
      </c>
      <c r="H1038" s="4">
        <v>3</v>
      </c>
      <c r="I1038" s="4">
        <v>7</v>
      </c>
      <c r="J1038" s="1">
        <v>45504</v>
      </c>
      <c r="K1038" s="2">
        <v>3.4807870370370371E-2</v>
      </c>
      <c r="M1038" s="4" t="str">
        <f t="shared" si="48"/>
        <v>LOW</v>
      </c>
      <c r="N1038" s="4" t="str" cm="1">
        <f t="array" ref="N1038">_xlfn.IFS(C1038&gt;35,"HIGH",C1038&gt;25,"MIDDLE",TRUE,"LOW")</f>
        <v>LOW</v>
      </c>
      <c r="O1038" s="4" t="str">
        <f t="shared" si="49"/>
        <v>OTHERS</v>
      </c>
      <c r="P1038" s="4" t="str">
        <f t="shared" si="50"/>
        <v>OTHERS</v>
      </c>
    </row>
    <row r="1039" spans="1:16" x14ac:dyDescent="0.3">
      <c r="A1039" s="4">
        <v>20</v>
      </c>
      <c r="B1039" t="s">
        <v>11</v>
      </c>
      <c r="C1039" s="4">
        <v>32.82</v>
      </c>
      <c r="D1039" t="s">
        <v>12</v>
      </c>
      <c r="E1039" t="s">
        <v>20</v>
      </c>
      <c r="F1039" s="4" t="s">
        <v>28</v>
      </c>
      <c r="G1039" s="4" t="s">
        <v>34</v>
      </c>
      <c r="H1039" s="4">
        <v>3</v>
      </c>
      <c r="I1039" s="4">
        <v>7</v>
      </c>
      <c r="J1039" s="1">
        <v>45504</v>
      </c>
      <c r="K1039" s="2">
        <v>3.5537037037037041E-2</v>
      </c>
      <c r="M1039" s="4" t="str">
        <f t="shared" si="48"/>
        <v>LOW</v>
      </c>
      <c r="N1039" s="4" t="str" cm="1">
        <f t="array" ref="N1039">_xlfn.IFS(C1039&gt;35,"HIGH",C1039&gt;25,"MIDDLE",TRUE,"LOW")</f>
        <v>MIDDLE</v>
      </c>
      <c r="O1039" s="4" t="str">
        <f t="shared" si="49"/>
        <v>OTHERS</v>
      </c>
      <c r="P1039" s="4" t="str">
        <f t="shared" si="50"/>
        <v>OTHERS</v>
      </c>
    </row>
    <row r="1040" spans="1:16" x14ac:dyDescent="0.3">
      <c r="A1040" s="4">
        <v>20</v>
      </c>
      <c r="B1040" t="s">
        <v>11</v>
      </c>
      <c r="C1040" s="4">
        <v>32.82</v>
      </c>
      <c r="D1040" t="s">
        <v>29</v>
      </c>
      <c r="E1040" t="s">
        <v>20</v>
      </c>
      <c r="F1040" s="4" t="s">
        <v>28</v>
      </c>
      <c r="G1040" s="4" t="s">
        <v>34</v>
      </c>
      <c r="H1040" s="4">
        <v>3</v>
      </c>
      <c r="I1040" s="4">
        <v>7</v>
      </c>
      <c r="J1040" s="1">
        <v>45504</v>
      </c>
      <c r="K1040" s="2">
        <v>3.6282407407407409E-2</v>
      </c>
      <c r="M1040" s="4" t="str">
        <f t="shared" si="48"/>
        <v>LOW</v>
      </c>
      <c r="N1040" s="4" t="str" cm="1">
        <f t="array" ref="N1040">_xlfn.IFS(C1040&gt;35,"HIGH",C1040&gt;25,"MIDDLE",TRUE,"LOW")</f>
        <v>MIDDLE</v>
      </c>
      <c r="O1040" s="4" t="str">
        <f t="shared" si="49"/>
        <v>OTHERS</v>
      </c>
      <c r="P1040" s="4" t="str">
        <f t="shared" si="50"/>
        <v>OTHERS</v>
      </c>
    </row>
    <row r="1041" spans="1:16" x14ac:dyDescent="0.3">
      <c r="A1041" s="4">
        <v>20</v>
      </c>
      <c r="B1041" t="s">
        <v>11</v>
      </c>
      <c r="C1041" s="4">
        <v>23.02</v>
      </c>
      <c r="D1041" t="s">
        <v>24</v>
      </c>
      <c r="E1041" t="s">
        <v>20</v>
      </c>
      <c r="F1041" s="4" t="s">
        <v>28</v>
      </c>
      <c r="G1041" s="4" t="s">
        <v>34</v>
      </c>
      <c r="H1041" s="4">
        <v>3</v>
      </c>
      <c r="I1041" s="4">
        <v>7</v>
      </c>
      <c r="J1041" s="1">
        <v>45504</v>
      </c>
      <c r="K1041" s="2">
        <v>3.7211805555555554E-2</v>
      </c>
      <c r="M1041" s="4" t="str">
        <f t="shared" si="48"/>
        <v>LOW</v>
      </c>
      <c r="N1041" s="4" t="str" cm="1">
        <f t="array" ref="N1041">_xlfn.IFS(C1041&gt;35,"HIGH",C1041&gt;25,"MIDDLE",TRUE,"LOW")</f>
        <v>LOW</v>
      </c>
      <c r="O1041" s="4" t="str">
        <f t="shared" si="49"/>
        <v>OTHERS</v>
      </c>
      <c r="P1041" s="4" t="str">
        <f t="shared" si="50"/>
        <v>OTHERS</v>
      </c>
    </row>
    <row r="1042" spans="1:16" x14ac:dyDescent="0.3">
      <c r="A1042" s="4">
        <v>20</v>
      </c>
      <c r="B1042" t="s">
        <v>11</v>
      </c>
      <c r="C1042" s="4">
        <v>27.92</v>
      </c>
      <c r="D1042" t="s">
        <v>19</v>
      </c>
      <c r="E1042" t="s">
        <v>20</v>
      </c>
      <c r="F1042" s="4" t="s">
        <v>28</v>
      </c>
      <c r="G1042" s="4" t="s">
        <v>34</v>
      </c>
      <c r="H1042" s="4">
        <v>3</v>
      </c>
      <c r="I1042" s="4">
        <v>7</v>
      </c>
      <c r="J1042" s="1">
        <v>45504</v>
      </c>
      <c r="K1042" s="2">
        <v>4.1261574074074076E-2</v>
      </c>
      <c r="M1042" s="4" t="str">
        <f t="shared" si="48"/>
        <v>LOW</v>
      </c>
      <c r="N1042" s="4" t="str" cm="1">
        <f t="array" ref="N1042">_xlfn.IFS(C1042&gt;35,"HIGH",C1042&gt;25,"MIDDLE",TRUE,"LOW")</f>
        <v>MIDDLE</v>
      </c>
      <c r="O1042" s="4" t="str">
        <f t="shared" si="49"/>
        <v>OTHERS</v>
      </c>
      <c r="P1042" s="4" t="str">
        <f t="shared" si="50"/>
        <v>OTHERS</v>
      </c>
    </row>
    <row r="1043" spans="1:16" x14ac:dyDescent="0.3">
      <c r="A1043" s="4">
        <v>21</v>
      </c>
      <c r="B1043" t="s">
        <v>11</v>
      </c>
      <c r="C1043" s="4">
        <v>32.82</v>
      </c>
      <c r="D1043" t="s">
        <v>12</v>
      </c>
      <c r="E1043" t="s">
        <v>20</v>
      </c>
      <c r="F1043" s="4" t="s">
        <v>28</v>
      </c>
      <c r="G1043" s="4" t="s">
        <v>34</v>
      </c>
      <c r="H1043" s="4">
        <v>3</v>
      </c>
      <c r="I1043" s="4">
        <v>7</v>
      </c>
      <c r="J1043" s="1">
        <v>45504</v>
      </c>
      <c r="K1043" s="3">
        <v>0.8933564814814815</v>
      </c>
      <c r="M1043" s="4" t="str">
        <f t="shared" si="48"/>
        <v>LOW</v>
      </c>
      <c r="N1043" s="4" t="str" cm="1">
        <f t="array" ref="N1043">_xlfn.IFS(C1043&gt;35,"HIGH",C1043&gt;25,"MIDDLE",TRUE,"LOW")</f>
        <v>MIDDLE</v>
      </c>
      <c r="O1043" s="4" t="str">
        <f t="shared" si="49"/>
        <v>OTHERS</v>
      </c>
      <c r="P1043" s="4" t="str">
        <f t="shared" si="50"/>
        <v>OTHERS</v>
      </c>
    </row>
    <row r="1044" spans="1:16" x14ac:dyDescent="0.3">
      <c r="A1044" s="4">
        <v>21</v>
      </c>
      <c r="B1044" t="s">
        <v>11</v>
      </c>
      <c r="C1044" s="4">
        <v>32.82</v>
      </c>
      <c r="D1044" t="s">
        <v>12</v>
      </c>
      <c r="E1044" t="s">
        <v>20</v>
      </c>
      <c r="F1044" s="4" t="s">
        <v>28</v>
      </c>
      <c r="G1044" s="4" t="s">
        <v>34</v>
      </c>
      <c r="H1044" s="4">
        <v>3</v>
      </c>
      <c r="I1044" s="4">
        <v>7</v>
      </c>
      <c r="J1044" s="1">
        <v>45504</v>
      </c>
      <c r="K1044" s="2">
        <v>3.7636574074074079E-2</v>
      </c>
      <c r="M1044" s="4" t="str">
        <f t="shared" si="48"/>
        <v>LOW</v>
      </c>
      <c r="N1044" s="4" t="str" cm="1">
        <f t="array" ref="N1044">_xlfn.IFS(C1044&gt;35,"HIGH",C1044&gt;25,"MIDDLE",TRUE,"LOW")</f>
        <v>MIDDLE</v>
      </c>
      <c r="O1044" s="4" t="str">
        <f t="shared" si="49"/>
        <v>OTHERS</v>
      </c>
      <c r="P1044" s="4" t="str">
        <f t="shared" si="50"/>
        <v>OTHERS</v>
      </c>
    </row>
    <row r="1045" spans="1:16" x14ac:dyDescent="0.3">
      <c r="A1045" s="4">
        <v>21</v>
      </c>
      <c r="B1045" t="s">
        <v>11</v>
      </c>
      <c r="C1045" s="4">
        <v>32.82</v>
      </c>
      <c r="D1045" t="s">
        <v>12</v>
      </c>
      <c r="E1045" t="s">
        <v>20</v>
      </c>
      <c r="F1045" s="4" t="s">
        <v>28</v>
      </c>
      <c r="G1045" s="4" t="s">
        <v>34</v>
      </c>
      <c r="H1045" s="4">
        <v>3</v>
      </c>
      <c r="I1045" s="4">
        <v>7</v>
      </c>
      <c r="J1045" s="1">
        <v>45504</v>
      </c>
      <c r="K1045" s="2">
        <v>3.8386574074074073E-2</v>
      </c>
      <c r="M1045" s="4" t="str">
        <f t="shared" si="48"/>
        <v>LOW</v>
      </c>
      <c r="N1045" s="4" t="str" cm="1">
        <f t="array" ref="N1045">_xlfn.IFS(C1045&gt;35,"HIGH",C1045&gt;25,"MIDDLE",TRUE,"LOW")</f>
        <v>MIDDLE</v>
      </c>
      <c r="O1045" s="4" t="str">
        <f t="shared" si="49"/>
        <v>OTHERS</v>
      </c>
      <c r="P1045" s="4" t="str">
        <f t="shared" si="50"/>
        <v>OTHERS</v>
      </c>
    </row>
    <row r="1046" spans="1:16" x14ac:dyDescent="0.3">
      <c r="A1046" s="4">
        <v>7</v>
      </c>
      <c r="B1046" t="s">
        <v>11</v>
      </c>
      <c r="C1046" s="4">
        <v>27.92</v>
      </c>
      <c r="D1046" t="s">
        <v>19</v>
      </c>
      <c r="E1046" t="s">
        <v>13</v>
      </c>
      <c r="F1046" s="4" t="s">
        <v>30</v>
      </c>
      <c r="G1046" s="4" t="s">
        <v>35</v>
      </c>
      <c r="H1046" s="4">
        <v>4</v>
      </c>
      <c r="I1046" s="4">
        <v>8</v>
      </c>
      <c r="J1046" s="1">
        <v>45505</v>
      </c>
      <c r="K1046" s="2">
        <v>2.1528935185185186E-2</v>
      </c>
      <c r="M1046" s="4" t="str">
        <f t="shared" si="48"/>
        <v>LOW</v>
      </c>
      <c r="N1046" s="4" t="str" cm="1">
        <f t="array" ref="N1046">_xlfn.IFS(C1046&gt;35,"HIGH",C1046&gt;25,"MIDDLE",TRUE,"LOW")</f>
        <v>MIDDLE</v>
      </c>
      <c r="O1046" s="4" t="str">
        <f t="shared" si="49"/>
        <v>OTHERS</v>
      </c>
      <c r="P1046" s="4" t="str">
        <f t="shared" si="50"/>
        <v>PREMINUM MORNING</v>
      </c>
    </row>
    <row r="1047" spans="1:16" x14ac:dyDescent="0.3">
      <c r="A1047" s="4">
        <v>9</v>
      </c>
      <c r="B1047" t="s">
        <v>11</v>
      </c>
      <c r="C1047" s="4">
        <v>27.92</v>
      </c>
      <c r="D1047" t="s">
        <v>19</v>
      </c>
      <c r="E1047" t="s">
        <v>13</v>
      </c>
      <c r="F1047" s="4" t="s">
        <v>30</v>
      </c>
      <c r="G1047" s="4" t="s">
        <v>35</v>
      </c>
      <c r="H1047" s="4">
        <v>4</v>
      </c>
      <c r="I1047" s="4">
        <v>8</v>
      </c>
      <c r="J1047" s="1">
        <v>45505</v>
      </c>
      <c r="K1047" s="2">
        <v>1.7593749999999998E-2</v>
      </c>
      <c r="M1047" s="4" t="str">
        <f t="shared" si="48"/>
        <v>LOW</v>
      </c>
      <c r="N1047" s="4" t="str" cm="1">
        <f t="array" ref="N1047">_xlfn.IFS(C1047&gt;35,"HIGH",C1047&gt;25,"MIDDLE",TRUE,"LOW")</f>
        <v>MIDDLE</v>
      </c>
      <c r="O1047" s="4" t="str">
        <f t="shared" si="49"/>
        <v>OTHERS</v>
      </c>
      <c r="P1047" s="4" t="str">
        <f t="shared" si="50"/>
        <v>PREMINUM MORNING</v>
      </c>
    </row>
    <row r="1048" spans="1:16" x14ac:dyDescent="0.3">
      <c r="A1048" s="4">
        <v>11</v>
      </c>
      <c r="B1048" t="s">
        <v>11</v>
      </c>
      <c r="C1048" s="4">
        <v>27.92</v>
      </c>
      <c r="D1048" t="s">
        <v>19</v>
      </c>
      <c r="E1048" t="s">
        <v>13</v>
      </c>
      <c r="F1048" s="4" t="s">
        <v>30</v>
      </c>
      <c r="G1048" s="4" t="s">
        <v>35</v>
      </c>
      <c r="H1048" s="4">
        <v>4</v>
      </c>
      <c r="I1048" s="4">
        <v>8</v>
      </c>
      <c r="J1048" s="1">
        <v>45505</v>
      </c>
      <c r="K1048" s="2">
        <v>2.940972222222222E-3</v>
      </c>
      <c r="M1048" s="4" t="str">
        <f t="shared" si="48"/>
        <v>LOW</v>
      </c>
      <c r="N1048" s="4" t="str" cm="1">
        <f t="array" ref="N1048">_xlfn.IFS(C1048&gt;35,"HIGH",C1048&gt;25,"MIDDLE",TRUE,"LOW")</f>
        <v>MIDDLE</v>
      </c>
      <c r="O1048" s="4" t="str">
        <f t="shared" si="49"/>
        <v>OTHERS</v>
      </c>
      <c r="P1048" s="4" t="str">
        <f t="shared" si="50"/>
        <v>PREMINUM MORNING</v>
      </c>
    </row>
    <row r="1049" spans="1:16" x14ac:dyDescent="0.3">
      <c r="A1049" s="4">
        <v>11</v>
      </c>
      <c r="B1049" t="s">
        <v>11</v>
      </c>
      <c r="C1049" s="4">
        <v>27.92</v>
      </c>
      <c r="D1049" t="s">
        <v>19</v>
      </c>
      <c r="E1049" t="s">
        <v>13</v>
      </c>
      <c r="F1049" s="4" t="s">
        <v>30</v>
      </c>
      <c r="G1049" s="4" t="s">
        <v>35</v>
      </c>
      <c r="H1049" s="4">
        <v>4</v>
      </c>
      <c r="I1049" s="4">
        <v>8</v>
      </c>
      <c r="J1049" s="1">
        <v>45505</v>
      </c>
      <c r="K1049" s="2">
        <v>1.5814814814814816E-2</v>
      </c>
      <c r="M1049" s="4" t="str">
        <f t="shared" si="48"/>
        <v>LOW</v>
      </c>
      <c r="N1049" s="4" t="str" cm="1">
        <f t="array" ref="N1049">_xlfn.IFS(C1049&gt;35,"HIGH",C1049&gt;25,"MIDDLE",TRUE,"LOW")</f>
        <v>MIDDLE</v>
      </c>
      <c r="O1049" s="4" t="str">
        <f t="shared" si="49"/>
        <v>OTHERS</v>
      </c>
      <c r="P1049" s="4" t="str">
        <f t="shared" si="50"/>
        <v>PREMINUM MORNING</v>
      </c>
    </row>
    <row r="1050" spans="1:16" x14ac:dyDescent="0.3">
      <c r="A1050" s="4">
        <v>13</v>
      </c>
      <c r="B1050" t="s">
        <v>11</v>
      </c>
      <c r="C1050" s="4">
        <v>23.02</v>
      </c>
      <c r="D1050" t="s">
        <v>24</v>
      </c>
      <c r="E1050" t="s">
        <v>17</v>
      </c>
      <c r="F1050" s="4" t="s">
        <v>30</v>
      </c>
      <c r="G1050" s="4" t="s">
        <v>35</v>
      </c>
      <c r="H1050" s="4">
        <v>4</v>
      </c>
      <c r="I1050" s="4">
        <v>8</v>
      </c>
      <c r="J1050" s="1">
        <v>45505</v>
      </c>
      <c r="K1050" s="2">
        <v>1.5817129629629629E-2</v>
      </c>
      <c r="M1050" s="4" t="str">
        <f t="shared" si="48"/>
        <v>LOW</v>
      </c>
      <c r="N1050" s="4" t="str" cm="1">
        <f t="array" ref="N1050">_xlfn.IFS(C1050&gt;35,"HIGH",C1050&gt;25,"MIDDLE",TRUE,"LOW")</f>
        <v>LOW</v>
      </c>
      <c r="O1050" s="4" t="str">
        <f t="shared" si="49"/>
        <v>OTHERS</v>
      </c>
      <c r="P1050" s="4" t="str">
        <f t="shared" si="50"/>
        <v>OTHERS</v>
      </c>
    </row>
    <row r="1051" spans="1:16" x14ac:dyDescent="0.3">
      <c r="A1051" s="4">
        <v>13</v>
      </c>
      <c r="B1051" t="s">
        <v>11</v>
      </c>
      <c r="C1051" s="4">
        <v>32.82</v>
      </c>
      <c r="D1051" t="s">
        <v>29</v>
      </c>
      <c r="E1051" t="s">
        <v>17</v>
      </c>
      <c r="F1051" s="4" t="s">
        <v>30</v>
      </c>
      <c r="G1051" s="4" t="s">
        <v>35</v>
      </c>
      <c r="H1051" s="4">
        <v>4</v>
      </c>
      <c r="I1051" s="4">
        <v>8</v>
      </c>
      <c r="J1051" s="1">
        <v>45505</v>
      </c>
      <c r="K1051" s="2">
        <v>1.6403935185185185E-2</v>
      </c>
      <c r="M1051" s="4" t="str">
        <f t="shared" si="48"/>
        <v>LOW</v>
      </c>
      <c r="N1051" s="4" t="str" cm="1">
        <f t="array" ref="N1051">_xlfn.IFS(C1051&gt;35,"HIGH",C1051&gt;25,"MIDDLE",TRUE,"LOW")</f>
        <v>MIDDLE</v>
      </c>
      <c r="O1051" s="4" t="str">
        <f t="shared" si="49"/>
        <v>OTHERS</v>
      </c>
      <c r="P1051" s="4" t="str">
        <f t="shared" si="50"/>
        <v>OTHERS</v>
      </c>
    </row>
    <row r="1052" spans="1:16" x14ac:dyDescent="0.3">
      <c r="A1052" s="4">
        <v>13</v>
      </c>
      <c r="B1052" t="s">
        <v>11</v>
      </c>
      <c r="C1052" s="4">
        <v>32.82</v>
      </c>
      <c r="D1052" t="s">
        <v>29</v>
      </c>
      <c r="E1052" t="s">
        <v>17</v>
      </c>
      <c r="F1052" s="4" t="s">
        <v>30</v>
      </c>
      <c r="G1052" s="4" t="s">
        <v>35</v>
      </c>
      <c r="H1052" s="4">
        <v>4</v>
      </c>
      <c r="I1052" s="4">
        <v>8</v>
      </c>
      <c r="J1052" s="1">
        <v>45505</v>
      </c>
      <c r="K1052" s="2">
        <v>3.4112268518518521E-2</v>
      </c>
      <c r="M1052" s="4" t="str">
        <f t="shared" si="48"/>
        <v>LOW</v>
      </c>
      <c r="N1052" s="4" t="str" cm="1">
        <f t="array" ref="N1052">_xlfn.IFS(C1052&gt;35,"HIGH",C1052&gt;25,"MIDDLE",TRUE,"LOW")</f>
        <v>MIDDLE</v>
      </c>
      <c r="O1052" s="4" t="str">
        <f t="shared" si="49"/>
        <v>OTHERS</v>
      </c>
      <c r="P1052" s="4" t="str">
        <f t="shared" si="50"/>
        <v>OTHERS</v>
      </c>
    </row>
    <row r="1053" spans="1:16" x14ac:dyDescent="0.3">
      <c r="A1053" s="4">
        <v>15</v>
      </c>
      <c r="B1053" t="s">
        <v>11</v>
      </c>
      <c r="C1053" s="4">
        <v>27.92</v>
      </c>
      <c r="D1053" t="s">
        <v>19</v>
      </c>
      <c r="E1053" t="s">
        <v>17</v>
      </c>
      <c r="F1053" s="4" t="s">
        <v>30</v>
      </c>
      <c r="G1053" s="4" t="s">
        <v>35</v>
      </c>
      <c r="H1053" s="4">
        <v>4</v>
      </c>
      <c r="I1053" s="4">
        <v>8</v>
      </c>
      <c r="J1053" s="1">
        <v>45505</v>
      </c>
      <c r="K1053" s="2">
        <v>3.0368055555555558E-2</v>
      </c>
      <c r="M1053" s="4" t="str">
        <f t="shared" si="48"/>
        <v>LOW</v>
      </c>
      <c r="N1053" s="4" t="str" cm="1">
        <f t="array" ref="N1053">_xlfn.IFS(C1053&gt;35,"HIGH",C1053&gt;25,"MIDDLE",TRUE,"LOW")</f>
        <v>MIDDLE</v>
      </c>
      <c r="O1053" s="4" t="str">
        <f t="shared" si="49"/>
        <v>OTHERS</v>
      </c>
      <c r="P1053" s="4" t="str">
        <f t="shared" si="50"/>
        <v>OTHERS</v>
      </c>
    </row>
    <row r="1054" spans="1:16" x14ac:dyDescent="0.3">
      <c r="A1054" s="4">
        <v>16</v>
      </c>
      <c r="B1054" t="s">
        <v>11</v>
      </c>
      <c r="C1054" s="4">
        <v>27.92</v>
      </c>
      <c r="D1054" t="s">
        <v>19</v>
      </c>
      <c r="E1054" t="s">
        <v>17</v>
      </c>
      <c r="F1054" s="4" t="s">
        <v>30</v>
      </c>
      <c r="G1054" s="4" t="s">
        <v>35</v>
      </c>
      <c r="H1054" s="4">
        <v>4</v>
      </c>
      <c r="I1054" s="4">
        <v>8</v>
      </c>
      <c r="J1054" s="1">
        <v>45505</v>
      </c>
      <c r="K1054" s="2">
        <v>1.6674768518518519E-2</v>
      </c>
      <c r="M1054" s="4" t="str">
        <f t="shared" si="48"/>
        <v>LOW</v>
      </c>
      <c r="N1054" s="4" t="str" cm="1">
        <f t="array" ref="N1054">_xlfn.IFS(C1054&gt;35,"HIGH",C1054&gt;25,"MIDDLE",TRUE,"LOW")</f>
        <v>MIDDLE</v>
      </c>
      <c r="O1054" s="4" t="str">
        <f t="shared" si="49"/>
        <v>OTHERS</v>
      </c>
      <c r="P1054" s="4" t="str">
        <f t="shared" si="50"/>
        <v>OTHERS</v>
      </c>
    </row>
    <row r="1055" spans="1:16" x14ac:dyDescent="0.3">
      <c r="A1055" s="4">
        <v>16</v>
      </c>
      <c r="B1055" t="s">
        <v>11</v>
      </c>
      <c r="C1055" s="4">
        <v>23.02</v>
      </c>
      <c r="D1055" t="s">
        <v>18</v>
      </c>
      <c r="E1055" t="s">
        <v>17</v>
      </c>
      <c r="F1055" s="4" t="s">
        <v>30</v>
      </c>
      <c r="G1055" s="4" t="s">
        <v>35</v>
      </c>
      <c r="H1055" s="4">
        <v>4</v>
      </c>
      <c r="I1055" s="4">
        <v>8</v>
      </c>
      <c r="J1055" s="1">
        <v>45505</v>
      </c>
      <c r="K1055" s="2">
        <v>1.8140046296296296E-2</v>
      </c>
      <c r="M1055" s="4" t="str">
        <f t="shared" si="48"/>
        <v>LOW</v>
      </c>
      <c r="N1055" s="4" t="str" cm="1">
        <f t="array" ref="N1055">_xlfn.IFS(C1055&gt;35,"HIGH",C1055&gt;25,"MIDDLE",TRUE,"LOW")</f>
        <v>LOW</v>
      </c>
      <c r="O1055" s="4" t="str">
        <f t="shared" si="49"/>
        <v>OTHERS</v>
      </c>
      <c r="P1055" s="4" t="str">
        <f t="shared" si="50"/>
        <v>OTHERS</v>
      </c>
    </row>
    <row r="1056" spans="1:16" x14ac:dyDescent="0.3">
      <c r="A1056" s="4">
        <v>17</v>
      </c>
      <c r="B1056" t="s">
        <v>11</v>
      </c>
      <c r="C1056" s="4">
        <v>23.02</v>
      </c>
      <c r="D1056" t="s">
        <v>18</v>
      </c>
      <c r="E1056" t="s">
        <v>20</v>
      </c>
      <c r="F1056" s="4" t="s">
        <v>30</v>
      </c>
      <c r="G1056" s="4" t="s">
        <v>35</v>
      </c>
      <c r="H1056" s="4">
        <v>4</v>
      </c>
      <c r="I1056" s="4">
        <v>8</v>
      </c>
      <c r="J1056" s="1">
        <v>45505</v>
      </c>
      <c r="K1056" s="2">
        <v>1.6379629629629629E-2</v>
      </c>
      <c r="M1056" s="4" t="str">
        <f t="shared" si="48"/>
        <v>LOW</v>
      </c>
      <c r="N1056" s="4" t="str" cm="1">
        <f t="array" ref="N1056">_xlfn.IFS(C1056&gt;35,"HIGH",C1056&gt;25,"MIDDLE",TRUE,"LOW")</f>
        <v>LOW</v>
      </c>
      <c r="O1056" s="4" t="str">
        <f t="shared" si="49"/>
        <v>OTHERS</v>
      </c>
      <c r="P1056" s="4" t="str">
        <f t="shared" si="50"/>
        <v>OTHERS</v>
      </c>
    </row>
    <row r="1057" spans="1:16" x14ac:dyDescent="0.3">
      <c r="A1057" s="4">
        <v>20</v>
      </c>
      <c r="B1057" t="s">
        <v>11</v>
      </c>
      <c r="C1057" s="4">
        <v>32.82</v>
      </c>
      <c r="D1057" t="s">
        <v>29</v>
      </c>
      <c r="E1057" t="s">
        <v>20</v>
      </c>
      <c r="F1057" s="4" t="s">
        <v>30</v>
      </c>
      <c r="G1057" s="4" t="s">
        <v>35</v>
      </c>
      <c r="H1057" s="4">
        <v>4</v>
      </c>
      <c r="I1057" s="4">
        <v>8</v>
      </c>
      <c r="J1057" s="1">
        <v>45505</v>
      </c>
      <c r="K1057" s="2">
        <v>2.8797453703703704E-2</v>
      </c>
      <c r="M1057" s="4" t="str">
        <f t="shared" si="48"/>
        <v>LOW</v>
      </c>
      <c r="N1057" s="4" t="str" cm="1">
        <f t="array" ref="N1057">_xlfn.IFS(C1057&gt;35,"HIGH",C1057&gt;25,"MIDDLE",TRUE,"LOW")</f>
        <v>MIDDLE</v>
      </c>
      <c r="O1057" s="4" t="str">
        <f t="shared" si="49"/>
        <v>OTHERS</v>
      </c>
      <c r="P1057" s="4" t="str">
        <f t="shared" si="50"/>
        <v>OTHERS</v>
      </c>
    </row>
    <row r="1058" spans="1:16" x14ac:dyDescent="0.3">
      <c r="A1058" s="4">
        <v>9</v>
      </c>
      <c r="B1058" t="s">
        <v>11</v>
      </c>
      <c r="C1058" s="4">
        <v>27.92</v>
      </c>
      <c r="D1058" t="s">
        <v>19</v>
      </c>
      <c r="E1058" t="s">
        <v>13</v>
      </c>
      <c r="F1058" s="4" t="s">
        <v>14</v>
      </c>
      <c r="G1058" s="4" t="s">
        <v>35</v>
      </c>
      <c r="H1058" s="4">
        <v>5</v>
      </c>
      <c r="I1058" s="4">
        <v>8</v>
      </c>
      <c r="J1058" s="1">
        <v>45506</v>
      </c>
      <c r="K1058" s="2">
        <v>1.3217592592592593E-3</v>
      </c>
      <c r="M1058" s="4" t="str">
        <f t="shared" si="48"/>
        <v>LOW</v>
      </c>
      <c r="N1058" s="4" t="str" cm="1">
        <f t="array" ref="N1058">_xlfn.IFS(C1058&gt;35,"HIGH",C1058&gt;25,"MIDDLE",TRUE,"LOW")</f>
        <v>MIDDLE</v>
      </c>
      <c r="O1058" s="4" t="str">
        <f t="shared" si="49"/>
        <v>OTHERS</v>
      </c>
      <c r="P1058" s="4" t="str">
        <f t="shared" si="50"/>
        <v>PREMINUM MORNING</v>
      </c>
    </row>
    <row r="1059" spans="1:16" x14ac:dyDescent="0.3">
      <c r="A1059" s="4">
        <v>9</v>
      </c>
      <c r="B1059" t="s">
        <v>11</v>
      </c>
      <c r="C1059" s="4">
        <v>27.92</v>
      </c>
      <c r="D1059" t="s">
        <v>19</v>
      </c>
      <c r="E1059" t="s">
        <v>13</v>
      </c>
      <c r="F1059" s="4" t="s">
        <v>14</v>
      </c>
      <c r="G1059" s="4" t="s">
        <v>35</v>
      </c>
      <c r="H1059" s="4">
        <v>5</v>
      </c>
      <c r="I1059" s="4">
        <v>8</v>
      </c>
      <c r="J1059" s="1">
        <v>45506</v>
      </c>
      <c r="K1059" s="2">
        <v>2.4339120370370372E-2</v>
      </c>
      <c r="M1059" s="4" t="str">
        <f t="shared" si="48"/>
        <v>LOW</v>
      </c>
      <c r="N1059" s="4" t="str" cm="1">
        <f t="array" ref="N1059">_xlfn.IFS(C1059&gt;35,"HIGH",C1059&gt;25,"MIDDLE",TRUE,"LOW")</f>
        <v>MIDDLE</v>
      </c>
      <c r="O1059" s="4" t="str">
        <f t="shared" si="49"/>
        <v>OTHERS</v>
      </c>
      <c r="P1059" s="4" t="str">
        <f t="shared" si="50"/>
        <v>PREMINUM MORNING</v>
      </c>
    </row>
    <row r="1060" spans="1:16" x14ac:dyDescent="0.3">
      <c r="A1060" s="4">
        <v>11</v>
      </c>
      <c r="B1060" t="s">
        <v>11</v>
      </c>
      <c r="C1060" s="4">
        <v>23.02</v>
      </c>
      <c r="D1060" t="s">
        <v>24</v>
      </c>
      <c r="E1060" t="s">
        <v>13</v>
      </c>
      <c r="F1060" s="4" t="s">
        <v>14</v>
      </c>
      <c r="G1060" s="4" t="s">
        <v>35</v>
      </c>
      <c r="H1060" s="4">
        <v>5</v>
      </c>
      <c r="I1060" s="4">
        <v>8</v>
      </c>
      <c r="J1060" s="1">
        <v>45506</v>
      </c>
      <c r="K1060" s="2">
        <v>6.4756944444444445E-3</v>
      </c>
      <c r="M1060" s="4" t="str">
        <f t="shared" si="48"/>
        <v>LOW</v>
      </c>
      <c r="N1060" s="4" t="str" cm="1">
        <f t="array" ref="N1060">_xlfn.IFS(C1060&gt;35,"HIGH",C1060&gt;25,"MIDDLE",TRUE,"LOW")</f>
        <v>LOW</v>
      </c>
      <c r="O1060" s="4" t="str">
        <f t="shared" si="49"/>
        <v>OTHERS</v>
      </c>
      <c r="P1060" s="4" t="str">
        <f t="shared" si="50"/>
        <v>PREMINUM MORNING</v>
      </c>
    </row>
    <row r="1061" spans="1:16" x14ac:dyDescent="0.3">
      <c r="A1061" s="4">
        <v>18</v>
      </c>
      <c r="B1061" t="s">
        <v>11</v>
      </c>
      <c r="C1061" s="4">
        <v>27.92</v>
      </c>
      <c r="D1061" t="s">
        <v>19</v>
      </c>
      <c r="E1061" t="s">
        <v>20</v>
      </c>
      <c r="F1061" s="4" t="s">
        <v>14</v>
      </c>
      <c r="G1061" s="4" t="s">
        <v>35</v>
      </c>
      <c r="H1061" s="4">
        <v>5</v>
      </c>
      <c r="I1061" s="4">
        <v>8</v>
      </c>
      <c r="J1061" s="1">
        <v>45506</v>
      </c>
      <c r="K1061" s="2">
        <v>5.9641203703703696E-3</v>
      </c>
      <c r="M1061" s="4" t="str">
        <f t="shared" si="48"/>
        <v>LOW</v>
      </c>
      <c r="N1061" s="4" t="str" cm="1">
        <f t="array" ref="N1061">_xlfn.IFS(C1061&gt;35,"HIGH",C1061&gt;25,"MIDDLE",TRUE,"LOW")</f>
        <v>MIDDLE</v>
      </c>
      <c r="O1061" s="4" t="str">
        <f t="shared" si="49"/>
        <v>OTHERS</v>
      </c>
      <c r="P1061" s="4" t="str">
        <f t="shared" si="50"/>
        <v>OTHERS</v>
      </c>
    </row>
    <row r="1062" spans="1:16" x14ac:dyDescent="0.3">
      <c r="A1062" s="4">
        <v>21</v>
      </c>
      <c r="B1062" t="s">
        <v>11</v>
      </c>
      <c r="C1062" s="4">
        <v>32.82</v>
      </c>
      <c r="D1062" t="s">
        <v>12</v>
      </c>
      <c r="E1062" t="s">
        <v>20</v>
      </c>
      <c r="F1062" s="4" t="s">
        <v>14</v>
      </c>
      <c r="G1062" s="4" t="s">
        <v>35</v>
      </c>
      <c r="H1062" s="4">
        <v>5</v>
      </c>
      <c r="I1062" s="4">
        <v>8</v>
      </c>
      <c r="J1062" s="1">
        <v>45506</v>
      </c>
      <c r="K1062" s="2">
        <v>1.6023148148148147E-2</v>
      </c>
      <c r="M1062" s="4" t="str">
        <f t="shared" si="48"/>
        <v>LOW</v>
      </c>
      <c r="N1062" s="4" t="str" cm="1">
        <f t="array" ref="N1062">_xlfn.IFS(C1062&gt;35,"HIGH",C1062&gt;25,"MIDDLE",TRUE,"LOW")</f>
        <v>MIDDLE</v>
      </c>
      <c r="O1062" s="4" t="str">
        <f t="shared" si="49"/>
        <v>OTHERS</v>
      </c>
      <c r="P1062" s="4" t="str">
        <f t="shared" si="50"/>
        <v>OTHERS</v>
      </c>
    </row>
    <row r="1063" spans="1:16" x14ac:dyDescent="0.3">
      <c r="A1063" s="4">
        <v>8</v>
      </c>
      <c r="B1063" t="s">
        <v>11</v>
      </c>
      <c r="C1063" s="4">
        <v>27.92</v>
      </c>
      <c r="D1063" t="s">
        <v>19</v>
      </c>
      <c r="E1063" t="s">
        <v>13</v>
      </c>
      <c r="F1063" s="4" t="s">
        <v>22</v>
      </c>
      <c r="G1063" s="4" t="s">
        <v>35</v>
      </c>
      <c r="H1063" s="4">
        <v>6</v>
      </c>
      <c r="I1063" s="4">
        <v>8</v>
      </c>
      <c r="J1063" s="1">
        <v>45507</v>
      </c>
      <c r="K1063" s="2">
        <v>3.7346064814814811E-2</v>
      </c>
      <c r="M1063" s="4" t="str">
        <f t="shared" si="48"/>
        <v>LOW</v>
      </c>
      <c r="N1063" s="4" t="str" cm="1">
        <f t="array" ref="N1063">_xlfn.IFS(C1063&gt;35,"HIGH",C1063&gt;25,"MIDDLE",TRUE,"LOW")</f>
        <v>MIDDLE</v>
      </c>
      <c r="O1063" s="4" t="str">
        <f t="shared" si="49"/>
        <v>OTHERS</v>
      </c>
      <c r="P1063" s="4" t="str">
        <f t="shared" si="50"/>
        <v>PREMINUM MORNING</v>
      </c>
    </row>
    <row r="1064" spans="1:16" x14ac:dyDescent="0.3">
      <c r="A1064" s="4">
        <v>9</v>
      </c>
      <c r="B1064" t="s">
        <v>11</v>
      </c>
      <c r="C1064" s="4">
        <v>27.92</v>
      </c>
      <c r="D1064" t="s">
        <v>19</v>
      </c>
      <c r="E1064" t="s">
        <v>13</v>
      </c>
      <c r="F1064" s="4" t="s">
        <v>22</v>
      </c>
      <c r="G1064" s="4" t="s">
        <v>35</v>
      </c>
      <c r="H1064" s="4">
        <v>6</v>
      </c>
      <c r="I1064" s="4">
        <v>8</v>
      </c>
      <c r="J1064" s="1">
        <v>45507</v>
      </c>
      <c r="K1064" s="2">
        <v>2.5916666666666664E-2</v>
      </c>
      <c r="M1064" s="4" t="str">
        <f t="shared" si="48"/>
        <v>LOW</v>
      </c>
      <c r="N1064" s="4" t="str" cm="1">
        <f t="array" ref="N1064">_xlfn.IFS(C1064&gt;35,"HIGH",C1064&gt;25,"MIDDLE",TRUE,"LOW")</f>
        <v>MIDDLE</v>
      </c>
      <c r="O1064" s="4" t="str">
        <f t="shared" si="49"/>
        <v>OTHERS</v>
      </c>
      <c r="P1064" s="4" t="str">
        <f t="shared" si="50"/>
        <v>PREMINUM MORNING</v>
      </c>
    </row>
    <row r="1065" spans="1:16" x14ac:dyDescent="0.3">
      <c r="A1065" s="4">
        <v>9</v>
      </c>
      <c r="B1065" t="s">
        <v>11</v>
      </c>
      <c r="C1065" s="4">
        <v>27.92</v>
      </c>
      <c r="D1065" t="s">
        <v>19</v>
      </c>
      <c r="E1065" t="s">
        <v>13</v>
      </c>
      <c r="F1065" s="4" t="s">
        <v>22</v>
      </c>
      <c r="G1065" s="4" t="s">
        <v>35</v>
      </c>
      <c r="H1065" s="4">
        <v>6</v>
      </c>
      <c r="I1065" s="4">
        <v>8</v>
      </c>
      <c r="J1065" s="1">
        <v>45507</v>
      </c>
      <c r="K1065" s="2">
        <v>2.6863425925925926E-2</v>
      </c>
      <c r="M1065" s="4" t="str">
        <f t="shared" si="48"/>
        <v>LOW</v>
      </c>
      <c r="N1065" s="4" t="str" cm="1">
        <f t="array" ref="N1065">_xlfn.IFS(C1065&gt;35,"HIGH",C1065&gt;25,"MIDDLE",TRUE,"LOW")</f>
        <v>MIDDLE</v>
      </c>
      <c r="O1065" s="4" t="str">
        <f t="shared" si="49"/>
        <v>OTHERS</v>
      </c>
      <c r="P1065" s="4" t="str">
        <f t="shared" si="50"/>
        <v>PREMINUM MORNING</v>
      </c>
    </row>
    <row r="1066" spans="1:16" x14ac:dyDescent="0.3">
      <c r="A1066" s="4">
        <v>10</v>
      </c>
      <c r="B1066" t="s">
        <v>11</v>
      </c>
      <c r="C1066" s="4">
        <v>27.92</v>
      </c>
      <c r="D1066" t="s">
        <v>19</v>
      </c>
      <c r="E1066" t="s">
        <v>13</v>
      </c>
      <c r="F1066" s="4" t="s">
        <v>22</v>
      </c>
      <c r="G1066" s="4" t="s">
        <v>35</v>
      </c>
      <c r="H1066" s="4">
        <v>6</v>
      </c>
      <c r="I1066" s="4">
        <v>8</v>
      </c>
      <c r="J1066" s="1">
        <v>45507</v>
      </c>
      <c r="K1066" s="2">
        <v>8.6296296296296295E-3</v>
      </c>
      <c r="M1066" s="4" t="str">
        <f t="shared" si="48"/>
        <v>LOW</v>
      </c>
      <c r="N1066" s="4" t="str" cm="1">
        <f t="array" ref="N1066">_xlfn.IFS(C1066&gt;35,"HIGH",C1066&gt;25,"MIDDLE",TRUE,"LOW")</f>
        <v>MIDDLE</v>
      </c>
      <c r="O1066" s="4" t="str">
        <f t="shared" si="49"/>
        <v>OTHERS</v>
      </c>
      <c r="P1066" s="4" t="str">
        <f t="shared" si="50"/>
        <v>PREMINUM MORNING</v>
      </c>
    </row>
    <row r="1067" spans="1:16" x14ac:dyDescent="0.3">
      <c r="A1067" s="4">
        <v>11</v>
      </c>
      <c r="B1067" t="s">
        <v>11</v>
      </c>
      <c r="C1067" s="4">
        <v>23.02</v>
      </c>
      <c r="D1067" t="s">
        <v>24</v>
      </c>
      <c r="E1067" t="s">
        <v>13</v>
      </c>
      <c r="F1067" s="4" t="s">
        <v>22</v>
      </c>
      <c r="G1067" s="4" t="s">
        <v>35</v>
      </c>
      <c r="H1067" s="4">
        <v>6</v>
      </c>
      <c r="I1067" s="4">
        <v>8</v>
      </c>
      <c r="J1067" s="1">
        <v>45507</v>
      </c>
      <c r="K1067" s="2">
        <v>1.4196759259259258E-2</v>
      </c>
      <c r="M1067" s="4" t="str">
        <f t="shared" si="48"/>
        <v>LOW</v>
      </c>
      <c r="N1067" s="4" t="str" cm="1">
        <f t="array" ref="N1067">_xlfn.IFS(C1067&gt;35,"HIGH",C1067&gt;25,"MIDDLE",TRUE,"LOW")</f>
        <v>LOW</v>
      </c>
      <c r="O1067" s="4" t="str">
        <f t="shared" si="49"/>
        <v>OTHERS</v>
      </c>
      <c r="P1067" s="4" t="str">
        <f t="shared" si="50"/>
        <v>PREMINUM MORNING</v>
      </c>
    </row>
    <row r="1068" spans="1:16" x14ac:dyDescent="0.3">
      <c r="A1068" s="4">
        <v>11</v>
      </c>
      <c r="B1068" t="s">
        <v>11</v>
      </c>
      <c r="C1068" s="4">
        <v>23.02</v>
      </c>
      <c r="D1068" t="s">
        <v>24</v>
      </c>
      <c r="E1068" t="s">
        <v>13</v>
      </c>
      <c r="F1068" s="4" t="s">
        <v>22</v>
      </c>
      <c r="G1068" s="4" t="s">
        <v>35</v>
      </c>
      <c r="H1068" s="4">
        <v>6</v>
      </c>
      <c r="I1068" s="4">
        <v>8</v>
      </c>
      <c r="J1068" s="1">
        <v>45507</v>
      </c>
      <c r="K1068" s="3">
        <v>0.47317129629629628</v>
      </c>
      <c r="M1068" s="4" t="str">
        <f t="shared" si="48"/>
        <v>LOW</v>
      </c>
      <c r="N1068" s="4" t="str" cm="1">
        <f t="array" ref="N1068">_xlfn.IFS(C1068&gt;35,"HIGH",C1068&gt;25,"MIDDLE",TRUE,"LOW")</f>
        <v>LOW</v>
      </c>
      <c r="O1068" s="4" t="str">
        <f t="shared" si="49"/>
        <v>OTHERS</v>
      </c>
      <c r="P1068" s="4" t="str">
        <f t="shared" si="50"/>
        <v>PREMINUM MORNING</v>
      </c>
    </row>
    <row r="1069" spans="1:16" x14ac:dyDescent="0.3">
      <c r="A1069" s="4">
        <v>11</v>
      </c>
      <c r="B1069" t="s">
        <v>11</v>
      </c>
      <c r="C1069" s="4">
        <v>18.12</v>
      </c>
      <c r="D1069" t="s">
        <v>26</v>
      </c>
      <c r="E1069" t="s">
        <v>13</v>
      </c>
      <c r="F1069" s="4" t="s">
        <v>22</v>
      </c>
      <c r="G1069" s="4" t="s">
        <v>35</v>
      </c>
      <c r="H1069" s="4">
        <v>6</v>
      </c>
      <c r="I1069" s="4">
        <v>8</v>
      </c>
      <c r="J1069" s="1">
        <v>45507</v>
      </c>
      <c r="K1069" s="2">
        <v>3.93125E-2</v>
      </c>
      <c r="M1069" s="4" t="str">
        <f t="shared" si="48"/>
        <v>LOW</v>
      </c>
      <c r="N1069" s="4" t="str" cm="1">
        <f t="array" ref="N1069">_xlfn.IFS(C1069&gt;35,"HIGH",C1069&gt;25,"MIDDLE",TRUE,"LOW")</f>
        <v>LOW</v>
      </c>
      <c r="O1069" s="4" t="str">
        <f t="shared" si="49"/>
        <v>OTHERS</v>
      </c>
      <c r="P1069" s="4" t="str">
        <f t="shared" si="50"/>
        <v>PREMINUM MORNING</v>
      </c>
    </row>
    <row r="1070" spans="1:16" x14ac:dyDescent="0.3">
      <c r="A1070" s="4">
        <v>11</v>
      </c>
      <c r="B1070" t="s">
        <v>11</v>
      </c>
      <c r="C1070" s="4">
        <v>27.92</v>
      </c>
      <c r="D1070" t="s">
        <v>19</v>
      </c>
      <c r="E1070" t="s">
        <v>13</v>
      </c>
      <c r="F1070" s="4" t="s">
        <v>22</v>
      </c>
      <c r="G1070" s="4" t="s">
        <v>35</v>
      </c>
      <c r="H1070" s="4">
        <v>6</v>
      </c>
      <c r="I1070" s="4">
        <v>8</v>
      </c>
      <c r="J1070" s="1">
        <v>45507</v>
      </c>
      <c r="K1070" s="2">
        <v>3.9945601851851857E-2</v>
      </c>
      <c r="M1070" s="4" t="str">
        <f t="shared" si="48"/>
        <v>LOW</v>
      </c>
      <c r="N1070" s="4" t="str" cm="1">
        <f t="array" ref="N1070">_xlfn.IFS(C1070&gt;35,"HIGH",C1070&gt;25,"MIDDLE",TRUE,"LOW")</f>
        <v>MIDDLE</v>
      </c>
      <c r="O1070" s="4" t="str">
        <f t="shared" si="49"/>
        <v>OTHERS</v>
      </c>
      <c r="P1070" s="4" t="str">
        <f t="shared" si="50"/>
        <v>PREMINUM MORNING</v>
      </c>
    </row>
    <row r="1071" spans="1:16" x14ac:dyDescent="0.3">
      <c r="A1071" s="4">
        <v>12</v>
      </c>
      <c r="B1071" t="s">
        <v>11</v>
      </c>
      <c r="C1071" s="4">
        <v>27.92</v>
      </c>
      <c r="D1071" t="s">
        <v>19</v>
      </c>
      <c r="E1071" t="s">
        <v>17</v>
      </c>
      <c r="F1071" s="4" t="s">
        <v>22</v>
      </c>
      <c r="G1071" s="4" t="s">
        <v>35</v>
      </c>
      <c r="H1071" s="4">
        <v>6</v>
      </c>
      <c r="I1071" s="4">
        <v>8</v>
      </c>
      <c r="J1071" s="1">
        <v>45507</v>
      </c>
      <c r="K1071" s="2">
        <v>2.4976851851851853E-3</v>
      </c>
      <c r="M1071" s="4" t="str">
        <f t="shared" si="48"/>
        <v>LOW</v>
      </c>
      <c r="N1071" s="4" t="str" cm="1">
        <f t="array" ref="N1071">_xlfn.IFS(C1071&gt;35,"HIGH",C1071&gt;25,"MIDDLE",TRUE,"LOW")</f>
        <v>MIDDLE</v>
      </c>
      <c r="O1071" s="4" t="str">
        <f t="shared" si="49"/>
        <v>OTHERS</v>
      </c>
      <c r="P1071" s="4" t="str">
        <f t="shared" si="50"/>
        <v>OTHERS</v>
      </c>
    </row>
    <row r="1072" spans="1:16" x14ac:dyDescent="0.3">
      <c r="A1072" s="4">
        <v>16</v>
      </c>
      <c r="B1072" t="s">
        <v>11</v>
      </c>
      <c r="C1072" s="4">
        <v>27.92</v>
      </c>
      <c r="D1072" t="s">
        <v>19</v>
      </c>
      <c r="E1072" t="s">
        <v>17</v>
      </c>
      <c r="F1072" s="4" t="s">
        <v>22</v>
      </c>
      <c r="G1072" s="4" t="s">
        <v>35</v>
      </c>
      <c r="H1072" s="4">
        <v>6</v>
      </c>
      <c r="I1072" s="4">
        <v>8</v>
      </c>
      <c r="J1072" s="1">
        <v>45507</v>
      </c>
      <c r="K1072" s="2">
        <v>3.7498842592592591E-2</v>
      </c>
      <c r="M1072" s="4" t="str">
        <f t="shared" si="48"/>
        <v>LOW</v>
      </c>
      <c r="N1072" s="4" t="str" cm="1">
        <f t="array" ref="N1072">_xlfn.IFS(C1072&gt;35,"HIGH",C1072&gt;25,"MIDDLE",TRUE,"LOW")</f>
        <v>MIDDLE</v>
      </c>
      <c r="O1072" s="4" t="str">
        <f t="shared" si="49"/>
        <v>OTHERS</v>
      </c>
      <c r="P1072" s="4" t="str">
        <f t="shared" si="50"/>
        <v>OTHERS</v>
      </c>
    </row>
    <row r="1073" spans="1:16" x14ac:dyDescent="0.3">
      <c r="A1073" s="4">
        <v>18</v>
      </c>
      <c r="B1073" t="s">
        <v>11</v>
      </c>
      <c r="C1073" s="4">
        <v>32.82</v>
      </c>
      <c r="D1073" t="s">
        <v>29</v>
      </c>
      <c r="E1073" t="s">
        <v>20</v>
      </c>
      <c r="F1073" s="4" t="s">
        <v>22</v>
      </c>
      <c r="G1073" s="4" t="s">
        <v>35</v>
      </c>
      <c r="H1073" s="4">
        <v>6</v>
      </c>
      <c r="I1073" s="4">
        <v>8</v>
      </c>
      <c r="J1073" s="1">
        <v>45507</v>
      </c>
      <c r="K1073" s="2">
        <v>2.6875E-2</v>
      </c>
      <c r="M1073" s="4" t="str">
        <f t="shared" si="48"/>
        <v>LOW</v>
      </c>
      <c r="N1073" s="4" t="str" cm="1">
        <f t="array" ref="N1073">_xlfn.IFS(C1073&gt;35,"HIGH",C1073&gt;25,"MIDDLE",TRUE,"LOW")</f>
        <v>MIDDLE</v>
      </c>
      <c r="O1073" s="4" t="str">
        <f t="shared" si="49"/>
        <v>OTHERS</v>
      </c>
      <c r="P1073" s="4" t="str">
        <f t="shared" si="50"/>
        <v>OTHERS</v>
      </c>
    </row>
    <row r="1074" spans="1:16" x14ac:dyDescent="0.3">
      <c r="A1074" s="4">
        <v>21</v>
      </c>
      <c r="B1074" t="s">
        <v>11</v>
      </c>
      <c r="C1074" s="4">
        <v>32.82</v>
      </c>
      <c r="D1074" t="s">
        <v>12</v>
      </c>
      <c r="E1074" t="s">
        <v>20</v>
      </c>
      <c r="F1074" s="4" t="s">
        <v>22</v>
      </c>
      <c r="G1074" s="4" t="s">
        <v>35</v>
      </c>
      <c r="H1074" s="4">
        <v>6</v>
      </c>
      <c r="I1074" s="4">
        <v>8</v>
      </c>
      <c r="J1074" s="1">
        <v>45507</v>
      </c>
      <c r="K1074" s="2">
        <v>2.1400462962962961E-2</v>
      </c>
      <c r="M1074" s="4" t="str">
        <f t="shared" si="48"/>
        <v>LOW</v>
      </c>
      <c r="N1074" s="4" t="str" cm="1">
        <f t="array" ref="N1074">_xlfn.IFS(C1074&gt;35,"HIGH",C1074&gt;25,"MIDDLE",TRUE,"LOW")</f>
        <v>MIDDLE</v>
      </c>
      <c r="O1074" s="4" t="str">
        <f t="shared" si="49"/>
        <v>OTHERS</v>
      </c>
      <c r="P1074" s="4" t="str">
        <f t="shared" si="50"/>
        <v>OTHERS</v>
      </c>
    </row>
    <row r="1075" spans="1:16" x14ac:dyDescent="0.3">
      <c r="A1075" s="4">
        <v>21</v>
      </c>
      <c r="B1075" t="s">
        <v>11</v>
      </c>
      <c r="C1075" s="4">
        <v>32.82</v>
      </c>
      <c r="D1075" t="s">
        <v>12</v>
      </c>
      <c r="E1075" t="s">
        <v>20</v>
      </c>
      <c r="F1075" s="4" t="s">
        <v>22</v>
      </c>
      <c r="G1075" s="4" t="s">
        <v>35</v>
      </c>
      <c r="H1075" s="4">
        <v>6</v>
      </c>
      <c r="I1075" s="4">
        <v>8</v>
      </c>
      <c r="J1075" s="1">
        <v>45507</v>
      </c>
      <c r="K1075" s="2">
        <v>2.2989583333333334E-2</v>
      </c>
      <c r="M1075" s="4" t="str">
        <f t="shared" si="48"/>
        <v>LOW</v>
      </c>
      <c r="N1075" s="4" t="str" cm="1">
        <f t="array" ref="N1075">_xlfn.IFS(C1075&gt;35,"HIGH",C1075&gt;25,"MIDDLE",TRUE,"LOW")</f>
        <v>MIDDLE</v>
      </c>
      <c r="O1075" s="4" t="str">
        <f t="shared" si="49"/>
        <v>OTHERS</v>
      </c>
      <c r="P1075" s="4" t="str">
        <f t="shared" si="50"/>
        <v>OTHERS</v>
      </c>
    </row>
    <row r="1076" spans="1:16" x14ac:dyDescent="0.3">
      <c r="A1076" s="4">
        <v>8</v>
      </c>
      <c r="B1076" t="s">
        <v>11</v>
      </c>
      <c r="C1076" s="4">
        <v>32.82</v>
      </c>
      <c r="D1076" t="s">
        <v>29</v>
      </c>
      <c r="E1076" t="s">
        <v>13</v>
      </c>
      <c r="F1076" s="4" t="s">
        <v>23</v>
      </c>
      <c r="G1076" s="4" t="s">
        <v>35</v>
      </c>
      <c r="H1076" s="4">
        <v>7</v>
      </c>
      <c r="I1076" s="4">
        <v>8</v>
      </c>
      <c r="J1076" s="1">
        <v>45508</v>
      </c>
      <c r="K1076" s="2">
        <v>1.2931712962962963E-2</v>
      </c>
      <c r="M1076" s="4" t="str">
        <f t="shared" si="48"/>
        <v>LOW</v>
      </c>
      <c r="N1076" s="4" t="str" cm="1">
        <f t="array" ref="N1076">_xlfn.IFS(C1076&gt;35,"HIGH",C1076&gt;25,"MIDDLE",TRUE,"LOW")</f>
        <v>MIDDLE</v>
      </c>
      <c r="O1076" s="4" t="str">
        <f t="shared" si="49"/>
        <v>OTHERS</v>
      </c>
      <c r="P1076" s="4" t="str">
        <f t="shared" si="50"/>
        <v>PREMINUM MORNING</v>
      </c>
    </row>
    <row r="1077" spans="1:16" x14ac:dyDescent="0.3">
      <c r="A1077" s="4">
        <v>10</v>
      </c>
      <c r="B1077" t="s">
        <v>11</v>
      </c>
      <c r="C1077" s="4">
        <v>27.92</v>
      </c>
      <c r="D1077" t="s">
        <v>19</v>
      </c>
      <c r="E1077" t="s">
        <v>13</v>
      </c>
      <c r="F1077" s="4" t="s">
        <v>23</v>
      </c>
      <c r="G1077" s="4" t="s">
        <v>35</v>
      </c>
      <c r="H1077" s="4">
        <v>7</v>
      </c>
      <c r="I1077" s="4">
        <v>8</v>
      </c>
      <c r="J1077" s="1">
        <v>45508</v>
      </c>
      <c r="K1077" s="2">
        <v>2.6285879629629628E-2</v>
      </c>
      <c r="M1077" s="4" t="str">
        <f t="shared" si="48"/>
        <v>LOW</v>
      </c>
      <c r="N1077" s="4" t="str" cm="1">
        <f t="array" ref="N1077">_xlfn.IFS(C1077&gt;35,"HIGH",C1077&gt;25,"MIDDLE",TRUE,"LOW")</f>
        <v>MIDDLE</v>
      </c>
      <c r="O1077" s="4" t="str">
        <f t="shared" si="49"/>
        <v>OTHERS</v>
      </c>
      <c r="P1077" s="4" t="str">
        <f t="shared" si="50"/>
        <v>PREMINUM MORNING</v>
      </c>
    </row>
    <row r="1078" spans="1:16" x14ac:dyDescent="0.3">
      <c r="A1078" s="4">
        <v>11</v>
      </c>
      <c r="B1078" t="s">
        <v>11</v>
      </c>
      <c r="C1078" s="4">
        <v>32.82</v>
      </c>
      <c r="D1078" t="s">
        <v>29</v>
      </c>
      <c r="E1078" t="s">
        <v>13</v>
      </c>
      <c r="F1078" s="4" t="s">
        <v>23</v>
      </c>
      <c r="G1078" s="4" t="s">
        <v>35</v>
      </c>
      <c r="H1078" s="4">
        <v>7</v>
      </c>
      <c r="I1078" s="4">
        <v>8</v>
      </c>
      <c r="J1078" s="1">
        <v>45508</v>
      </c>
      <c r="K1078" s="2">
        <v>3.5354166666666666E-2</v>
      </c>
      <c r="M1078" s="4" t="str">
        <f t="shared" si="48"/>
        <v>LOW</v>
      </c>
      <c r="N1078" s="4" t="str" cm="1">
        <f t="array" ref="N1078">_xlfn.IFS(C1078&gt;35,"HIGH",C1078&gt;25,"MIDDLE",TRUE,"LOW")</f>
        <v>MIDDLE</v>
      </c>
      <c r="O1078" s="4" t="str">
        <f t="shared" si="49"/>
        <v>OTHERS</v>
      </c>
      <c r="P1078" s="4" t="str">
        <f t="shared" si="50"/>
        <v>PREMINUM MORNING</v>
      </c>
    </row>
    <row r="1079" spans="1:16" x14ac:dyDescent="0.3">
      <c r="A1079" s="4">
        <v>11</v>
      </c>
      <c r="B1079" t="s">
        <v>11</v>
      </c>
      <c r="C1079" s="4">
        <v>27.92</v>
      </c>
      <c r="D1079" t="s">
        <v>19</v>
      </c>
      <c r="E1079" t="s">
        <v>13</v>
      </c>
      <c r="F1079" s="4" t="s">
        <v>23</v>
      </c>
      <c r="G1079" s="4" t="s">
        <v>35</v>
      </c>
      <c r="H1079" s="4">
        <v>7</v>
      </c>
      <c r="I1079" s="4">
        <v>8</v>
      </c>
      <c r="J1079" s="1">
        <v>45508</v>
      </c>
      <c r="K1079" s="2">
        <v>3.6493055555555556E-2</v>
      </c>
      <c r="M1079" s="4" t="str">
        <f t="shared" si="48"/>
        <v>LOW</v>
      </c>
      <c r="N1079" s="4" t="str" cm="1">
        <f t="array" ref="N1079">_xlfn.IFS(C1079&gt;35,"HIGH",C1079&gt;25,"MIDDLE",TRUE,"LOW")</f>
        <v>MIDDLE</v>
      </c>
      <c r="O1079" s="4" t="str">
        <f t="shared" si="49"/>
        <v>OTHERS</v>
      </c>
      <c r="P1079" s="4" t="str">
        <f t="shared" si="50"/>
        <v>PREMINUM MORNING</v>
      </c>
    </row>
    <row r="1080" spans="1:16" x14ac:dyDescent="0.3">
      <c r="A1080" s="4">
        <v>15</v>
      </c>
      <c r="B1080" t="s">
        <v>11</v>
      </c>
      <c r="C1080" s="4">
        <v>32.82</v>
      </c>
      <c r="D1080" t="s">
        <v>29</v>
      </c>
      <c r="E1080" t="s">
        <v>17</v>
      </c>
      <c r="F1080" s="4" t="s">
        <v>23</v>
      </c>
      <c r="G1080" s="4" t="s">
        <v>35</v>
      </c>
      <c r="H1080" s="4">
        <v>7</v>
      </c>
      <c r="I1080" s="4">
        <v>8</v>
      </c>
      <c r="J1080" s="1">
        <v>45508</v>
      </c>
      <c r="K1080" s="2">
        <v>2.3519675925925927E-2</v>
      </c>
      <c r="M1080" s="4" t="str">
        <f t="shared" si="48"/>
        <v>LOW</v>
      </c>
      <c r="N1080" s="4" t="str" cm="1">
        <f t="array" ref="N1080">_xlfn.IFS(C1080&gt;35,"HIGH",C1080&gt;25,"MIDDLE",TRUE,"LOW")</f>
        <v>MIDDLE</v>
      </c>
      <c r="O1080" s="4" t="str">
        <f t="shared" si="49"/>
        <v>OTHERS</v>
      </c>
      <c r="P1080" s="4" t="str">
        <f t="shared" si="50"/>
        <v>OTHERS</v>
      </c>
    </row>
    <row r="1081" spans="1:16" x14ac:dyDescent="0.3">
      <c r="A1081" s="4">
        <v>15</v>
      </c>
      <c r="B1081" t="s">
        <v>11</v>
      </c>
      <c r="C1081" s="4">
        <v>32.82</v>
      </c>
      <c r="D1081" t="s">
        <v>29</v>
      </c>
      <c r="E1081" t="s">
        <v>17</v>
      </c>
      <c r="F1081" s="4" t="s">
        <v>23</v>
      </c>
      <c r="G1081" s="4" t="s">
        <v>35</v>
      </c>
      <c r="H1081" s="4">
        <v>7</v>
      </c>
      <c r="I1081" s="4">
        <v>8</v>
      </c>
      <c r="J1081" s="1">
        <v>45508</v>
      </c>
      <c r="K1081" s="2">
        <v>2.4373842592592593E-2</v>
      </c>
      <c r="M1081" s="4" t="str">
        <f t="shared" si="48"/>
        <v>LOW</v>
      </c>
      <c r="N1081" s="4" t="str" cm="1">
        <f t="array" ref="N1081">_xlfn.IFS(C1081&gt;35,"HIGH",C1081&gt;25,"MIDDLE",TRUE,"LOW")</f>
        <v>MIDDLE</v>
      </c>
      <c r="O1081" s="4" t="str">
        <f t="shared" si="49"/>
        <v>OTHERS</v>
      </c>
      <c r="P1081" s="4" t="str">
        <f t="shared" si="50"/>
        <v>OTHERS</v>
      </c>
    </row>
    <row r="1082" spans="1:16" x14ac:dyDescent="0.3">
      <c r="A1082" s="4">
        <v>8</v>
      </c>
      <c r="B1082" t="s">
        <v>11</v>
      </c>
      <c r="C1082" s="4">
        <v>23.02</v>
      </c>
      <c r="D1082" t="s">
        <v>24</v>
      </c>
      <c r="E1082" t="s">
        <v>13</v>
      </c>
      <c r="F1082" s="4" t="s">
        <v>25</v>
      </c>
      <c r="G1082" s="4" t="s">
        <v>35</v>
      </c>
      <c r="H1082" s="4">
        <v>1</v>
      </c>
      <c r="I1082" s="4">
        <v>8</v>
      </c>
      <c r="J1082" s="1">
        <v>45509</v>
      </c>
      <c r="K1082" s="2">
        <v>3.4789351851851856E-2</v>
      </c>
      <c r="M1082" s="4" t="str">
        <f t="shared" si="48"/>
        <v>LOW</v>
      </c>
      <c r="N1082" s="4" t="str" cm="1">
        <f t="array" ref="N1082">_xlfn.IFS(C1082&gt;35,"HIGH",C1082&gt;25,"MIDDLE",TRUE,"LOW")</f>
        <v>LOW</v>
      </c>
      <c r="O1082" s="4" t="str">
        <f t="shared" si="49"/>
        <v>OTHERS</v>
      </c>
      <c r="P1082" s="4" t="str">
        <f t="shared" si="50"/>
        <v>PREMINUM MORNING</v>
      </c>
    </row>
    <row r="1083" spans="1:16" x14ac:dyDescent="0.3">
      <c r="A1083" s="4">
        <v>9</v>
      </c>
      <c r="B1083" t="s">
        <v>11</v>
      </c>
      <c r="C1083" s="4">
        <v>27.92</v>
      </c>
      <c r="D1083" t="s">
        <v>19</v>
      </c>
      <c r="E1083" t="s">
        <v>13</v>
      </c>
      <c r="F1083" s="4" t="s">
        <v>25</v>
      </c>
      <c r="G1083" s="4" t="s">
        <v>35</v>
      </c>
      <c r="H1083" s="4">
        <v>1</v>
      </c>
      <c r="I1083" s="4">
        <v>8</v>
      </c>
      <c r="J1083" s="1">
        <v>45509</v>
      </c>
      <c r="K1083" s="2">
        <v>1.3416666666666667E-2</v>
      </c>
      <c r="M1083" s="4" t="str">
        <f t="shared" si="48"/>
        <v>LOW</v>
      </c>
      <c r="N1083" s="4" t="str" cm="1">
        <f t="array" ref="N1083">_xlfn.IFS(C1083&gt;35,"HIGH",C1083&gt;25,"MIDDLE",TRUE,"LOW")</f>
        <v>MIDDLE</v>
      </c>
      <c r="O1083" s="4" t="str">
        <f t="shared" si="49"/>
        <v>OTHERS</v>
      </c>
      <c r="P1083" s="4" t="str">
        <f t="shared" si="50"/>
        <v>PREMINUM MORNING</v>
      </c>
    </row>
    <row r="1084" spans="1:16" x14ac:dyDescent="0.3">
      <c r="A1084" s="4">
        <v>11</v>
      </c>
      <c r="B1084" t="s">
        <v>11</v>
      </c>
      <c r="C1084" s="4">
        <v>23.02</v>
      </c>
      <c r="D1084" t="s">
        <v>24</v>
      </c>
      <c r="E1084" t="s">
        <v>13</v>
      </c>
      <c r="F1084" s="4" t="s">
        <v>25</v>
      </c>
      <c r="G1084" s="4" t="s">
        <v>35</v>
      </c>
      <c r="H1084" s="4">
        <v>1</v>
      </c>
      <c r="I1084" s="4">
        <v>8</v>
      </c>
      <c r="J1084" s="1">
        <v>45509</v>
      </c>
      <c r="K1084" s="2">
        <v>1.4437500000000001E-2</v>
      </c>
      <c r="M1084" s="4" t="str">
        <f t="shared" si="48"/>
        <v>LOW</v>
      </c>
      <c r="N1084" s="4" t="str" cm="1">
        <f t="array" ref="N1084">_xlfn.IFS(C1084&gt;35,"HIGH",C1084&gt;25,"MIDDLE",TRUE,"LOW")</f>
        <v>LOW</v>
      </c>
      <c r="O1084" s="4" t="str">
        <f t="shared" si="49"/>
        <v>OTHERS</v>
      </c>
      <c r="P1084" s="4" t="str">
        <f t="shared" si="50"/>
        <v>PREMINUM MORNING</v>
      </c>
    </row>
    <row r="1085" spans="1:16" x14ac:dyDescent="0.3">
      <c r="A1085" s="4">
        <v>13</v>
      </c>
      <c r="B1085" t="s">
        <v>11</v>
      </c>
      <c r="C1085" s="4">
        <v>32.82</v>
      </c>
      <c r="D1085" t="s">
        <v>29</v>
      </c>
      <c r="E1085" t="s">
        <v>17</v>
      </c>
      <c r="F1085" s="4" t="s">
        <v>25</v>
      </c>
      <c r="G1085" s="4" t="s">
        <v>35</v>
      </c>
      <c r="H1085" s="4">
        <v>1</v>
      </c>
      <c r="I1085" s="4">
        <v>8</v>
      </c>
      <c r="J1085" s="1">
        <v>45509</v>
      </c>
      <c r="K1085" s="2">
        <v>3.1510416666666666E-2</v>
      </c>
      <c r="M1085" s="4" t="str">
        <f t="shared" si="48"/>
        <v>LOW</v>
      </c>
      <c r="N1085" s="4" t="str" cm="1">
        <f t="array" ref="N1085">_xlfn.IFS(C1085&gt;35,"HIGH",C1085&gt;25,"MIDDLE",TRUE,"LOW")</f>
        <v>MIDDLE</v>
      </c>
      <c r="O1085" s="4" t="str">
        <f t="shared" si="49"/>
        <v>OTHERS</v>
      </c>
      <c r="P1085" s="4" t="str">
        <f t="shared" si="50"/>
        <v>OTHERS</v>
      </c>
    </row>
    <row r="1086" spans="1:16" x14ac:dyDescent="0.3">
      <c r="A1086" s="4">
        <v>16</v>
      </c>
      <c r="B1086" t="s">
        <v>11</v>
      </c>
      <c r="C1086" s="4">
        <v>32.82</v>
      </c>
      <c r="D1086" t="s">
        <v>12</v>
      </c>
      <c r="E1086" t="s">
        <v>17</v>
      </c>
      <c r="F1086" s="4" t="s">
        <v>25</v>
      </c>
      <c r="G1086" s="4" t="s">
        <v>35</v>
      </c>
      <c r="H1086" s="4">
        <v>1</v>
      </c>
      <c r="I1086" s="4">
        <v>8</v>
      </c>
      <c r="J1086" s="1">
        <v>45509</v>
      </c>
      <c r="K1086" s="2">
        <v>4.1400462962962962E-3</v>
      </c>
      <c r="M1086" s="4" t="str">
        <f t="shared" si="48"/>
        <v>LOW</v>
      </c>
      <c r="N1086" s="4" t="str" cm="1">
        <f t="array" ref="N1086">_xlfn.IFS(C1086&gt;35,"HIGH",C1086&gt;25,"MIDDLE",TRUE,"LOW")</f>
        <v>MIDDLE</v>
      </c>
      <c r="O1086" s="4" t="str">
        <f t="shared" si="49"/>
        <v>OTHERS</v>
      </c>
      <c r="P1086" s="4" t="str">
        <f t="shared" si="50"/>
        <v>OTHERS</v>
      </c>
    </row>
    <row r="1087" spans="1:16" x14ac:dyDescent="0.3">
      <c r="A1087" s="4">
        <v>16</v>
      </c>
      <c r="B1087" t="s">
        <v>11</v>
      </c>
      <c r="C1087" s="4">
        <v>32.82</v>
      </c>
      <c r="D1087" t="s">
        <v>12</v>
      </c>
      <c r="E1087" t="s">
        <v>17</v>
      </c>
      <c r="F1087" s="4" t="s">
        <v>25</v>
      </c>
      <c r="G1087" s="4" t="s">
        <v>35</v>
      </c>
      <c r="H1087" s="4">
        <v>1</v>
      </c>
      <c r="I1087" s="4">
        <v>8</v>
      </c>
      <c r="J1087" s="1">
        <v>45509</v>
      </c>
      <c r="K1087" s="2">
        <v>5.0787037037037042E-3</v>
      </c>
      <c r="M1087" s="4" t="str">
        <f t="shared" si="48"/>
        <v>LOW</v>
      </c>
      <c r="N1087" s="4" t="str" cm="1">
        <f t="array" ref="N1087">_xlfn.IFS(C1087&gt;35,"HIGH",C1087&gt;25,"MIDDLE",TRUE,"LOW")</f>
        <v>MIDDLE</v>
      </c>
      <c r="O1087" s="4" t="str">
        <f t="shared" si="49"/>
        <v>OTHERS</v>
      </c>
      <c r="P1087" s="4" t="str">
        <f t="shared" si="50"/>
        <v>OTHERS</v>
      </c>
    </row>
    <row r="1088" spans="1:16" x14ac:dyDescent="0.3">
      <c r="A1088" s="4">
        <v>17</v>
      </c>
      <c r="B1088" t="s">
        <v>11</v>
      </c>
      <c r="C1088" s="4">
        <v>32.82</v>
      </c>
      <c r="D1088" t="s">
        <v>12</v>
      </c>
      <c r="E1088" t="s">
        <v>20</v>
      </c>
      <c r="F1088" s="4" t="s">
        <v>25</v>
      </c>
      <c r="G1088" s="4" t="s">
        <v>35</v>
      </c>
      <c r="H1088" s="4">
        <v>1</v>
      </c>
      <c r="I1088" s="4">
        <v>8</v>
      </c>
      <c r="J1088" s="1">
        <v>45509</v>
      </c>
      <c r="K1088" s="2">
        <v>3.0839120370370371E-2</v>
      </c>
      <c r="M1088" s="4" t="str">
        <f t="shared" si="48"/>
        <v>LOW</v>
      </c>
      <c r="N1088" s="4" t="str" cm="1">
        <f t="array" ref="N1088">_xlfn.IFS(C1088&gt;35,"HIGH",C1088&gt;25,"MIDDLE",TRUE,"LOW")</f>
        <v>MIDDLE</v>
      </c>
      <c r="O1088" s="4" t="str">
        <f t="shared" si="49"/>
        <v>OTHERS</v>
      </c>
      <c r="P1088" s="4" t="str">
        <f t="shared" si="50"/>
        <v>OTHERS</v>
      </c>
    </row>
    <row r="1089" spans="1:16" x14ac:dyDescent="0.3">
      <c r="A1089" s="4">
        <v>17</v>
      </c>
      <c r="B1089" t="s">
        <v>11</v>
      </c>
      <c r="C1089" s="4">
        <v>27.92</v>
      </c>
      <c r="D1089" t="s">
        <v>19</v>
      </c>
      <c r="E1089" t="s">
        <v>20</v>
      </c>
      <c r="F1089" s="4" t="s">
        <v>25</v>
      </c>
      <c r="G1089" s="4" t="s">
        <v>35</v>
      </c>
      <c r="H1089" s="4">
        <v>1</v>
      </c>
      <c r="I1089" s="4">
        <v>8</v>
      </c>
      <c r="J1089" s="1">
        <v>45509</v>
      </c>
      <c r="K1089" s="2">
        <v>3.1621527777777776E-2</v>
      </c>
      <c r="M1089" s="4" t="str">
        <f t="shared" si="48"/>
        <v>LOW</v>
      </c>
      <c r="N1089" s="4" t="str" cm="1">
        <f t="array" ref="N1089">_xlfn.IFS(C1089&gt;35,"HIGH",C1089&gt;25,"MIDDLE",TRUE,"LOW")</f>
        <v>MIDDLE</v>
      </c>
      <c r="O1089" s="4" t="str">
        <f t="shared" si="49"/>
        <v>OTHERS</v>
      </c>
      <c r="P1089" s="4" t="str">
        <f t="shared" si="50"/>
        <v>OTHERS</v>
      </c>
    </row>
    <row r="1090" spans="1:16" x14ac:dyDescent="0.3">
      <c r="A1090" s="4">
        <v>19</v>
      </c>
      <c r="B1090" t="s">
        <v>11</v>
      </c>
      <c r="C1090" s="4">
        <v>32.82</v>
      </c>
      <c r="D1090" t="s">
        <v>12</v>
      </c>
      <c r="E1090" t="s">
        <v>20</v>
      </c>
      <c r="F1090" s="4" t="s">
        <v>25</v>
      </c>
      <c r="G1090" s="4" t="s">
        <v>35</v>
      </c>
      <c r="H1090" s="4">
        <v>1</v>
      </c>
      <c r="I1090" s="4">
        <v>8</v>
      </c>
      <c r="J1090" s="1">
        <v>45509</v>
      </c>
      <c r="K1090" s="2">
        <v>1.392013888888889E-2</v>
      </c>
      <c r="M1090" s="4" t="str">
        <f t="shared" si="48"/>
        <v>LOW</v>
      </c>
      <c r="N1090" s="4" t="str" cm="1">
        <f t="array" ref="N1090">_xlfn.IFS(C1090&gt;35,"HIGH",C1090&gt;25,"MIDDLE",TRUE,"LOW")</f>
        <v>MIDDLE</v>
      </c>
      <c r="O1090" s="4" t="str">
        <f t="shared" si="49"/>
        <v>OTHERS</v>
      </c>
      <c r="P1090" s="4" t="str">
        <f t="shared" si="50"/>
        <v>OTHERS</v>
      </c>
    </row>
    <row r="1091" spans="1:16" x14ac:dyDescent="0.3">
      <c r="A1091" s="4">
        <v>19</v>
      </c>
      <c r="B1091" t="s">
        <v>11</v>
      </c>
      <c r="C1091" s="4">
        <v>32.82</v>
      </c>
      <c r="D1091" t="s">
        <v>12</v>
      </c>
      <c r="E1091" t="s">
        <v>20</v>
      </c>
      <c r="F1091" s="4" t="s">
        <v>25</v>
      </c>
      <c r="G1091" s="4" t="s">
        <v>35</v>
      </c>
      <c r="H1091" s="4">
        <v>1</v>
      </c>
      <c r="I1091" s="4">
        <v>8</v>
      </c>
      <c r="J1091" s="1">
        <v>45509</v>
      </c>
      <c r="K1091" s="2">
        <v>2.4207175925925927E-2</v>
      </c>
      <c r="M1091" s="4" t="str">
        <f t="shared" ref="M1091:M1154" si="51">IF(C1091&gt;35,"HIGH","LOW")</f>
        <v>LOW</v>
      </c>
      <c r="N1091" s="4" t="str" cm="1">
        <f t="array" ref="N1091">_xlfn.IFS(C1091&gt;35,"HIGH",C1091&gt;25,"MIDDLE",TRUE,"LOW")</f>
        <v>MIDDLE</v>
      </c>
      <c r="O1091" s="4" t="str">
        <f t="shared" ref="O1091:O1154" si="52">IF(AND(C1091&gt;35,E1091="MORNING"),"PREMINUM MORNING","OTHERS")</f>
        <v>OTHERS</v>
      </c>
      <c r="P1091" s="4" t="str">
        <f t="shared" ref="P1091:P1154" si="53">IF(OR(C1091&gt;35,E1091="MORNING"),"PREMINUM MORNING","OTHERS")</f>
        <v>OTHERS</v>
      </c>
    </row>
    <row r="1092" spans="1:16" x14ac:dyDescent="0.3">
      <c r="A1092" s="4">
        <v>20</v>
      </c>
      <c r="B1092" t="s">
        <v>11</v>
      </c>
      <c r="C1092" s="4">
        <v>32.82</v>
      </c>
      <c r="D1092" t="s">
        <v>21</v>
      </c>
      <c r="E1092" t="s">
        <v>20</v>
      </c>
      <c r="F1092" s="4" t="s">
        <v>25</v>
      </c>
      <c r="G1092" s="4" t="s">
        <v>35</v>
      </c>
      <c r="H1092" s="4">
        <v>1</v>
      </c>
      <c r="I1092" s="4">
        <v>8</v>
      </c>
      <c r="J1092" s="1">
        <v>45509</v>
      </c>
      <c r="K1092" s="2">
        <v>3.4385416666666668E-2</v>
      </c>
      <c r="M1092" s="4" t="str">
        <f t="shared" si="51"/>
        <v>LOW</v>
      </c>
      <c r="N1092" s="4" t="str" cm="1">
        <f t="array" ref="N1092">_xlfn.IFS(C1092&gt;35,"HIGH",C1092&gt;25,"MIDDLE",TRUE,"LOW")</f>
        <v>MIDDLE</v>
      </c>
      <c r="O1092" s="4" t="str">
        <f t="shared" si="52"/>
        <v>OTHERS</v>
      </c>
      <c r="P1092" s="4" t="str">
        <f t="shared" si="53"/>
        <v>OTHERS</v>
      </c>
    </row>
    <row r="1093" spans="1:16" x14ac:dyDescent="0.3">
      <c r="A1093" s="4">
        <v>20</v>
      </c>
      <c r="B1093" t="s">
        <v>11</v>
      </c>
      <c r="C1093" s="4">
        <v>32.82</v>
      </c>
      <c r="D1093" t="s">
        <v>21</v>
      </c>
      <c r="E1093" t="s">
        <v>20</v>
      </c>
      <c r="F1093" s="4" t="s">
        <v>25</v>
      </c>
      <c r="G1093" s="4" t="s">
        <v>35</v>
      </c>
      <c r="H1093" s="4">
        <v>1</v>
      </c>
      <c r="I1093" s="4">
        <v>8</v>
      </c>
      <c r="J1093" s="1">
        <v>45509</v>
      </c>
      <c r="K1093" s="2">
        <v>3.4975694444444448E-2</v>
      </c>
      <c r="M1093" s="4" t="str">
        <f t="shared" si="51"/>
        <v>LOW</v>
      </c>
      <c r="N1093" s="4" t="str" cm="1">
        <f t="array" ref="N1093">_xlfn.IFS(C1093&gt;35,"HIGH",C1093&gt;25,"MIDDLE",TRUE,"LOW")</f>
        <v>MIDDLE</v>
      </c>
      <c r="O1093" s="4" t="str">
        <f t="shared" si="52"/>
        <v>OTHERS</v>
      </c>
      <c r="P1093" s="4" t="str">
        <f t="shared" si="53"/>
        <v>OTHERS</v>
      </c>
    </row>
    <row r="1094" spans="1:16" x14ac:dyDescent="0.3">
      <c r="A1094" s="4">
        <v>22</v>
      </c>
      <c r="B1094" t="s">
        <v>11</v>
      </c>
      <c r="C1094" s="4">
        <v>27.92</v>
      </c>
      <c r="D1094" t="s">
        <v>19</v>
      </c>
      <c r="E1094" t="s">
        <v>20</v>
      </c>
      <c r="F1094" s="4" t="s">
        <v>25</v>
      </c>
      <c r="G1094" s="4" t="s">
        <v>35</v>
      </c>
      <c r="H1094" s="4">
        <v>1</v>
      </c>
      <c r="I1094" s="4">
        <v>8</v>
      </c>
      <c r="J1094" s="1">
        <v>45509</v>
      </c>
      <c r="K1094" s="2">
        <v>3.0418981481481481E-2</v>
      </c>
      <c r="M1094" s="4" t="str">
        <f t="shared" si="51"/>
        <v>LOW</v>
      </c>
      <c r="N1094" s="4" t="str" cm="1">
        <f t="array" ref="N1094">_xlfn.IFS(C1094&gt;35,"HIGH",C1094&gt;25,"MIDDLE",TRUE,"LOW")</f>
        <v>MIDDLE</v>
      </c>
      <c r="O1094" s="4" t="str">
        <f t="shared" si="52"/>
        <v>OTHERS</v>
      </c>
      <c r="P1094" s="4" t="str">
        <f t="shared" si="53"/>
        <v>OTHERS</v>
      </c>
    </row>
    <row r="1095" spans="1:16" x14ac:dyDescent="0.3">
      <c r="A1095" s="4">
        <v>10</v>
      </c>
      <c r="B1095" t="s">
        <v>11</v>
      </c>
      <c r="C1095" s="4">
        <v>23.02</v>
      </c>
      <c r="D1095" t="s">
        <v>24</v>
      </c>
      <c r="E1095" t="s">
        <v>13</v>
      </c>
      <c r="F1095" s="4" t="s">
        <v>27</v>
      </c>
      <c r="G1095" s="4" t="s">
        <v>35</v>
      </c>
      <c r="H1095" s="4">
        <v>2</v>
      </c>
      <c r="I1095" s="4">
        <v>8</v>
      </c>
      <c r="J1095" s="1">
        <v>45510</v>
      </c>
      <c r="K1095" s="2">
        <v>1.4621527777777777E-2</v>
      </c>
      <c r="M1095" s="4" t="str">
        <f t="shared" si="51"/>
        <v>LOW</v>
      </c>
      <c r="N1095" s="4" t="str" cm="1">
        <f t="array" ref="N1095">_xlfn.IFS(C1095&gt;35,"HIGH",C1095&gt;25,"MIDDLE",TRUE,"LOW")</f>
        <v>LOW</v>
      </c>
      <c r="O1095" s="4" t="str">
        <f t="shared" si="52"/>
        <v>OTHERS</v>
      </c>
      <c r="P1095" s="4" t="str">
        <f t="shared" si="53"/>
        <v>PREMINUM MORNING</v>
      </c>
    </row>
    <row r="1096" spans="1:16" x14ac:dyDescent="0.3">
      <c r="A1096" s="4">
        <v>10</v>
      </c>
      <c r="B1096" t="s">
        <v>11</v>
      </c>
      <c r="C1096" s="4">
        <v>32.82</v>
      </c>
      <c r="D1096" t="s">
        <v>16</v>
      </c>
      <c r="E1096" t="s">
        <v>13</v>
      </c>
      <c r="F1096" s="4" t="s">
        <v>27</v>
      </c>
      <c r="G1096" s="4" t="s">
        <v>35</v>
      </c>
      <c r="H1096" s="4">
        <v>2</v>
      </c>
      <c r="I1096" s="4">
        <v>8</v>
      </c>
      <c r="J1096" s="1">
        <v>45510</v>
      </c>
      <c r="K1096" s="2">
        <v>2.2596064814814815E-2</v>
      </c>
      <c r="M1096" s="4" t="str">
        <f t="shared" si="51"/>
        <v>LOW</v>
      </c>
      <c r="N1096" s="4" t="str" cm="1">
        <f t="array" ref="N1096">_xlfn.IFS(C1096&gt;35,"HIGH",C1096&gt;25,"MIDDLE",TRUE,"LOW")</f>
        <v>MIDDLE</v>
      </c>
      <c r="O1096" s="4" t="str">
        <f t="shared" si="52"/>
        <v>OTHERS</v>
      </c>
      <c r="P1096" s="4" t="str">
        <f t="shared" si="53"/>
        <v>PREMINUM MORNING</v>
      </c>
    </row>
    <row r="1097" spans="1:16" x14ac:dyDescent="0.3">
      <c r="A1097" s="4">
        <v>17</v>
      </c>
      <c r="B1097" t="s">
        <v>11</v>
      </c>
      <c r="C1097" s="4">
        <v>32.82</v>
      </c>
      <c r="D1097" t="s">
        <v>29</v>
      </c>
      <c r="E1097" t="s">
        <v>20</v>
      </c>
      <c r="F1097" s="4" t="s">
        <v>27</v>
      </c>
      <c r="G1097" s="4" t="s">
        <v>35</v>
      </c>
      <c r="H1097" s="4">
        <v>2</v>
      </c>
      <c r="I1097" s="4">
        <v>8</v>
      </c>
      <c r="J1097" s="1">
        <v>45510</v>
      </c>
      <c r="K1097" s="2">
        <v>2.8347222222222222E-2</v>
      </c>
      <c r="M1097" s="4" t="str">
        <f t="shared" si="51"/>
        <v>LOW</v>
      </c>
      <c r="N1097" s="4" t="str" cm="1">
        <f t="array" ref="N1097">_xlfn.IFS(C1097&gt;35,"HIGH",C1097&gt;25,"MIDDLE",TRUE,"LOW")</f>
        <v>MIDDLE</v>
      </c>
      <c r="O1097" s="4" t="str">
        <f t="shared" si="52"/>
        <v>OTHERS</v>
      </c>
      <c r="P1097" s="4" t="str">
        <f t="shared" si="53"/>
        <v>OTHERS</v>
      </c>
    </row>
    <row r="1098" spans="1:16" x14ac:dyDescent="0.3">
      <c r="A1098" s="4">
        <v>17</v>
      </c>
      <c r="B1098" t="s">
        <v>11</v>
      </c>
      <c r="C1098" s="4">
        <v>32.82</v>
      </c>
      <c r="D1098" t="s">
        <v>12</v>
      </c>
      <c r="E1098" t="s">
        <v>20</v>
      </c>
      <c r="F1098" s="4" t="s">
        <v>27</v>
      </c>
      <c r="G1098" s="4" t="s">
        <v>35</v>
      </c>
      <c r="H1098" s="4">
        <v>2</v>
      </c>
      <c r="I1098" s="4">
        <v>8</v>
      </c>
      <c r="J1098" s="1">
        <v>45510</v>
      </c>
      <c r="K1098" s="2">
        <v>2.977662037037037E-2</v>
      </c>
      <c r="M1098" s="4" t="str">
        <f t="shared" si="51"/>
        <v>LOW</v>
      </c>
      <c r="N1098" s="4" t="str" cm="1">
        <f t="array" ref="N1098">_xlfn.IFS(C1098&gt;35,"HIGH",C1098&gt;25,"MIDDLE",TRUE,"LOW")</f>
        <v>MIDDLE</v>
      </c>
      <c r="O1098" s="4" t="str">
        <f t="shared" si="52"/>
        <v>OTHERS</v>
      </c>
      <c r="P1098" s="4" t="str">
        <f t="shared" si="53"/>
        <v>OTHERS</v>
      </c>
    </row>
    <row r="1099" spans="1:16" x14ac:dyDescent="0.3">
      <c r="A1099" s="4">
        <v>17</v>
      </c>
      <c r="B1099" t="s">
        <v>11</v>
      </c>
      <c r="C1099" s="4">
        <v>32.82</v>
      </c>
      <c r="D1099" t="s">
        <v>21</v>
      </c>
      <c r="E1099" t="s">
        <v>20</v>
      </c>
      <c r="F1099" s="4" t="s">
        <v>27</v>
      </c>
      <c r="G1099" s="4" t="s">
        <v>35</v>
      </c>
      <c r="H1099" s="4">
        <v>2</v>
      </c>
      <c r="I1099" s="4">
        <v>8</v>
      </c>
      <c r="J1099" s="1">
        <v>45510</v>
      </c>
      <c r="K1099" s="2">
        <v>3.0614583333333334E-2</v>
      </c>
      <c r="M1099" s="4" t="str">
        <f t="shared" si="51"/>
        <v>LOW</v>
      </c>
      <c r="N1099" s="4" t="str" cm="1">
        <f t="array" ref="N1099">_xlfn.IFS(C1099&gt;35,"HIGH",C1099&gt;25,"MIDDLE",TRUE,"LOW")</f>
        <v>MIDDLE</v>
      </c>
      <c r="O1099" s="4" t="str">
        <f t="shared" si="52"/>
        <v>OTHERS</v>
      </c>
      <c r="P1099" s="4" t="str">
        <f t="shared" si="53"/>
        <v>OTHERS</v>
      </c>
    </row>
    <row r="1100" spans="1:16" x14ac:dyDescent="0.3">
      <c r="A1100" s="4">
        <v>19</v>
      </c>
      <c r="B1100" t="s">
        <v>11</v>
      </c>
      <c r="C1100" s="4">
        <v>32.82</v>
      </c>
      <c r="D1100" t="s">
        <v>12</v>
      </c>
      <c r="E1100" t="s">
        <v>20</v>
      </c>
      <c r="F1100" s="4" t="s">
        <v>27</v>
      </c>
      <c r="G1100" s="4" t="s">
        <v>35</v>
      </c>
      <c r="H1100" s="4">
        <v>2</v>
      </c>
      <c r="I1100" s="4">
        <v>8</v>
      </c>
      <c r="J1100" s="1">
        <v>45510</v>
      </c>
      <c r="K1100" s="2">
        <v>2.8298611111111111E-3</v>
      </c>
      <c r="M1100" s="4" t="str">
        <f t="shared" si="51"/>
        <v>LOW</v>
      </c>
      <c r="N1100" s="4" t="str" cm="1">
        <f t="array" ref="N1100">_xlfn.IFS(C1100&gt;35,"HIGH",C1100&gt;25,"MIDDLE",TRUE,"LOW")</f>
        <v>MIDDLE</v>
      </c>
      <c r="O1100" s="4" t="str">
        <f t="shared" si="52"/>
        <v>OTHERS</v>
      </c>
      <c r="P1100" s="4" t="str">
        <f t="shared" si="53"/>
        <v>OTHERS</v>
      </c>
    </row>
    <row r="1101" spans="1:16" x14ac:dyDescent="0.3">
      <c r="A1101" s="4">
        <v>19</v>
      </c>
      <c r="B1101" t="s">
        <v>11</v>
      </c>
      <c r="C1101" s="4">
        <v>27.92</v>
      </c>
      <c r="D1101" t="s">
        <v>19</v>
      </c>
      <c r="E1101" t="s">
        <v>20</v>
      </c>
      <c r="F1101" s="4" t="s">
        <v>27</v>
      </c>
      <c r="G1101" s="4" t="s">
        <v>35</v>
      </c>
      <c r="H1101" s="4">
        <v>2</v>
      </c>
      <c r="I1101" s="4">
        <v>8</v>
      </c>
      <c r="J1101" s="1">
        <v>45510</v>
      </c>
      <c r="K1101" s="2">
        <v>3.7395833333333335E-3</v>
      </c>
      <c r="M1101" s="4" t="str">
        <f t="shared" si="51"/>
        <v>LOW</v>
      </c>
      <c r="N1101" s="4" t="str" cm="1">
        <f t="array" ref="N1101">_xlfn.IFS(C1101&gt;35,"HIGH",C1101&gt;25,"MIDDLE",TRUE,"LOW")</f>
        <v>MIDDLE</v>
      </c>
      <c r="O1101" s="4" t="str">
        <f t="shared" si="52"/>
        <v>OTHERS</v>
      </c>
      <c r="P1101" s="4" t="str">
        <f t="shared" si="53"/>
        <v>OTHERS</v>
      </c>
    </row>
    <row r="1102" spans="1:16" x14ac:dyDescent="0.3">
      <c r="A1102" s="4">
        <v>20</v>
      </c>
      <c r="B1102" t="s">
        <v>11</v>
      </c>
      <c r="C1102" s="4">
        <v>32.82</v>
      </c>
      <c r="D1102" t="s">
        <v>12</v>
      </c>
      <c r="E1102" t="s">
        <v>20</v>
      </c>
      <c r="F1102" s="4" t="s">
        <v>27</v>
      </c>
      <c r="G1102" s="4" t="s">
        <v>35</v>
      </c>
      <c r="H1102" s="4">
        <v>2</v>
      </c>
      <c r="I1102" s="4">
        <v>8</v>
      </c>
      <c r="J1102" s="1">
        <v>45510</v>
      </c>
      <c r="K1102" s="2">
        <v>3.0914351851851853E-3</v>
      </c>
      <c r="M1102" s="4" t="str">
        <f t="shared" si="51"/>
        <v>LOW</v>
      </c>
      <c r="N1102" s="4" t="str" cm="1">
        <f t="array" ref="N1102">_xlfn.IFS(C1102&gt;35,"HIGH",C1102&gt;25,"MIDDLE",TRUE,"LOW")</f>
        <v>MIDDLE</v>
      </c>
      <c r="O1102" s="4" t="str">
        <f t="shared" si="52"/>
        <v>OTHERS</v>
      </c>
      <c r="P1102" s="4" t="str">
        <f t="shared" si="53"/>
        <v>OTHERS</v>
      </c>
    </row>
    <row r="1103" spans="1:16" x14ac:dyDescent="0.3">
      <c r="A1103" s="4">
        <v>8</v>
      </c>
      <c r="B1103" t="s">
        <v>11</v>
      </c>
      <c r="C1103" s="4">
        <v>27.92</v>
      </c>
      <c r="D1103" t="s">
        <v>19</v>
      </c>
      <c r="E1103" t="s">
        <v>13</v>
      </c>
      <c r="F1103" s="4" t="s">
        <v>28</v>
      </c>
      <c r="G1103" s="4" t="s">
        <v>35</v>
      </c>
      <c r="H1103" s="4">
        <v>3</v>
      </c>
      <c r="I1103" s="4">
        <v>8</v>
      </c>
      <c r="J1103" s="1">
        <v>45511</v>
      </c>
      <c r="K1103" s="2">
        <v>3.875578703703704E-2</v>
      </c>
      <c r="M1103" s="4" t="str">
        <f t="shared" si="51"/>
        <v>LOW</v>
      </c>
      <c r="N1103" s="4" t="str" cm="1">
        <f t="array" ref="N1103">_xlfn.IFS(C1103&gt;35,"HIGH",C1103&gt;25,"MIDDLE",TRUE,"LOW")</f>
        <v>MIDDLE</v>
      </c>
      <c r="O1103" s="4" t="str">
        <f t="shared" si="52"/>
        <v>OTHERS</v>
      </c>
      <c r="P1103" s="4" t="str">
        <f t="shared" si="53"/>
        <v>PREMINUM MORNING</v>
      </c>
    </row>
    <row r="1104" spans="1:16" x14ac:dyDescent="0.3">
      <c r="A1104" s="4">
        <v>12</v>
      </c>
      <c r="B1104" t="s">
        <v>11</v>
      </c>
      <c r="C1104" s="4">
        <v>23.02</v>
      </c>
      <c r="D1104" t="s">
        <v>18</v>
      </c>
      <c r="E1104" t="s">
        <v>17</v>
      </c>
      <c r="F1104" s="4" t="s">
        <v>28</v>
      </c>
      <c r="G1104" s="4" t="s">
        <v>35</v>
      </c>
      <c r="H1104" s="4">
        <v>3</v>
      </c>
      <c r="I1104" s="4">
        <v>8</v>
      </c>
      <c r="J1104" s="1">
        <v>45511</v>
      </c>
      <c r="K1104" s="2">
        <v>8.6435185185185174E-3</v>
      </c>
      <c r="M1104" s="4" t="str">
        <f t="shared" si="51"/>
        <v>LOW</v>
      </c>
      <c r="N1104" s="4" t="str" cm="1">
        <f t="array" ref="N1104">_xlfn.IFS(C1104&gt;35,"HIGH",C1104&gt;25,"MIDDLE",TRUE,"LOW")</f>
        <v>LOW</v>
      </c>
      <c r="O1104" s="4" t="str">
        <f t="shared" si="52"/>
        <v>OTHERS</v>
      </c>
      <c r="P1104" s="4" t="str">
        <f t="shared" si="53"/>
        <v>OTHERS</v>
      </c>
    </row>
    <row r="1105" spans="1:16" x14ac:dyDescent="0.3">
      <c r="A1105" s="4">
        <v>12</v>
      </c>
      <c r="B1105" t="s">
        <v>11</v>
      </c>
      <c r="C1105" s="4">
        <v>23.02</v>
      </c>
      <c r="D1105" t="s">
        <v>18</v>
      </c>
      <c r="E1105" t="s">
        <v>17</v>
      </c>
      <c r="F1105" s="4" t="s">
        <v>28</v>
      </c>
      <c r="G1105" s="4" t="s">
        <v>35</v>
      </c>
      <c r="H1105" s="4">
        <v>3</v>
      </c>
      <c r="I1105" s="4">
        <v>8</v>
      </c>
      <c r="J1105" s="1">
        <v>45511</v>
      </c>
      <c r="K1105" s="2">
        <v>9.4988425925925934E-3</v>
      </c>
      <c r="M1105" s="4" t="str">
        <f t="shared" si="51"/>
        <v>LOW</v>
      </c>
      <c r="N1105" s="4" t="str" cm="1">
        <f t="array" ref="N1105">_xlfn.IFS(C1105&gt;35,"HIGH",C1105&gt;25,"MIDDLE",TRUE,"LOW")</f>
        <v>LOW</v>
      </c>
      <c r="O1105" s="4" t="str">
        <f t="shared" si="52"/>
        <v>OTHERS</v>
      </c>
      <c r="P1105" s="4" t="str">
        <f t="shared" si="53"/>
        <v>OTHERS</v>
      </c>
    </row>
    <row r="1106" spans="1:16" x14ac:dyDescent="0.3">
      <c r="A1106" s="4">
        <v>13</v>
      </c>
      <c r="B1106" t="s">
        <v>11</v>
      </c>
      <c r="C1106" s="4">
        <v>18.12</v>
      </c>
      <c r="D1106" t="s">
        <v>26</v>
      </c>
      <c r="E1106" t="s">
        <v>17</v>
      </c>
      <c r="F1106" s="4" t="s">
        <v>28</v>
      </c>
      <c r="G1106" s="4" t="s">
        <v>35</v>
      </c>
      <c r="H1106" s="4">
        <v>3</v>
      </c>
      <c r="I1106" s="4">
        <v>8</v>
      </c>
      <c r="J1106" s="1">
        <v>45511</v>
      </c>
      <c r="K1106" s="2">
        <v>7.8263888888888897E-3</v>
      </c>
      <c r="M1106" s="4" t="str">
        <f t="shared" si="51"/>
        <v>LOW</v>
      </c>
      <c r="N1106" s="4" t="str" cm="1">
        <f t="array" ref="N1106">_xlfn.IFS(C1106&gt;35,"HIGH",C1106&gt;25,"MIDDLE",TRUE,"LOW")</f>
        <v>LOW</v>
      </c>
      <c r="O1106" s="4" t="str">
        <f t="shared" si="52"/>
        <v>OTHERS</v>
      </c>
      <c r="P1106" s="4" t="str">
        <f t="shared" si="53"/>
        <v>OTHERS</v>
      </c>
    </row>
    <row r="1107" spans="1:16" x14ac:dyDescent="0.3">
      <c r="A1107" s="4">
        <v>16</v>
      </c>
      <c r="B1107" t="s">
        <v>11</v>
      </c>
      <c r="C1107" s="4">
        <v>23.02</v>
      </c>
      <c r="D1107" t="s">
        <v>18</v>
      </c>
      <c r="E1107" t="s">
        <v>17</v>
      </c>
      <c r="F1107" s="4" t="s">
        <v>28</v>
      </c>
      <c r="G1107" s="4" t="s">
        <v>35</v>
      </c>
      <c r="H1107" s="4">
        <v>3</v>
      </c>
      <c r="I1107" s="4">
        <v>8</v>
      </c>
      <c r="J1107" s="1">
        <v>45511</v>
      </c>
      <c r="K1107" s="2">
        <v>1.3214120370370371E-2</v>
      </c>
      <c r="M1107" s="4" t="str">
        <f t="shared" si="51"/>
        <v>LOW</v>
      </c>
      <c r="N1107" s="4" t="str" cm="1">
        <f t="array" ref="N1107">_xlfn.IFS(C1107&gt;35,"HIGH",C1107&gt;25,"MIDDLE",TRUE,"LOW")</f>
        <v>LOW</v>
      </c>
      <c r="O1107" s="4" t="str">
        <f t="shared" si="52"/>
        <v>OTHERS</v>
      </c>
      <c r="P1107" s="4" t="str">
        <f t="shared" si="53"/>
        <v>OTHERS</v>
      </c>
    </row>
    <row r="1108" spans="1:16" x14ac:dyDescent="0.3">
      <c r="A1108" s="4">
        <v>19</v>
      </c>
      <c r="B1108" t="s">
        <v>11</v>
      </c>
      <c r="C1108" s="4">
        <v>32.82</v>
      </c>
      <c r="D1108" t="s">
        <v>12</v>
      </c>
      <c r="E1108" t="s">
        <v>20</v>
      </c>
      <c r="F1108" s="4" t="s">
        <v>28</v>
      </c>
      <c r="G1108" s="4" t="s">
        <v>35</v>
      </c>
      <c r="H1108" s="4">
        <v>3</v>
      </c>
      <c r="I1108" s="4">
        <v>8</v>
      </c>
      <c r="J1108" s="1">
        <v>45511</v>
      </c>
      <c r="K1108" s="2">
        <v>2.526273148148148E-2</v>
      </c>
      <c r="M1108" s="4" t="str">
        <f t="shared" si="51"/>
        <v>LOW</v>
      </c>
      <c r="N1108" s="4" t="str" cm="1">
        <f t="array" ref="N1108">_xlfn.IFS(C1108&gt;35,"HIGH",C1108&gt;25,"MIDDLE",TRUE,"LOW")</f>
        <v>MIDDLE</v>
      </c>
      <c r="O1108" s="4" t="str">
        <f t="shared" si="52"/>
        <v>OTHERS</v>
      </c>
      <c r="P1108" s="4" t="str">
        <f t="shared" si="53"/>
        <v>OTHERS</v>
      </c>
    </row>
    <row r="1109" spans="1:16" x14ac:dyDescent="0.3">
      <c r="A1109" s="4">
        <v>20</v>
      </c>
      <c r="B1109" t="s">
        <v>11</v>
      </c>
      <c r="C1109" s="4">
        <v>32.82</v>
      </c>
      <c r="D1109" t="s">
        <v>21</v>
      </c>
      <c r="E1109" t="s">
        <v>20</v>
      </c>
      <c r="F1109" s="4" t="s">
        <v>28</v>
      </c>
      <c r="G1109" s="4" t="s">
        <v>35</v>
      </c>
      <c r="H1109" s="4">
        <v>3</v>
      </c>
      <c r="I1109" s="4">
        <v>8</v>
      </c>
      <c r="J1109" s="1">
        <v>45511</v>
      </c>
      <c r="K1109" s="2">
        <v>2.7885416666666669E-2</v>
      </c>
      <c r="M1109" s="4" t="str">
        <f t="shared" si="51"/>
        <v>LOW</v>
      </c>
      <c r="N1109" s="4" t="str" cm="1">
        <f t="array" ref="N1109">_xlfn.IFS(C1109&gt;35,"HIGH",C1109&gt;25,"MIDDLE",TRUE,"LOW")</f>
        <v>MIDDLE</v>
      </c>
      <c r="O1109" s="4" t="str">
        <f t="shared" si="52"/>
        <v>OTHERS</v>
      </c>
      <c r="P1109" s="4" t="str">
        <f t="shared" si="53"/>
        <v>OTHERS</v>
      </c>
    </row>
    <row r="1110" spans="1:16" x14ac:dyDescent="0.3">
      <c r="A1110" s="4">
        <v>21</v>
      </c>
      <c r="B1110" t="s">
        <v>11</v>
      </c>
      <c r="C1110" s="4">
        <v>32.82</v>
      </c>
      <c r="D1110" t="s">
        <v>29</v>
      </c>
      <c r="E1110" t="s">
        <v>20</v>
      </c>
      <c r="F1110" s="4" t="s">
        <v>28</v>
      </c>
      <c r="G1110" s="4" t="s">
        <v>35</v>
      </c>
      <c r="H1110" s="4">
        <v>3</v>
      </c>
      <c r="I1110" s="4">
        <v>8</v>
      </c>
      <c r="J1110" s="1">
        <v>45511</v>
      </c>
      <c r="K1110" s="2">
        <v>1.2638888888888889E-2</v>
      </c>
      <c r="M1110" s="4" t="str">
        <f t="shared" si="51"/>
        <v>LOW</v>
      </c>
      <c r="N1110" s="4" t="str" cm="1">
        <f t="array" ref="N1110">_xlfn.IFS(C1110&gt;35,"HIGH",C1110&gt;25,"MIDDLE",TRUE,"LOW")</f>
        <v>MIDDLE</v>
      </c>
      <c r="O1110" s="4" t="str">
        <f t="shared" si="52"/>
        <v>OTHERS</v>
      </c>
      <c r="P1110" s="4" t="str">
        <f t="shared" si="53"/>
        <v>OTHERS</v>
      </c>
    </row>
    <row r="1111" spans="1:16" x14ac:dyDescent="0.3">
      <c r="A1111" s="4">
        <v>22</v>
      </c>
      <c r="B1111" t="s">
        <v>11</v>
      </c>
      <c r="C1111" s="4">
        <v>32.82</v>
      </c>
      <c r="D1111" t="s">
        <v>12</v>
      </c>
      <c r="E1111" t="s">
        <v>20</v>
      </c>
      <c r="F1111" s="4" t="s">
        <v>28</v>
      </c>
      <c r="G1111" s="4" t="s">
        <v>35</v>
      </c>
      <c r="H1111" s="4">
        <v>3</v>
      </c>
      <c r="I1111" s="4">
        <v>8</v>
      </c>
      <c r="J1111" s="1">
        <v>45511</v>
      </c>
      <c r="K1111" s="2">
        <v>2.0100694444444445E-2</v>
      </c>
      <c r="M1111" s="4" t="str">
        <f t="shared" si="51"/>
        <v>LOW</v>
      </c>
      <c r="N1111" s="4" t="str" cm="1">
        <f t="array" ref="N1111">_xlfn.IFS(C1111&gt;35,"HIGH",C1111&gt;25,"MIDDLE",TRUE,"LOW")</f>
        <v>MIDDLE</v>
      </c>
      <c r="O1111" s="4" t="str">
        <f t="shared" si="52"/>
        <v>OTHERS</v>
      </c>
      <c r="P1111" s="4" t="str">
        <f t="shared" si="53"/>
        <v>OTHERS</v>
      </c>
    </row>
    <row r="1112" spans="1:16" x14ac:dyDescent="0.3">
      <c r="A1112" s="4">
        <v>22</v>
      </c>
      <c r="B1112" t="s">
        <v>11</v>
      </c>
      <c r="C1112" s="4">
        <v>32.82</v>
      </c>
      <c r="D1112" t="s">
        <v>12</v>
      </c>
      <c r="E1112" t="s">
        <v>20</v>
      </c>
      <c r="F1112" s="4" t="s">
        <v>28</v>
      </c>
      <c r="G1112" s="4" t="s">
        <v>35</v>
      </c>
      <c r="H1112" s="4">
        <v>3</v>
      </c>
      <c r="I1112" s="4">
        <v>8</v>
      </c>
      <c r="J1112" s="1">
        <v>45511</v>
      </c>
      <c r="K1112" s="2">
        <v>2.2407407407407407E-2</v>
      </c>
      <c r="M1112" s="4" t="str">
        <f t="shared" si="51"/>
        <v>LOW</v>
      </c>
      <c r="N1112" s="4" t="str" cm="1">
        <f t="array" ref="N1112">_xlfn.IFS(C1112&gt;35,"HIGH",C1112&gt;25,"MIDDLE",TRUE,"LOW")</f>
        <v>MIDDLE</v>
      </c>
      <c r="O1112" s="4" t="str">
        <f t="shared" si="52"/>
        <v>OTHERS</v>
      </c>
      <c r="P1112" s="4" t="str">
        <f t="shared" si="53"/>
        <v>OTHERS</v>
      </c>
    </row>
    <row r="1113" spans="1:16" x14ac:dyDescent="0.3">
      <c r="A1113" s="4">
        <v>8</v>
      </c>
      <c r="B1113" t="s">
        <v>11</v>
      </c>
      <c r="C1113" s="4">
        <v>18.12</v>
      </c>
      <c r="D1113" t="s">
        <v>26</v>
      </c>
      <c r="E1113" t="s">
        <v>13</v>
      </c>
      <c r="F1113" s="4" t="s">
        <v>30</v>
      </c>
      <c r="G1113" s="4" t="s">
        <v>35</v>
      </c>
      <c r="H1113" s="4">
        <v>4</v>
      </c>
      <c r="I1113" s="4">
        <v>8</v>
      </c>
      <c r="J1113" s="1">
        <v>45512</v>
      </c>
      <c r="K1113" s="2">
        <v>3.236342592592592E-2</v>
      </c>
      <c r="M1113" s="4" t="str">
        <f t="shared" si="51"/>
        <v>LOW</v>
      </c>
      <c r="N1113" s="4" t="str" cm="1">
        <f t="array" ref="N1113">_xlfn.IFS(C1113&gt;35,"HIGH",C1113&gt;25,"MIDDLE",TRUE,"LOW")</f>
        <v>LOW</v>
      </c>
      <c r="O1113" s="4" t="str">
        <f t="shared" si="52"/>
        <v>OTHERS</v>
      </c>
      <c r="P1113" s="4" t="str">
        <f t="shared" si="53"/>
        <v>PREMINUM MORNING</v>
      </c>
    </row>
    <row r="1114" spans="1:16" x14ac:dyDescent="0.3">
      <c r="A1114" s="4">
        <v>8</v>
      </c>
      <c r="B1114" t="s">
        <v>11</v>
      </c>
      <c r="C1114" s="4">
        <v>23.02</v>
      </c>
      <c r="D1114" t="s">
        <v>24</v>
      </c>
      <c r="E1114" t="s">
        <v>13</v>
      </c>
      <c r="F1114" s="4" t="s">
        <v>30</v>
      </c>
      <c r="G1114" s="4" t="s">
        <v>35</v>
      </c>
      <c r="H1114" s="4">
        <v>4</v>
      </c>
      <c r="I1114" s="4">
        <v>8</v>
      </c>
      <c r="J1114" s="1">
        <v>45512</v>
      </c>
      <c r="K1114" s="2">
        <v>3.2971064814814814E-2</v>
      </c>
      <c r="M1114" s="4" t="str">
        <f t="shared" si="51"/>
        <v>LOW</v>
      </c>
      <c r="N1114" s="4" t="str" cm="1">
        <f t="array" ref="N1114">_xlfn.IFS(C1114&gt;35,"HIGH",C1114&gt;25,"MIDDLE",TRUE,"LOW")</f>
        <v>LOW</v>
      </c>
      <c r="O1114" s="4" t="str">
        <f t="shared" si="52"/>
        <v>OTHERS</v>
      </c>
      <c r="P1114" s="4" t="str">
        <f t="shared" si="53"/>
        <v>PREMINUM MORNING</v>
      </c>
    </row>
    <row r="1115" spans="1:16" x14ac:dyDescent="0.3">
      <c r="A1115" s="4">
        <v>12</v>
      </c>
      <c r="B1115" t="s">
        <v>11</v>
      </c>
      <c r="C1115" s="4">
        <v>27.92</v>
      </c>
      <c r="D1115" t="s">
        <v>19</v>
      </c>
      <c r="E1115" t="s">
        <v>17</v>
      </c>
      <c r="F1115" s="4" t="s">
        <v>30</v>
      </c>
      <c r="G1115" s="4" t="s">
        <v>35</v>
      </c>
      <c r="H1115" s="4">
        <v>4</v>
      </c>
      <c r="I1115" s="4">
        <v>8</v>
      </c>
      <c r="J1115" s="1">
        <v>45512</v>
      </c>
      <c r="K1115" s="2">
        <v>1.8812499999999999E-2</v>
      </c>
      <c r="M1115" s="4" t="str">
        <f t="shared" si="51"/>
        <v>LOW</v>
      </c>
      <c r="N1115" s="4" t="str" cm="1">
        <f t="array" ref="N1115">_xlfn.IFS(C1115&gt;35,"HIGH",C1115&gt;25,"MIDDLE",TRUE,"LOW")</f>
        <v>MIDDLE</v>
      </c>
      <c r="O1115" s="4" t="str">
        <f t="shared" si="52"/>
        <v>OTHERS</v>
      </c>
      <c r="P1115" s="4" t="str">
        <f t="shared" si="53"/>
        <v>OTHERS</v>
      </c>
    </row>
    <row r="1116" spans="1:16" x14ac:dyDescent="0.3">
      <c r="A1116" s="4">
        <v>12</v>
      </c>
      <c r="B1116" t="s">
        <v>11</v>
      </c>
      <c r="C1116" s="4">
        <v>23.02</v>
      </c>
      <c r="D1116" t="s">
        <v>24</v>
      </c>
      <c r="E1116" t="s">
        <v>17</v>
      </c>
      <c r="F1116" s="4" t="s">
        <v>30</v>
      </c>
      <c r="G1116" s="4" t="s">
        <v>35</v>
      </c>
      <c r="H1116" s="4">
        <v>4</v>
      </c>
      <c r="I1116" s="4">
        <v>8</v>
      </c>
      <c r="J1116" s="1">
        <v>45512</v>
      </c>
      <c r="K1116" s="2">
        <v>3.0087962962962962E-2</v>
      </c>
      <c r="M1116" s="4" t="str">
        <f t="shared" si="51"/>
        <v>LOW</v>
      </c>
      <c r="N1116" s="4" t="str" cm="1">
        <f t="array" ref="N1116">_xlfn.IFS(C1116&gt;35,"HIGH",C1116&gt;25,"MIDDLE",TRUE,"LOW")</f>
        <v>LOW</v>
      </c>
      <c r="O1116" s="4" t="str">
        <f t="shared" si="52"/>
        <v>OTHERS</v>
      </c>
      <c r="P1116" s="4" t="str">
        <f t="shared" si="53"/>
        <v>OTHERS</v>
      </c>
    </row>
    <row r="1117" spans="1:16" x14ac:dyDescent="0.3">
      <c r="A1117" s="4">
        <v>12</v>
      </c>
      <c r="B1117" t="s">
        <v>11</v>
      </c>
      <c r="C1117" s="4">
        <v>23.02</v>
      </c>
      <c r="D1117" t="s">
        <v>24</v>
      </c>
      <c r="E1117" t="s">
        <v>17</v>
      </c>
      <c r="F1117" s="4" t="s">
        <v>30</v>
      </c>
      <c r="G1117" s="4" t="s">
        <v>35</v>
      </c>
      <c r="H1117" s="4">
        <v>4</v>
      </c>
      <c r="I1117" s="4">
        <v>8</v>
      </c>
      <c r="J1117" s="1">
        <v>45512</v>
      </c>
      <c r="K1117" s="2">
        <v>3.0729166666666665E-2</v>
      </c>
      <c r="M1117" s="4" t="str">
        <f t="shared" si="51"/>
        <v>LOW</v>
      </c>
      <c r="N1117" s="4" t="str" cm="1">
        <f t="array" ref="N1117">_xlfn.IFS(C1117&gt;35,"HIGH",C1117&gt;25,"MIDDLE",TRUE,"LOW")</f>
        <v>LOW</v>
      </c>
      <c r="O1117" s="4" t="str">
        <f t="shared" si="52"/>
        <v>OTHERS</v>
      </c>
      <c r="P1117" s="4" t="str">
        <f t="shared" si="53"/>
        <v>OTHERS</v>
      </c>
    </row>
    <row r="1118" spans="1:16" x14ac:dyDescent="0.3">
      <c r="A1118" s="4">
        <v>16</v>
      </c>
      <c r="B1118" t="s">
        <v>11</v>
      </c>
      <c r="C1118" s="4">
        <v>32.82</v>
      </c>
      <c r="D1118" t="s">
        <v>29</v>
      </c>
      <c r="E1118" t="s">
        <v>17</v>
      </c>
      <c r="F1118" s="4" t="s">
        <v>30</v>
      </c>
      <c r="G1118" s="4" t="s">
        <v>35</v>
      </c>
      <c r="H1118" s="4">
        <v>4</v>
      </c>
      <c r="I1118" s="4">
        <v>8</v>
      </c>
      <c r="J1118" s="1">
        <v>45512</v>
      </c>
      <c r="K1118" s="2">
        <v>4.0200231481481483E-2</v>
      </c>
      <c r="M1118" s="4" t="str">
        <f t="shared" si="51"/>
        <v>LOW</v>
      </c>
      <c r="N1118" s="4" t="str" cm="1">
        <f t="array" ref="N1118">_xlfn.IFS(C1118&gt;35,"HIGH",C1118&gt;25,"MIDDLE",TRUE,"LOW")</f>
        <v>MIDDLE</v>
      </c>
      <c r="O1118" s="4" t="str">
        <f t="shared" si="52"/>
        <v>OTHERS</v>
      </c>
      <c r="P1118" s="4" t="str">
        <f t="shared" si="53"/>
        <v>OTHERS</v>
      </c>
    </row>
    <row r="1119" spans="1:16" x14ac:dyDescent="0.3">
      <c r="A1119" s="4">
        <v>17</v>
      </c>
      <c r="B1119" t="s">
        <v>11</v>
      </c>
      <c r="C1119" s="4">
        <v>32.82</v>
      </c>
      <c r="D1119" t="s">
        <v>29</v>
      </c>
      <c r="E1119" t="s">
        <v>20</v>
      </c>
      <c r="F1119" s="4" t="s">
        <v>30</v>
      </c>
      <c r="G1119" s="4" t="s">
        <v>35</v>
      </c>
      <c r="H1119" s="4">
        <v>4</v>
      </c>
      <c r="I1119" s="4">
        <v>8</v>
      </c>
      <c r="J1119" s="1">
        <v>45512</v>
      </c>
      <c r="K1119" s="2">
        <v>1.2403935185185186E-2</v>
      </c>
      <c r="M1119" s="4" t="str">
        <f t="shared" si="51"/>
        <v>LOW</v>
      </c>
      <c r="N1119" s="4" t="str" cm="1">
        <f t="array" ref="N1119">_xlfn.IFS(C1119&gt;35,"HIGH",C1119&gt;25,"MIDDLE",TRUE,"LOW")</f>
        <v>MIDDLE</v>
      </c>
      <c r="O1119" s="4" t="str">
        <f t="shared" si="52"/>
        <v>OTHERS</v>
      </c>
      <c r="P1119" s="4" t="str">
        <f t="shared" si="53"/>
        <v>OTHERS</v>
      </c>
    </row>
    <row r="1120" spans="1:16" x14ac:dyDescent="0.3">
      <c r="A1120" s="4">
        <v>21</v>
      </c>
      <c r="B1120" t="s">
        <v>11</v>
      </c>
      <c r="C1120" s="4">
        <v>27.92</v>
      </c>
      <c r="D1120" t="s">
        <v>19</v>
      </c>
      <c r="E1120" t="s">
        <v>20</v>
      </c>
      <c r="F1120" s="4" t="s">
        <v>30</v>
      </c>
      <c r="G1120" s="4" t="s">
        <v>35</v>
      </c>
      <c r="H1120" s="4">
        <v>4</v>
      </c>
      <c r="I1120" s="4">
        <v>8</v>
      </c>
      <c r="J1120" s="1">
        <v>45512</v>
      </c>
      <c r="K1120" s="2">
        <v>1.8047453703703704E-2</v>
      </c>
      <c r="M1120" s="4" t="str">
        <f t="shared" si="51"/>
        <v>LOW</v>
      </c>
      <c r="N1120" s="4" t="str" cm="1">
        <f t="array" ref="N1120">_xlfn.IFS(C1120&gt;35,"HIGH",C1120&gt;25,"MIDDLE",TRUE,"LOW")</f>
        <v>MIDDLE</v>
      </c>
      <c r="O1120" s="4" t="str">
        <f t="shared" si="52"/>
        <v>OTHERS</v>
      </c>
      <c r="P1120" s="4" t="str">
        <f t="shared" si="53"/>
        <v>OTHERS</v>
      </c>
    </row>
    <row r="1121" spans="1:16" x14ac:dyDescent="0.3">
      <c r="A1121" s="4">
        <v>7</v>
      </c>
      <c r="B1121" t="s">
        <v>11</v>
      </c>
      <c r="C1121" s="4">
        <v>32.82</v>
      </c>
      <c r="D1121" t="s">
        <v>12</v>
      </c>
      <c r="E1121" t="s">
        <v>13</v>
      </c>
      <c r="F1121" s="4" t="s">
        <v>14</v>
      </c>
      <c r="G1121" s="4" t="s">
        <v>35</v>
      </c>
      <c r="H1121" s="4">
        <v>5</v>
      </c>
      <c r="I1121" s="4">
        <v>8</v>
      </c>
      <c r="J1121" s="1">
        <v>45513</v>
      </c>
      <c r="K1121" s="2">
        <v>2.4563657407407409E-2</v>
      </c>
      <c r="M1121" s="4" t="str">
        <f t="shared" si="51"/>
        <v>LOW</v>
      </c>
      <c r="N1121" s="4" t="str" cm="1">
        <f t="array" ref="N1121">_xlfn.IFS(C1121&gt;35,"HIGH",C1121&gt;25,"MIDDLE",TRUE,"LOW")</f>
        <v>MIDDLE</v>
      </c>
      <c r="O1121" s="4" t="str">
        <f t="shared" si="52"/>
        <v>OTHERS</v>
      </c>
      <c r="P1121" s="4" t="str">
        <f t="shared" si="53"/>
        <v>PREMINUM MORNING</v>
      </c>
    </row>
    <row r="1122" spans="1:16" x14ac:dyDescent="0.3">
      <c r="A1122" s="4">
        <v>9</v>
      </c>
      <c r="B1122" t="s">
        <v>11</v>
      </c>
      <c r="C1122" s="4">
        <v>23.02</v>
      </c>
      <c r="D1122" t="s">
        <v>18</v>
      </c>
      <c r="E1122" t="s">
        <v>13</v>
      </c>
      <c r="F1122" s="4" t="s">
        <v>14</v>
      </c>
      <c r="G1122" s="4" t="s">
        <v>35</v>
      </c>
      <c r="H1122" s="4">
        <v>5</v>
      </c>
      <c r="I1122" s="4">
        <v>8</v>
      </c>
      <c r="J1122" s="1">
        <v>45513</v>
      </c>
      <c r="K1122" s="2">
        <v>3.720601851851852E-2</v>
      </c>
      <c r="M1122" s="4" t="str">
        <f t="shared" si="51"/>
        <v>LOW</v>
      </c>
      <c r="N1122" s="4" t="str" cm="1">
        <f t="array" ref="N1122">_xlfn.IFS(C1122&gt;35,"HIGH",C1122&gt;25,"MIDDLE",TRUE,"LOW")</f>
        <v>LOW</v>
      </c>
      <c r="O1122" s="4" t="str">
        <f t="shared" si="52"/>
        <v>OTHERS</v>
      </c>
      <c r="P1122" s="4" t="str">
        <f t="shared" si="53"/>
        <v>PREMINUM MORNING</v>
      </c>
    </row>
    <row r="1123" spans="1:16" x14ac:dyDescent="0.3">
      <c r="A1123" s="4">
        <v>10</v>
      </c>
      <c r="B1123" t="s">
        <v>11</v>
      </c>
      <c r="C1123" s="4">
        <v>23.02</v>
      </c>
      <c r="D1123" t="s">
        <v>24</v>
      </c>
      <c r="E1123" t="s">
        <v>13</v>
      </c>
      <c r="F1123" s="4" t="s">
        <v>14</v>
      </c>
      <c r="G1123" s="4" t="s">
        <v>35</v>
      </c>
      <c r="H1123" s="4">
        <v>5</v>
      </c>
      <c r="I1123" s="4">
        <v>8</v>
      </c>
      <c r="J1123" s="1">
        <v>45513</v>
      </c>
      <c r="K1123" s="2">
        <v>9.1145833333333339E-3</v>
      </c>
      <c r="M1123" s="4" t="str">
        <f t="shared" si="51"/>
        <v>LOW</v>
      </c>
      <c r="N1123" s="4" t="str" cm="1">
        <f t="array" ref="N1123">_xlfn.IFS(C1123&gt;35,"HIGH",C1123&gt;25,"MIDDLE",TRUE,"LOW")</f>
        <v>LOW</v>
      </c>
      <c r="O1123" s="4" t="str">
        <f t="shared" si="52"/>
        <v>OTHERS</v>
      </c>
      <c r="P1123" s="4" t="str">
        <f t="shared" si="53"/>
        <v>PREMINUM MORNING</v>
      </c>
    </row>
    <row r="1124" spans="1:16" x14ac:dyDescent="0.3">
      <c r="A1124" s="4">
        <v>10</v>
      </c>
      <c r="B1124" t="s">
        <v>11</v>
      </c>
      <c r="C1124" s="4">
        <v>27.92</v>
      </c>
      <c r="D1124" t="s">
        <v>19</v>
      </c>
      <c r="E1124" t="s">
        <v>13</v>
      </c>
      <c r="F1124" s="4" t="s">
        <v>14</v>
      </c>
      <c r="G1124" s="4" t="s">
        <v>35</v>
      </c>
      <c r="H1124" s="4">
        <v>5</v>
      </c>
      <c r="I1124" s="4">
        <v>8</v>
      </c>
      <c r="J1124" s="1">
        <v>45513</v>
      </c>
      <c r="K1124" s="2">
        <v>1.8601851851851852E-2</v>
      </c>
      <c r="M1124" s="4" t="str">
        <f t="shared" si="51"/>
        <v>LOW</v>
      </c>
      <c r="N1124" s="4" t="str" cm="1">
        <f t="array" ref="N1124">_xlfn.IFS(C1124&gt;35,"HIGH",C1124&gt;25,"MIDDLE",TRUE,"LOW")</f>
        <v>MIDDLE</v>
      </c>
      <c r="O1124" s="4" t="str">
        <f t="shared" si="52"/>
        <v>OTHERS</v>
      </c>
      <c r="P1124" s="4" t="str">
        <f t="shared" si="53"/>
        <v>PREMINUM MORNING</v>
      </c>
    </row>
    <row r="1125" spans="1:16" x14ac:dyDescent="0.3">
      <c r="A1125" s="4">
        <v>11</v>
      </c>
      <c r="B1125" t="s">
        <v>11</v>
      </c>
      <c r="C1125" s="4">
        <v>32.82</v>
      </c>
      <c r="D1125" t="s">
        <v>12</v>
      </c>
      <c r="E1125" t="s">
        <v>13</v>
      </c>
      <c r="F1125" s="4" t="s">
        <v>14</v>
      </c>
      <c r="G1125" s="4" t="s">
        <v>35</v>
      </c>
      <c r="H1125" s="4">
        <v>5</v>
      </c>
      <c r="I1125" s="4">
        <v>8</v>
      </c>
      <c r="J1125" s="1">
        <v>45513</v>
      </c>
      <c r="K1125" s="2">
        <v>1.954513888888889E-2</v>
      </c>
      <c r="M1125" s="4" t="str">
        <f t="shared" si="51"/>
        <v>LOW</v>
      </c>
      <c r="N1125" s="4" t="str" cm="1">
        <f t="array" ref="N1125">_xlfn.IFS(C1125&gt;35,"HIGH",C1125&gt;25,"MIDDLE",TRUE,"LOW")</f>
        <v>MIDDLE</v>
      </c>
      <c r="O1125" s="4" t="str">
        <f t="shared" si="52"/>
        <v>OTHERS</v>
      </c>
      <c r="P1125" s="4" t="str">
        <f t="shared" si="53"/>
        <v>PREMINUM MORNING</v>
      </c>
    </row>
    <row r="1126" spans="1:16" x14ac:dyDescent="0.3">
      <c r="A1126" s="4">
        <v>11</v>
      </c>
      <c r="B1126" t="s">
        <v>11</v>
      </c>
      <c r="C1126" s="4">
        <v>23.02</v>
      </c>
      <c r="D1126" t="s">
        <v>18</v>
      </c>
      <c r="E1126" t="s">
        <v>13</v>
      </c>
      <c r="F1126" s="4" t="s">
        <v>14</v>
      </c>
      <c r="G1126" s="4" t="s">
        <v>35</v>
      </c>
      <c r="H1126" s="4">
        <v>5</v>
      </c>
      <c r="I1126" s="4">
        <v>8</v>
      </c>
      <c r="J1126" s="1">
        <v>45513</v>
      </c>
      <c r="K1126" s="2">
        <v>2.0702546296296295E-2</v>
      </c>
      <c r="M1126" s="4" t="str">
        <f t="shared" si="51"/>
        <v>LOW</v>
      </c>
      <c r="N1126" s="4" t="str" cm="1">
        <f t="array" ref="N1126">_xlfn.IFS(C1126&gt;35,"HIGH",C1126&gt;25,"MIDDLE",TRUE,"LOW")</f>
        <v>LOW</v>
      </c>
      <c r="O1126" s="4" t="str">
        <f t="shared" si="52"/>
        <v>OTHERS</v>
      </c>
      <c r="P1126" s="4" t="str">
        <f t="shared" si="53"/>
        <v>PREMINUM MORNING</v>
      </c>
    </row>
    <row r="1127" spans="1:16" x14ac:dyDescent="0.3">
      <c r="A1127" s="4">
        <v>18</v>
      </c>
      <c r="B1127" t="s">
        <v>11</v>
      </c>
      <c r="C1127" s="4">
        <v>23.02</v>
      </c>
      <c r="D1127" t="s">
        <v>18</v>
      </c>
      <c r="E1127" t="s">
        <v>20</v>
      </c>
      <c r="F1127" s="4" t="s">
        <v>14</v>
      </c>
      <c r="G1127" s="4" t="s">
        <v>35</v>
      </c>
      <c r="H1127" s="4">
        <v>5</v>
      </c>
      <c r="I1127" s="4">
        <v>8</v>
      </c>
      <c r="J1127" s="1">
        <v>45513</v>
      </c>
      <c r="K1127" s="2">
        <v>3.9209490740740739E-2</v>
      </c>
      <c r="M1127" s="4" t="str">
        <f t="shared" si="51"/>
        <v>LOW</v>
      </c>
      <c r="N1127" s="4" t="str" cm="1">
        <f t="array" ref="N1127">_xlfn.IFS(C1127&gt;35,"HIGH",C1127&gt;25,"MIDDLE",TRUE,"LOW")</f>
        <v>LOW</v>
      </c>
      <c r="O1127" s="4" t="str">
        <f t="shared" si="52"/>
        <v>OTHERS</v>
      </c>
      <c r="P1127" s="4" t="str">
        <f t="shared" si="53"/>
        <v>OTHERS</v>
      </c>
    </row>
    <row r="1128" spans="1:16" x14ac:dyDescent="0.3">
      <c r="A1128" s="4">
        <v>19</v>
      </c>
      <c r="B1128" t="s">
        <v>11</v>
      </c>
      <c r="C1128" s="4">
        <v>32.82</v>
      </c>
      <c r="D1128" t="s">
        <v>16</v>
      </c>
      <c r="E1128" t="s">
        <v>20</v>
      </c>
      <c r="F1128" s="4" t="s">
        <v>14</v>
      </c>
      <c r="G1128" s="4" t="s">
        <v>35</v>
      </c>
      <c r="H1128" s="4">
        <v>5</v>
      </c>
      <c r="I1128" s="4">
        <v>8</v>
      </c>
      <c r="J1128" s="1">
        <v>45513</v>
      </c>
      <c r="K1128" s="2">
        <v>2.1597222222222222E-3</v>
      </c>
      <c r="M1128" s="4" t="str">
        <f t="shared" si="51"/>
        <v>LOW</v>
      </c>
      <c r="N1128" s="4" t="str" cm="1">
        <f t="array" ref="N1128">_xlfn.IFS(C1128&gt;35,"HIGH",C1128&gt;25,"MIDDLE",TRUE,"LOW")</f>
        <v>MIDDLE</v>
      </c>
      <c r="O1128" s="4" t="str">
        <f t="shared" si="52"/>
        <v>OTHERS</v>
      </c>
      <c r="P1128" s="4" t="str">
        <f t="shared" si="53"/>
        <v>OTHERS</v>
      </c>
    </row>
    <row r="1129" spans="1:16" x14ac:dyDescent="0.3">
      <c r="A1129" s="4">
        <v>8</v>
      </c>
      <c r="B1129" t="s">
        <v>11</v>
      </c>
      <c r="C1129" s="4">
        <v>32.82</v>
      </c>
      <c r="D1129" t="s">
        <v>29</v>
      </c>
      <c r="E1129" t="s">
        <v>13</v>
      </c>
      <c r="F1129" s="4" t="s">
        <v>22</v>
      </c>
      <c r="G1129" s="4" t="s">
        <v>35</v>
      </c>
      <c r="H1129" s="4">
        <v>6</v>
      </c>
      <c r="I1129" s="4">
        <v>8</v>
      </c>
      <c r="J1129" s="1">
        <v>45514</v>
      </c>
      <c r="K1129" s="2">
        <v>2.5516203703703704E-2</v>
      </c>
      <c r="M1129" s="4" t="str">
        <f t="shared" si="51"/>
        <v>LOW</v>
      </c>
      <c r="N1129" s="4" t="str" cm="1">
        <f t="array" ref="N1129">_xlfn.IFS(C1129&gt;35,"HIGH",C1129&gt;25,"MIDDLE",TRUE,"LOW")</f>
        <v>MIDDLE</v>
      </c>
      <c r="O1129" s="4" t="str">
        <f t="shared" si="52"/>
        <v>OTHERS</v>
      </c>
      <c r="P1129" s="4" t="str">
        <f t="shared" si="53"/>
        <v>PREMINUM MORNING</v>
      </c>
    </row>
    <row r="1130" spans="1:16" x14ac:dyDescent="0.3">
      <c r="A1130" s="4">
        <v>8</v>
      </c>
      <c r="B1130" t="s">
        <v>11</v>
      </c>
      <c r="C1130" s="4">
        <v>27.92</v>
      </c>
      <c r="D1130" t="s">
        <v>19</v>
      </c>
      <c r="E1130" t="s">
        <v>13</v>
      </c>
      <c r="F1130" s="4" t="s">
        <v>22</v>
      </c>
      <c r="G1130" s="4" t="s">
        <v>35</v>
      </c>
      <c r="H1130" s="4">
        <v>6</v>
      </c>
      <c r="I1130" s="4">
        <v>8</v>
      </c>
      <c r="J1130" s="1">
        <v>45514</v>
      </c>
      <c r="K1130" s="2">
        <v>2.6355324074074073E-2</v>
      </c>
      <c r="M1130" s="4" t="str">
        <f t="shared" si="51"/>
        <v>LOW</v>
      </c>
      <c r="N1130" s="4" t="str" cm="1">
        <f t="array" ref="N1130">_xlfn.IFS(C1130&gt;35,"HIGH",C1130&gt;25,"MIDDLE",TRUE,"LOW")</f>
        <v>MIDDLE</v>
      </c>
      <c r="O1130" s="4" t="str">
        <f t="shared" si="52"/>
        <v>OTHERS</v>
      </c>
      <c r="P1130" s="4" t="str">
        <f t="shared" si="53"/>
        <v>PREMINUM MORNING</v>
      </c>
    </row>
    <row r="1131" spans="1:16" x14ac:dyDescent="0.3">
      <c r="A1131" s="4">
        <v>8</v>
      </c>
      <c r="B1131" t="s">
        <v>11</v>
      </c>
      <c r="C1131" s="4">
        <v>23.02</v>
      </c>
      <c r="D1131" t="s">
        <v>24</v>
      </c>
      <c r="E1131" t="s">
        <v>13</v>
      </c>
      <c r="F1131" s="4" t="s">
        <v>22</v>
      </c>
      <c r="G1131" s="4" t="s">
        <v>35</v>
      </c>
      <c r="H1131" s="4">
        <v>6</v>
      </c>
      <c r="I1131" s="4">
        <v>8</v>
      </c>
      <c r="J1131" s="1">
        <v>45514</v>
      </c>
      <c r="K1131" s="2">
        <v>3.1354166666666669E-2</v>
      </c>
      <c r="M1131" s="4" t="str">
        <f t="shared" si="51"/>
        <v>LOW</v>
      </c>
      <c r="N1131" s="4" t="str" cm="1">
        <f t="array" ref="N1131">_xlfn.IFS(C1131&gt;35,"HIGH",C1131&gt;25,"MIDDLE",TRUE,"LOW")</f>
        <v>LOW</v>
      </c>
      <c r="O1131" s="4" t="str">
        <f t="shared" si="52"/>
        <v>OTHERS</v>
      </c>
      <c r="P1131" s="4" t="str">
        <f t="shared" si="53"/>
        <v>PREMINUM MORNING</v>
      </c>
    </row>
    <row r="1132" spans="1:16" x14ac:dyDescent="0.3">
      <c r="A1132" s="4">
        <v>11</v>
      </c>
      <c r="B1132" t="s">
        <v>11</v>
      </c>
      <c r="C1132" s="4">
        <v>23.02</v>
      </c>
      <c r="D1132" t="s">
        <v>24</v>
      </c>
      <c r="E1132" t="s">
        <v>13</v>
      </c>
      <c r="F1132" s="4" t="s">
        <v>22</v>
      </c>
      <c r="G1132" s="4" t="s">
        <v>35</v>
      </c>
      <c r="H1132" s="4">
        <v>6</v>
      </c>
      <c r="I1132" s="4">
        <v>8</v>
      </c>
      <c r="J1132" s="1">
        <v>45514</v>
      </c>
      <c r="K1132" s="2">
        <v>3.6502314814814814E-2</v>
      </c>
      <c r="M1132" s="4" t="str">
        <f t="shared" si="51"/>
        <v>LOW</v>
      </c>
      <c r="N1132" s="4" t="str" cm="1">
        <f t="array" ref="N1132">_xlfn.IFS(C1132&gt;35,"HIGH",C1132&gt;25,"MIDDLE",TRUE,"LOW")</f>
        <v>LOW</v>
      </c>
      <c r="O1132" s="4" t="str">
        <f t="shared" si="52"/>
        <v>OTHERS</v>
      </c>
      <c r="P1132" s="4" t="str">
        <f t="shared" si="53"/>
        <v>PREMINUM MORNING</v>
      </c>
    </row>
    <row r="1133" spans="1:16" x14ac:dyDescent="0.3">
      <c r="A1133" s="4">
        <v>11</v>
      </c>
      <c r="B1133" t="s">
        <v>11</v>
      </c>
      <c r="C1133" s="4">
        <v>23.02</v>
      </c>
      <c r="D1133" t="s">
        <v>18</v>
      </c>
      <c r="E1133" t="s">
        <v>13</v>
      </c>
      <c r="F1133" s="4" t="s">
        <v>22</v>
      </c>
      <c r="G1133" s="4" t="s">
        <v>35</v>
      </c>
      <c r="H1133" s="4">
        <v>6</v>
      </c>
      <c r="I1133" s="4">
        <v>8</v>
      </c>
      <c r="J1133" s="1">
        <v>45514</v>
      </c>
      <c r="K1133" s="2">
        <v>3.7771990740740738E-2</v>
      </c>
      <c r="M1133" s="4" t="str">
        <f t="shared" si="51"/>
        <v>LOW</v>
      </c>
      <c r="N1133" s="4" t="str" cm="1">
        <f t="array" ref="N1133">_xlfn.IFS(C1133&gt;35,"HIGH",C1133&gt;25,"MIDDLE",TRUE,"LOW")</f>
        <v>LOW</v>
      </c>
      <c r="O1133" s="4" t="str">
        <f t="shared" si="52"/>
        <v>OTHERS</v>
      </c>
      <c r="P1133" s="4" t="str">
        <f t="shared" si="53"/>
        <v>PREMINUM MORNING</v>
      </c>
    </row>
    <row r="1134" spans="1:16" x14ac:dyDescent="0.3">
      <c r="A1134" s="4">
        <v>12</v>
      </c>
      <c r="B1134" t="s">
        <v>11</v>
      </c>
      <c r="C1134" s="4">
        <v>32.82</v>
      </c>
      <c r="D1134" t="s">
        <v>12</v>
      </c>
      <c r="E1134" t="s">
        <v>17</v>
      </c>
      <c r="F1134" s="4" t="s">
        <v>22</v>
      </c>
      <c r="G1134" s="4" t="s">
        <v>35</v>
      </c>
      <c r="H1134" s="4">
        <v>6</v>
      </c>
      <c r="I1134" s="4">
        <v>8</v>
      </c>
      <c r="J1134" s="1">
        <v>45514</v>
      </c>
      <c r="K1134" s="2">
        <v>1.0542824074074074E-2</v>
      </c>
      <c r="M1134" s="4" t="str">
        <f t="shared" si="51"/>
        <v>LOW</v>
      </c>
      <c r="N1134" s="4" t="str" cm="1">
        <f t="array" ref="N1134">_xlfn.IFS(C1134&gt;35,"HIGH",C1134&gt;25,"MIDDLE",TRUE,"LOW")</f>
        <v>MIDDLE</v>
      </c>
      <c r="O1134" s="4" t="str">
        <f t="shared" si="52"/>
        <v>OTHERS</v>
      </c>
      <c r="P1134" s="4" t="str">
        <f t="shared" si="53"/>
        <v>OTHERS</v>
      </c>
    </row>
    <row r="1135" spans="1:16" x14ac:dyDescent="0.3">
      <c r="A1135" s="4">
        <v>12</v>
      </c>
      <c r="B1135" t="s">
        <v>11</v>
      </c>
      <c r="C1135" s="4">
        <v>27.92</v>
      </c>
      <c r="D1135" t="s">
        <v>19</v>
      </c>
      <c r="E1135" t="s">
        <v>17</v>
      </c>
      <c r="F1135" s="4" t="s">
        <v>22</v>
      </c>
      <c r="G1135" s="4" t="s">
        <v>35</v>
      </c>
      <c r="H1135" s="4">
        <v>6</v>
      </c>
      <c r="I1135" s="4">
        <v>8</v>
      </c>
      <c r="J1135" s="1">
        <v>45514</v>
      </c>
      <c r="K1135" s="2">
        <v>2.3061342592592592E-2</v>
      </c>
      <c r="M1135" s="4" t="str">
        <f t="shared" si="51"/>
        <v>LOW</v>
      </c>
      <c r="N1135" s="4" t="str" cm="1">
        <f t="array" ref="N1135">_xlfn.IFS(C1135&gt;35,"HIGH",C1135&gt;25,"MIDDLE",TRUE,"LOW")</f>
        <v>MIDDLE</v>
      </c>
      <c r="O1135" s="4" t="str">
        <f t="shared" si="52"/>
        <v>OTHERS</v>
      </c>
      <c r="P1135" s="4" t="str">
        <f t="shared" si="53"/>
        <v>OTHERS</v>
      </c>
    </row>
    <row r="1136" spans="1:16" x14ac:dyDescent="0.3">
      <c r="A1136" s="4">
        <v>16</v>
      </c>
      <c r="B1136" t="s">
        <v>11</v>
      </c>
      <c r="C1136" s="4">
        <v>32.82</v>
      </c>
      <c r="D1136" t="s">
        <v>12</v>
      </c>
      <c r="E1136" t="s">
        <v>17</v>
      </c>
      <c r="F1136" s="4" t="s">
        <v>22</v>
      </c>
      <c r="G1136" s="4" t="s">
        <v>35</v>
      </c>
      <c r="H1136" s="4">
        <v>6</v>
      </c>
      <c r="I1136" s="4">
        <v>8</v>
      </c>
      <c r="J1136" s="1">
        <v>45514</v>
      </c>
      <c r="K1136" s="2">
        <v>4.3067129629629636E-3</v>
      </c>
      <c r="M1136" s="4" t="str">
        <f t="shared" si="51"/>
        <v>LOW</v>
      </c>
      <c r="N1136" s="4" t="str" cm="1">
        <f t="array" ref="N1136">_xlfn.IFS(C1136&gt;35,"HIGH",C1136&gt;25,"MIDDLE",TRUE,"LOW")</f>
        <v>MIDDLE</v>
      </c>
      <c r="O1136" s="4" t="str">
        <f t="shared" si="52"/>
        <v>OTHERS</v>
      </c>
      <c r="P1136" s="4" t="str">
        <f t="shared" si="53"/>
        <v>OTHERS</v>
      </c>
    </row>
    <row r="1137" spans="1:16" x14ac:dyDescent="0.3">
      <c r="A1137" s="4">
        <v>21</v>
      </c>
      <c r="B1137" t="s">
        <v>11</v>
      </c>
      <c r="C1137" s="4">
        <v>32.82</v>
      </c>
      <c r="D1137" t="s">
        <v>21</v>
      </c>
      <c r="E1137" t="s">
        <v>20</v>
      </c>
      <c r="F1137" s="4" t="s">
        <v>22</v>
      </c>
      <c r="G1137" s="4" t="s">
        <v>35</v>
      </c>
      <c r="H1137" s="4">
        <v>6</v>
      </c>
      <c r="I1137" s="4">
        <v>8</v>
      </c>
      <c r="J1137" s="1">
        <v>45514</v>
      </c>
      <c r="K1137" s="2">
        <v>1.1673611111111112E-2</v>
      </c>
      <c r="M1137" s="4" t="str">
        <f t="shared" si="51"/>
        <v>LOW</v>
      </c>
      <c r="N1137" s="4" t="str" cm="1">
        <f t="array" ref="N1137">_xlfn.IFS(C1137&gt;35,"HIGH",C1137&gt;25,"MIDDLE",TRUE,"LOW")</f>
        <v>MIDDLE</v>
      </c>
      <c r="O1137" s="4" t="str">
        <f t="shared" si="52"/>
        <v>OTHERS</v>
      </c>
      <c r="P1137" s="4" t="str">
        <f t="shared" si="53"/>
        <v>OTHERS</v>
      </c>
    </row>
    <row r="1138" spans="1:16" x14ac:dyDescent="0.3">
      <c r="A1138" s="4">
        <v>21</v>
      </c>
      <c r="B1138" t="s">
        <v>11</v>
      </c>
      <c r="C1138" s="4">
        <v>32.82</v>
      </c>
      <c r="D1138" t="s">
        <v>21</v>
      </c>
      <c r="E1138" t="s">
        <v>20</v>
      </c>
      <c r="F1138" s="4" t="s">
        <v>22</v>
      </c>
      <c r="G1138" s="4" t="s">
        <v>35</v>
      </c>
      <c r="H1138" s="4">
        <v>6</v>
      </c>
      <c r="I1138" s="4">
        <v>8</v>
      </c>
      <c r="J1138" s="1">
        <v>45514</v>
      </c>
      <c r="K1138" s="2">
        <v>1.2281249999999999E-2</v>
      </c>
      <c r="M1138" s="4" t="str">
        <f t="shared" si="51"/>
        <v>LOW</v>
      </c>
      <c r="N1138" s="4" t="str" cm="1">
        <f t="array" ref="N1138">_xlfn.IFS(C1138&gt;35,"HIGH",C1138&gt;25,"MIDDLE",TRUE,"LOW")</f>
        <v>MIDDLE</v>
      </c>
      <c r="O1138" s="4" t="str">
        <f t="shared" si="52"/>
        <v>OTHERS</v>
      </c>
      <c r="P1138" s="4" t="str">
        <f t="shared" si="53"/>
        <v>OTHERS</v>
      </c>
    </row>
    <row r="1139" spans="1:16" x14ac:dyDescent="0.3">
      <c r="A1139" s="4">
        <v>21</v>
      </c>
      <c r="B1139" t="s">
        <v>11</v>
      </c>
      <c r="C1139" s="4">
        <v>32.82</v>
      </c>
      <c r="D1139" t="s">
        <v>21</v>
      </c>
      <c r="E1139" t="s">
        <v>20</v>
      </c>
      <c r="F1139" s="4" t="s">
        <v>22</v>
      </c>
      <c r="G1139" s="4" t="s">
        <v>35</v>
      </c>
      <c r="H1139" s="4">
        <v>6</v>
      </c>
      <c r="I1139" s="4">
        <v>8</v>
      </c>
      <c r="J1139" s="1">
        <v>45514</v>
      </c>
      <c r="K1139" s="2">
        <v>2.6174768518518517E-2</v>
      </c>
      <c r="M1139" s="4" t="str">
        <f t="shared" si="51"/>
        <v>LOW</v>
      </c>
      <c r="N1139" s="4" t="str" cm="1">
        <f t="array" ref="N1139">_xlfn.IFS(C1139&gt;35,"HIGH",C1139&gt;25,"MIDDLE",TRUE,"LOW")</f>
        <v>MIDDLE</v>
      </c>
      <c r="O1139" s="4" t="str">
        <f t="shared" si="52"/>
        <v>OTHERS</v>
      </c>
      <c r="P1139" s="4" t="str">
        <f t="shared" si="53"/>
        <v>OTHERS</v>
      </c>
    </row>
    <row r="1140" spans="1:16" x14ac:dyDescent="0.3">
      <c r="A1140" s="4">
        <v>9</v>
      </c>
      <c r="B1140" t="s">
        <v>11</v>
      </c>
      <c r="C1140" s="4">
        <v>32.82</v>
      </c>
      <c r="D1140" t="s">
        <v>12</v>
      </c>
      <c r="E1140" t="s">
        <v>13</v>
      </c>
      <c r="F1140" s="4" t="s">
        <v>23</v>
      </c>
      <c r="G1140" s="4" t="s">
        <v>35</v>
      </c>
      <c r="H1140" s="4">
        <v>7</v>
      </c>
      <c r="I1140" s="4">
        <v>8</v>
      </c>
      <c r="J1140" s="1">
        <v>45515</v>
      </c>
      <c r="K1140" s="2">
        <v>3.6534722222222218E-2</v>
      </c>
      <c r="M1140" s="4" t="str">
        <f t="shared" si="51"/>
        <v>LOW</v>
      </c>
      <c r="N1140" s="4" t="str" cm="1">
        <f t="array" ref="N1140">_xlfn.IFS(C1140&gt;35,"HIGH",C1140&gt;25,"MIDDLE",TRUE,"LOW")</f>
        <v>MIDDLE</v>
      </c>
      <c r="O1140" s="4" t="str">
        <f t="shared" si="52"/>
        <v>OTHERS</v>
      </c>
      <c r="P1140" s="4" t="str">
        <f t="shared" si="53"/>
        <v>PREMINUM MORNING</v>
      </c>
    </row>
    <row r="1141" spans="1:16" x14ac:dyDescent="0.3">
      <c r="A1141" s="4">
        <v>9</v>
      </c>
      <c r="B1141" t="s">
        <v>11</v>
      </c>
      <c r="C1141" s="4">
        <v>32.82</v>
      </c>
      <c r="D1141" t="s">
        <v>12</v>
      </c>
      <c r="E1141" t="s">
        <v>13</v>
      </c>
      <c r="F1141" s="4" t="s">
        <v>23</v>
      </c>
      <c r="G1141" s="4" t="s">
        <v>35</v>
      </c>
      <c r="H1141" s="4">
        <v>7</v>
      </c>
      <c r="I1141" s="4">
        <v>8</v>
      </c>
      <c r="J1141" s="1">
        <v>45515</v>
      </c>
      <c r="K1141" s="2">
        <v>3.7310185185185182E-2</v>
      </c>
      <c r="M1141" s="4" t="str">
        <f t="shared" si="51"/>
        <v>LOW</v>
      </c>
      <c r="N1141" s="4" t="str" cm="1">
        <f t="array" ref="N1141">_xlfn.IFS(C1141&gt;35,"HIGH",C1141&gt;25,"MIDDLE",TRUE,"LOW")</f>
        <v>MIDDLE</v>
      </c>
      <c r="O1141" s="4" t="str">
        <f t="shared" si="52"/>
        <v>OTHERS</v>
      </c>
      <c r="P1141" s="4" t="str">
        <f t="shared" si="53"/>
        <v>PREMINUM MORNING</v>
      </c>
    </row>
    <row r="1142" spans="1:16" x14ac:dyDescent="0.3">
      <c r="A1142" s="4">
        <v>10</v>
      </c>
      <c r="B1142" t="s">
        <v>11</v>
      </c>
      <c r="C1142" s="4">
        <v>27.92</v>
      </c>
      <c r="D1142" t="s">
        <v>19</v>
      </c>
      <c r="E1142" t="s">
        <v>13</v>
      </c>
      <c r="F1142" s="4" t="s">
        <v>23</v>
      </c>
      <c r="G1142" s="4" t="s">
        <v>35</v>
      </c>
      <c r="H1142" s="4">
        <v>7</v>
      </c>
      <c r="I1142" s="4">
        <v>8</v>
      </c>
      <c r="J1142" s="1">
        <v>45515</v>
      </c>
      <c r="K1142" s="2">
        <v>1.2078703703703703E-2</v>
      </c>
      <c r="M1142" s="4" t="str">
        <f t="shared" si="51"/>
        <v>LOW</v>
      </c>
      <c r="N1142" s="4" t="str" cm="1">
        <f t="array" ref="N1142">_xlfn.IFS(C1142&gt;35,"HIGH",C1142&gt;25,"MIDDLE",TRUE,"LOW")</f>
        <v>MIDDLE</v>
      </c>
      <c r="O1142" s="4" t="str">
        <f t="shared" si="52"/>
        <v>OTHERS</v>
      </c>
      <c r="P1142" s="4" t="str">
        <f t="shared" si="53"/>
        <v>PREMINUM MORNING</v>
      </c>
    </row>
    <row r="1143" spans="1:16" x14ac:dyDescent="0.3">
      <c r="A1143" s="4">
        <v>11</v>
      </c>
      <c r="B1143" t="s">
        <v>11</v>
      </c>
      <c r="C1143" s="4">
        <v>32.82</v>
      </c>
      <c r="D1143" t="s">
        <v>29</v>
      </c>
      <c r="E1143" t="s">
        <v>13</v>
      </c>
      <c r="F1143" s="4" t="s">
        <v>23</v>
      </c>
      <c r="G1143" s="4" t="s">
        <v>35</v>
      </c>
      <c r="H1143" s="4">
        <v>7</v>
      </c>
      <c r="I1143" s="4">
        <v>8</v>
      </c>
      <c r="J1143" s="1">
        <v>45515</v>
      </c>
      <c r="K1143" s="2">
        <v>3.9364583333333335E-2</v>
      </c>
      <c r="M1143" s="4" t="str">
        <f t="shared" si="51"/>
        <v>LOW</v>
      </c>
      <c r="N1143" s="4" t="str" cm="1">
        <f t="array" ref="N1143">_xlfn.IFS(C1143&gt;35,"HIGH",C1143&gt;25,"MIDDLE",TRUE,"LOW")</f>
        <v>MIDDLE</v>
      </c>
      <c r="O1143" s="4" t="str">
        <f t="shared" si="52"/>
        <v>OTHERS</v>
      </c>
      <c r="P1143" s="4" t="str">
        <f t="shared" si="53"/>
        <v>PREMINUM MORNING</v>
      </c>
    </row>
    <row r="1144" spans="1:16" x14ac:dyDescent="0.3">
      <c r="A1144" s="4">
        <v>11</v>
      </c>
      <c r="B1144" t="s">
        <v>11</v>
      </c>
      <c r="C1144" s="4">
        <v>27.92</v>
      </c>
      <c r="D1144" t="s">
        <v>19</v>
      </c>
      <c r="E1144" t="s">
        <v>13</v>
      </c>
      <c r="F1144" s="4" t="s">
        <v>23</v>
      </c>
      <c r="G1144" s="4" t="s">
        <v>35</v>
      </c>
      <c r="H1144" s="4">
        <v>7</v>
      </c>
      <c r="I1144" s="4">
        <v>8</v>
      </c>
      <c r="J1144" s="1">
        <v>45515</v>
      </c>
      <c r="K1144" s="2">
        <v>4.0061342592592593E-2</v>
      </c>
      <c r="M1144" s="4" t="str">
        <f t="shared" si="51"/>
        <v>LOW</v>
      </c>
      <c r="N1144" s="4" t="str" cm="1">
        <f t="array" ref="N1144">_xlfn.IFS(C1144&gt;35,"HIGH",C1144&gt;25,"MIDDLE",TRUE,"LOW")</f>
        <v>MIDDLE</v>
      </c>
      <c r="O1144" s="4" t="str">
        <f t="shared" si="52"/>
        <v>OTHERS</v>
      </c>
      <c r="P1144" s="4" t="str">
        <f t="shared" si="53"/>
        <v>PREMINUM MORNING</v>
      </c>
    </row>
    <row r="1145" spans="1:16" x14ac:dyDescent="0.3">
      <c r="A1145" s="4">
        <v>12</v>
      </c>
      <c r="B1145" t="s">
        <v>11</v>
      </c>
      <c r="C1145" s="4">
        <v>23.02</v>
      </c>
      <c r="D1145" t="s">
        <v>24</v>
      </c>
      <c r="E1145" t="s">
        <v>17</v>
      </c>
      <c r="F1145" s="4" t="s">
        <v>23</v>
      </c>
      <c r="G1145" s="4" t="s">
        <v>35</v>
      </c>
      <c r="H1145" s="4">
        <v>7</v>
      </c>
      <c r="I1145" s="4">
        <v>8</v>
      </c>
      <c r="J1145" s="1">
        <v>45515</v>
      </c>
      <c r="K1145" s="2">
        <v>1.4115740740740739E-2</v>
      </c>
      <c r="M1145" s="4" t="str">
        <f t="shared" si="51"/>
        <v>LOW</v>
      </c>
      <c r="N1145" s="4" t="str" cm="1">
        <f t="array" ref="N1145">_xlfn.IFS(C1145&gt;35,"HIGH",C1145&gt;25,"MIDDLE",TRUE,"LOW")</f>
        <v>LOW</v>
      </c>
      <c r="O1145" s="4" t="str">
        <f t="shared" si="52"/>
        <v>OTHERS</v>
      </c>
      <c r="P1145" s="4" t="str">
        <f t="shared" si="53"/>
        <v>OTHERS</v>
      </c>
    </row>
    <row r="1146" spans="1:16" x14ac:dyDescent="0.3">
      <c r="A1146" s="4">
        <v>15</v>
      </c>
      <c r="B1146" t="s">
        <v>11</v>
      </c>
      <c r="C1146" s="4">
        <v>32.82</v>
      </c>
      <c r="D1146" t="s">
        <v>12</v>
      </c>
      <c r="E1146" t="s">
        <v>17</v>
      </c>
      <c r="F1146" s="4" t="s">
        <v>23</v>
      </c>
      <c r="G1146" s="4" t="s">
        <v>35</v>
      </c>
      <c r="H1146" s="4">
        <v>7</v>
      </c>
      <c r="I1146" s="4">
        <v>8</v>
      </c>
      <c r="J1146" s="1">
        <v>45515</v>
      </c>
      <c r="K1146" s="2">
        <v>3.7402777777777778E-2</v>
      </c>
      <c r="M1146" s="4" t="str">
        <f t="shared" si="51"/>
        <v>LOW</v>
      </c>
      <c r="N1146" s="4" t="str" cm="1">
        <f t="array" ref="N1146">_xlfn.IFS(C1146&gt;35,"HIGH",C1146&gt;25,"MIDDLE",TRUE,"LOW")</f>
        <v>MIDDLE</v>
      </c>
      <c r="O1146" s="4" t="str">
        <f t="shared" si="52"/>
        <v>OTHERS</v>
      </c>
      <c r="P1146" s="4" t="str">
        <f t="shared" si="53"/>
        <v>OTHERS</v>
      </c>
    </row>
    <row r="1147" spans="1:16" x14ac:dyDescent="0.3">
      <c r="A1147" s="4">
        <v>15</v>
      </c>
      <c r="B1147" t="s">
        <v>11</v>
      </c>
      <c r="C1147" s="4">
        <v>27.92</v>
      </c>
      <c r="D1147" t="s">
        <v>19</v>
      </c>
      <c r="E1147" t="s">
        <v>17</v>
      </c>
      <c r="F1147" s="4" t="s">
        <v>23</v>
      </c>
      <c r="G1147" s="4" t="s">
        <v>35</v>
      </c>
      <c r="H1147" s="4">
        <v>7</v>
      </c>
      <c r="I1147" s="4">
        <v>8</v>
      </c>
      <c r="J1147" s="1">
        <v>45515</v>
      </c>
      <c r="K1147" s="2">
        <v>3.836689814814815E-2</v>
      </c>
      <c r="M1147" s="4" t="str">
        <f t="shared" si="51"/>
        <v>LOW</v>
      </c>
      <c r="N1147" s="4" t="str" cm="1">
        <f t="array" ref="N1147">_xlfn.IFS(C1147&gt;35,"HIGH",C1147&gt;25,"MIDDLE",TRUE,"LOW")</f>
        <v>MIDDLE</v>
      </c>
      <c r="O1147" s="4" t="str">
        <f t="shared" si="52"/>
        <v>OTHERS</v>
      </c>
      <c r="P1147" s="4" t="str">
        <f t="shared" si="53"/>
        <v>OTHERS</v>
      </c>
    </row>
    <row r="1148" spans="1:16" x14ac:dyDescent="0.3">
      <c r="A1148" s="4">
        <v>15</v>
      </c>
      <c r="B1148" t="s">
        <v>11</v>
      </c>
      <c r="C1148" s="4">
        <v>32.82</v>
      </c>
      <c r="D1148" t="s">
        <v>21</v>
      </c>
      <c r="E1148" t="s">
        <v>17</v>
      </c>
      <c r="F1148" s="4" t="s">
        <v>23</v>
      </c>
      <c r="G1148" s="4" t="s">
        <v>35</v>
      </c>
      <c r="H1148" s="4">
        <v>7</v>
      </c>
      <c r="I1148" s="4">
        <v>8</v>
      </c>
      <c r="J1148" s="1">
        <v>45515</v>
      </c>
      <c r="K1148" s="2">
        <v>3.9209490740740739E-2</v>
      </c>
      <c r="M1148" s="4" t="str">
        <f t="shared" si="51"/>
        <v>LOW</v>
      </c>
      <c r="N1148" s="4" t="str" cm="1">
        <f t="array" ref="N1148">_xlfn.IFS(C1148&gt;35,"HIGH",C1148&gt;25,"MIDDLE",TRUE,"LOW")</f>
        <v>MIDDLE</v>
      </c>
      <c r="O1148" s="4" t="str">
        <f t="shared" si="52"/>
        <v>OTHERS</v>
      </c>
      <c r="P1148" s="4" t="str">
        <f t="shared" si="53"/>
        <v>OTHERS</v>
      </c>
    </row>
    <row r="1149" spans="1:16" x14ac:dyDescent="0.3">
      <c r="A1149" s="4">
        <v>16</v>
      </c>
      <c r="B1149" t="s">
        <v>11</v>
      </c>
      <c r="C1149" s="4">
        <v>32.82</v>
      </c>
      <c r="D1149" t="s">
        <v>29</v>
      </c>
      <c r="E1149" t="s">
        <v>17</v>
      </c>
      <c r="F1149" s="4" t="s">
        <v>23</v>
      </c>
      <c r="G1149" s="4" t="s">
        <v>35</v>
      </c>
      <c r="H1149" s="4">
        <v>7</v>
      </c>
      <c r="I1149" s="4">
        <v>8</v>
      </c>
      <c r="J1149" s="1">
        <v>45515</v>
      </c>
      <c r="K1149" s="2">
        <v>1.915625E-2</v>
      </c>
      <c r="M1149" s="4" t="str">
        <f t="shared" si="51"/>
        <v>LOW</v>
      </c>
      <c r="N1149" s="4" t="str" cm="1">
        <f t="array" ref="N1149">_xlfn.IFS(C1149&gt;35,"HIGH",C1149&gt;25,"MIDDLE",TRUE,"LOW")</f>
        <v>MIDDLE</v>
      </c>
      <c r="O1149" s="4" t="str">
        <f t="shared" si="52"/>
        <v>OTHERS</v>
      </c>
      <c r="P1149" s="4" t="str">
        <f t="shared" si="53"/>
        <v>OTHERS</v>
      </c>
    </row>
    <row r="1150" spans="1:16" x14ac:dyDescent="0.3">
      <c r="A1150" s="4">
        <v>16</v>
      </c>
      <c r="B1150" t="s">
        <v>11</v>
      </c>
      <c r="C1150" s="4">
        <v>18.12</v>
      </c>
      <c r="D1150" t="s">
        <v>26</v>
      </c>
      <c r="E1150" t="s">
        <v>17</v>
      </c>
      <c r="F1150" s="4" t="s">
        <v>23</v>
      </c>
      <c r="G1150" s="4" t="s">
        <v>35</v>
      </c>
      <c r="H1150" s="4">
        <v>7</v>
      </c>
      <c r="I1150" s="4">
        <v>8</v>
      </c>
      <c r="J1150" s="1">
        <v>45515</v>
      </c>
      <c r="K1150" s="2">
        <v>1.9887731481481482E-2</v>
      </c>
      <c r="M1150" s="4" t="str">
        <f t="shared" si="51"/>
        <v>LOW</v>
      </c>
      <c r="N1150" s="4" t="str" cm="1">
        <f t="array" ref="N1150">_xlfn.IFS(C1150&gt;35,"HIGH",C1150&gt;25,"MIDDLE",TRUE,"LOW")</f>
        <v>LOW</v>
      </c>
      <c r="O1150" s="4" t="str">
        <f t="shared" si="52"/>
        <v>OTHERS</v>
      </c>
      <c r="P1150" s="4" t="str">
        <f t="shared" si="53"/>
        <v>OTHERS</v>
      </c>
    </row>
    <row r="1151" spans="1:16" x14ac:dyDescent="0.3">
      <c r="A1151" s="4">
        <v>21</v>
      </c>
      <c r="B1151" t="s">
        <v>11</v>
      </c>
      <c r="C1151" s="4">
        <v>23.02</v>
      </c>
      <c r="D1151" t="s">
        <v>24</v>
      </c>
      <c r="E1151" t="s">
        <v>20</v>
      </c>
      <c r="F1151" s="4" t="s">
        <v>23</v>
      </c>
      <c r="G1151" s="4" t="s">
        <v>35</v>
      </c>
      <c r="H1151" s="4">
        <v>7</v>
      </c>
      <c r="I1151" s="4">
        <v>8</v>
      </c>
      <c r="J1151" s="1">
        <v>45515</v>
      </c>
      <c r="K1151" s="2">
        <v>2.1209490740740741E-2</v>
      </c>
      <c r="M1151" s="4" t="str">
        <f t="shared" si="51"/>
        <v>LOW</v>
      </c>
      <c r="N1151" s="4" t="str" cm="1">
        <f t="array" ref="N1151">_xlfn.IFS(C1151&gt;35,"HIGH",C1151&gt;25,"MIDDLE",TRUE,"LOW")</f>
        <v>LOW</v>
      </c>
      <c r="O1151" s="4" t="str">
        <f t="shared" si="52"/>
        <v>OTHERS</v>
      </c>
      <c r="P1151" s="4" t="str">
        <f t="shared" si="53"/>
        <v>OTHERS</v>
      </c>
    </row>
    <row r="1152" spans="1:16" x14ac:dyDescent="0.3">
      <c r="A1152" s="4">
        <v>21</v>
      </c>
      <c r="B1152" t="s">
        <v>11</v>
      </c>
      <c r="C1152" s="4">
        <v>32.82</v>
      </c>
      <c r="D1152" t="s">
        <v>12</v>
      </c>
      <c r="E1152" t="s">
        <v>20</v>
      </c>
      <c r="F1152" s="4" t="s">
        <v>23</v>
      </c>
      <c r="G1152" s="4" t="s">
        <v>35</v>
      </c>
      <c r="H1152" s="4">
        <v>7</v>
      </c>
      <c r="I1152" s="4">
        <v>8</v>
      </c>
      <c r="J1152" s="1">
        <v>45515</v>
      </c>
      <c r="K1152" s="2">
        <v>2.8577546296296295E-2</v>
      </c>
      <c r="M1152" s="4" t="str">
        <f t="shared" si="51"/>
        <v>LOW</v>
      </c>
      <c r="N1152" s="4" t="str" cm="1">
        <f t="array" ref="N1152">_xlfn.IFS(C1152&gt;35,"HIGH",C1152&gt;25,"MIDDLE",TRUE,"LOW")</f>
        <v>MIDDLE</v>
      </c>
      <c r="O1152" s="4" t="str">
        <f t="shared" si="52"/>
        <v>OTHERS</v>
      </c>
      <c r="P1152" s="4" t="str">
        <f t="shared" si="53"/>
        <v>OTHERS</v>
      </c>
    </row>
    <row r="1153" spans="1:16" x14ac:dyDescent="0.3">
      <c r="A1153" s="4">
        <v>21</v>
      </c>
      <c r="B1153" t="s">
        <v>11</v>
      </c>
      <c r="C1153" s="4">
        <v>32.82</v>
      </c>
      <c r="D1153" t="s">
        <v>12</v>
      </c>
      <c r="E1153" t="s">
        <v>20</v>
      </c>
      <c r="F1153" s="4" t="s">
        <v>23</v>
      </c>
      <c r="G1153" s="4" t="s">
        <v>35</v>
      </c>
      <c r="H1153" s="4">
        <v>7</v>
      </c>
      <c r="I1153" s="4">
        <v>8</v>
      </c>
      <c r="J1153" s="1">
        <v>45515</v>
      </c>
      <c r="K1153" s="2">
        <v>2.997800925925926E-2</v>
      </c>
      <c r="M1153" s="4" t="str">
        <f t="shared" si="51"/>
        <v>LOW</v>
      </c>
      <c r="N1153" s="4" t="str" cm="1">
        <f t="array" ref="N1153">_xlfn.IFS(C1153&gt;35,"HIGH",C1153&gt;25,"MIDDLE",TRUE,"LOW")</f>
        <v>MIDDLE</v>
      </c>
      <c r="O1153" s="4" t="str">
        <f t="shared" si="52"/>
        <v>OTHERS</v>
      </c>
      <c r="P1153" s="4" t="str">
        <f t="shared" si="53"/>
        <v>OTHERS</v>
      </c>
    </row>
    <row r="1154" spans="1:16" x14ac:dyDescent="0.3">
      <c r="A1154" s="4">
        <v>22</v>
      </c>
      <c r="B1154" t="s">
        <v>11</v>
      </c>
      <c r="C1154" s="4">
        <v>32.82</v>
      </c>
      <c r="D1154" t="s">
        <v>29</v>
      </c>
      <c r="E1154" t="s">
        <v>20</v>
      </c>
      <c r="F1154" s="4" t="s">
        <v>23</v>
      </c>
      <c r="G1154" s="4" t="s">
        <v>35</v>
      </c>
      <c r="H1154" s="4">
        <v>7</v>
      </c>
      <c r="I1154" s="4">
        <v>8</v>
      </c>
      <c r="J1154" s="1">
        <v>45515</v>
      </c>
      <c r="K1154" s="2">
        <v>2.7429398148148151E-2</v>
      </c>
      <c r="M1154" s="4" t="str">
        <f t="shared" si="51"/>
        <v>LOW</v>
      </c>
      <c r="N1154" s="4" t="str" cm="1">
        <f t="array" ref="N1154">_xlfn.IFS(C1154&gt;35,"HIGH",C1154&gt;25,"MIDDLE",TRUE,"LOW")</f>
        <v>MIDDLE</v>
      </c>
      <c r="O1154" s="4" t="str">
        <f t="shared" si="52"/>
        <v>OTHERS</v>
      </c>
      <c r="P1154" s="4" t="str">
        <f t="shared" si="53"/>
        <v>OTHERS</v>
      </c>
    </row>
    <row r="1155" spans="1:16" x14ac:dyDescent="0.3">
      <c r="A1155" s="4">
        <v>8</v>
      </c>
      <c r="B1155" t="s">
        <v>11</v>
      </c>
      <c r="C1155" s="4">
        <v>32.82</v>
      </c>
      <c r="D1155" t="s">
        <v>16</v>
      </c>
      <c r="E1155" t="s">
        <v>13</v>
      </c>
      <c r="F1155" s="4" t="s">
        <v>25</v>
      </c>
      <c r="G1155" s="4" t="s">
        <v>35</v>
      </c>
      <c r="H1155" s="4">
        <v>1</v>
      </c>
      <c r="I1155" s="4">
        <v>8</v>
      </c>
      <c r="J1155" s="1">
        <v>45516</v>
      </c>
      <c r="K1155" s="2">
        <v>1.8281249999999999E-2</v>
      </c>
      <c r="M1155" s="4" t="str">
        <f t="shared" ref="M1155:M1218" si="54">IF(C1155&gt;35,"HIGH","LOW")</f>
        <v>LOW</v>
      </c>
      <c r="N1155" s="4" t="str" cm="1">
        <f t="array" ref="N1155">_xlfn.IFS(C1155&gt;35,"HIGH",C1155&gt;25,"MIDDLE",TRUE,"LOW")</f>
        <v>MIDDLE</v>
      </c>
      <c r="O1155" s="4" t="str">
        <f t="shared" ref="O1155:O1218" si="55">IF(AND(C1155&gt;35,E1155="MORNING"),"PREMINUM MORNING","OTHERS")</f>
        <v>OTHERS</v>
      </c>
      <c r="P1155" s="4" t="str">
        <f t="shared" ref="P1155:P1218" si="56">IF(OR(C1155&gt;35,E1155="MORNING"),"PREMINUM MORNING","OTHERS")</f>
        <v>PREMINUM MORNING</v>
      </c>
    </row>
    <row r="1156" spans="1:16" x14ac:dyDescent="0.3">
      <c r="A1156" s="4">
        <v>11</v>
      </c>
      <c r="B1156" t="s">
        <v>11</v>
      </c>
      <c r="C1156" s="4">
        <v>27.92</v>
      </c>
      <c r="D1156" t="s">
        <v>19</v>
      </c>
      <c r="E1156" t="s">
        <v>13</v>
      </c>
      <c r="F1156" s="4" t="s">
        <v>25</v>
      </c>
      <c r="G1156" s="4" t="s">
        <v>35</v>
      </c>
      <c r="H1156" s="4">
        <v>1</v>
      </c>
      <c r="I1156" s="4">
        <v>8</v>
      </c>
      <c r="J1156" s="1">
        <v>45516</v>
      </c>
      <c r="K1156" s="2">
        <v>1.0472222222222221E-2</v>
      </c>
      <c r="M1156" s="4" t="str">
        <f t="shared" si="54"/>
        <v>LOW</v>
      </c>
      <c r="N1156" s="4" t="str" cm="1">
        <f t="array" ref="N1156">_xlfn.IFS(C1156&gt;35,"HIGH",C1156&gt;25,"MIDDLE",TRUE,"LOW")</f>
        <v>MIDDLE</v>
      </c>
      <c r="O1156" s="4" t="str">
        <f t="shared" si="55"/>
        <v>OTHERS</v>
      </c>
      <c r="P1156" s="4" t="str">
        <f t="shared" si="56"/>
        <v>PREMINUM MORNING</v>
      </c>
    </row>
    <row r="1157" spans="1:16" x14ac:dyDescent="0.3">
      <c r="A1157" s="4">
        <v>11</v>
      </c>
      <c r="B1157" t="s">
        <v>11</v>
      </c>
      <c r="C1157" s="4">
        <v>23.02</v>
      </c>
      <c r="D1157" t="s">
        <v>18</v>
      </c>
      <c r="E1157" t="s">
        <v>13</v>
      </c>
      <c r="F1157" s="4" t="s">
        <v>25</v>
      </c>
      <c r="G1157" s="4" t="s">
        <v>35</v>
      </c>
      <c r="H1157" s="4">
        <v>1</v>
      </c>
      <c r="I1157" s="4">
        <v>8</v>
      </c>
      <c r="J1157" s="1">
        <v>45516</v>
      </c>
      <c r="K1157" s="2">
        <v>1.353587962962963E-2</v>
      </c>
      <c r="M1157" s="4" t="str">
        <f t="shared" si="54"/>
        <v>LOW</v>
      </c>
      <c r="N1157" s="4" t="str" cm="1">
        <f t="array" ref="N1157">_xlfn.IFS(C1157&gt;35,"HIGH",C1157&gt;25,"MIDDLE",TRUE,"LOW")</f>
        <v>LOW</v>
      </c>
      <c r="O1157" s="4" t="str">
        <f t="shared" si="55"/>
        <v>OTHERS</v>
      </c>
      <c r="P1157" s="4" t="str">
        <f t="shared" si="56"/>
        <v>PREMINUM MORNING</v>
      </c>
    </row>
    <row r="1158" spans="1:16" x14ac:dyDescent="0.3">
      <c r="A1158" s="4">
        <v>11</v>
      </c>
      <c r="B1158" t="s">
        <v>11</v>
      </c>
      <c r="C1158" s="4">
        <v>32.82</v>
      </c>
      <c r="D1158" t="s">
        <v>12</v>
      </c>
      <c r="E1158" t="s">
        <v>13</v>
      </c>
      <c r="F1158" s="4" t="s">
        <v>25</v>
      </c>
      <c r="G1158" s="4" t="s">
        <v>35</v>
      </c>
      <c r="H1158" s="4">
        <v>1</v>
      </c>
      <c r="I1158" s="4">
        <v>8</v>
      </c>
      <c r="J1158" s="1">
        <v>45516</v>
      </c>
      <c r="K1158" s="2">
        <v>1.4162037037037035E-2</v>
      </c>
      <c r="M1158" s="4" t="str">
        <f t="shared" si="54"/>
        <v>LOW</v>
      </c>
      <c r="N1158" s="4" t="str" cm="1">
        <f t="array" ref="N1158">_xlfn.IFS(C1158&gt;35,"HIGH",C1158&gt;25,"MIDDLE",TRUE,"LOW")</f>
        <v>MIDDLE</v>
      </c>
      <c r="O1158" s="4" t="str">
        <f t="shared" si="55"/>
        <v>OTHERS</v>
      </c>
      <c r="P1158" s="4" t="str">
        <f t="shared" si="56"/>
        <v>PREMINUM MORNING</v>
      </c>
    </row>
    <row r="1159" spans="1:16" x14ac:dyDescent="0.3">
      <c r="A1159" s="4">
        <v>11</v>
      </c>
      <c r="B1159" t="s">
        <v>11</v>
      </c>
      <c r="C1159" s="4">
        <v>32.82</v>
      </c>
      <c r="D1159" t="s">
        <v>12</v>
      </c>
      <c r="E1159" t="s">
        <v>13</v>
      </c>
      <c r="F1159" s="4" t="s">
        <v>25</v>
      </c>
      <c r="G1159" s="4" t="s">
        <v>35</v>
      </c>
      <c r="H1159" s="4">
        <v>1</v>
      </c>
      <c r="I1159" s="4">
        <v>8</v>
      </c>
      <c r="J1159" s="1">
        <v>45516</v>
      </c>
      <c r="K1159" s="2">
        <v>3.0884259259259261E-2</v>
      </c>
      <c r="M1159" s="4" t="str">
        <f t="shared" si="54"/>
        <v>LOW</v>
      </c>
      <c r="N1159" s="4" t="str" cm="1">
        <f t="array" ref="N1159">_xlfn.IFS(C1159&gt;35,"HIGH",C1159&gt;25,"MIDDLE",TRUE,"LOW")</f>
        <v>MIDDLE</v>
      </c>
      <c r="O1159" s="4" t="str">
        <f t="shared" si="55"/>
        <v>OTHERS</v>
      </c>
      <c r="P1159" s="4" t="str">
        <f t="shared" si="56"/>
        <v>PREMINUM MORNING</v>
      </c>
    </row>
    <row r="1160" spans="1:16" x14ac:dyDescent="0.3">
      <c r="A1160" s="4">
        <v>14</v>
      </c>
      <c r="B1160" t="s">
        <v>11</v>
      </c>
      <c r="C1160" s="4">
        <v>18.12</v>
      </c>
      <c r="D1160" t="s">
        <v>26</v>
      </c>
      <c r="E1160" t="s">
        <v>17</v>
      </c>
      <c r="F1160" s="4" t="s">
        <v>25</v>
      </c>
      <c r="G1160" s="4" t="s">
        <v>35</v>
      </c>
      <c r="H1160" s="4">
        <v>1</v>
      </c>
      <c r="I1160" s="4">
        <v>8</v>
      </c>
      <c r="J1160" s="1">
        <v>45516</v>
      </c>
      <c r="K1160" s="2">
        <v>2.8171296296296295E-3</v>
      </c>
      <c r="M1160" s="4" t="str">
        <f t="shared" si="54"/>
        <v>LOW</v>
      </c>
      <c r="N1160" s="4" t="str" cm="1">
        <f t="array" ref="N1160">_xlfn.IFS(C1160&gt;35,"HIGH",C1160&gt;25,"MIDDLE",TRUE,"LOW")</f>
        <v>LOW</v>
      </c>
      <c r="O1160" s="4" t="str">
        <f t="shared" si="55"/>
        <v>OTHERS</v>
      </c>
      <c r="P1160" s="4" t="str">
        <f t="shared" si="56"/>
        <v>OTHERS</v>
      </c>
    </row>
    <row r="1161" spans="1:16" x14ac:dyDescent="0.3">
      <c r="A1161" s="4">
        <v>14</v>
      </c>
      <c r="B1161" t="s">
        <v>11</v>
      </c>
      <c r="C1161" s="4">
        <v>27.92</v>
      </c>
      <c r="D1161" t="s">
        <v>19</v>
      </c>
      <c r="E1161" t="s">
        <v>17</v>
      </c>
      <c r="F1161" s="4" t="s">
        <v>25</v>
      </c>
      <c r="G1161" s="4" t="s">
        <v>35</v>
      </c>
      <c r="H1161" s="4">
        <v>1</v>
      </c>
      <c r="I1161" s="4">
        <v>8</v>
      </c>
      <c r="J1161" s="1">
        <v>45516</v>
      </c>
      <c r="K1161" s="2">
        <v>3.5520833333333329E-3</v>
      </c>
      <c r="M1161" s="4" t="str">
        <f t="shared" si="54"/>
        <v>LOW</v>
      </c>
      <c r="N1161" s="4" t="str" cm="1">
        <f t="array" ref="N1161">_xlfn.IFS(C1161&gt;35,"HIGH",C1161&gt;25,"MIDDLE",TRUE,"LOW")</f>
        <v>MIDDLE</v>
      </c>
      <c r="O1161" s="4" t="str">
        <f t="shared" si="55"/>
        <v>OTHERS</v>
      </c>
      <c r="P1161" s="4" t="str">
        <f t="shared" si="56"/>
        <v>OTHERS</v>
      </c>
    </row>
    <row r="1162" spans="1:16" x14ac:dyDescent="0.3">
      <c r="A1162" s="4">
        <v>15</v>
      </c>
      <c r="B1162" t="s">
        <v>11</v>
      </c>
      <c r="C1162" s="4">
        <v>27.92</v>
      </c>
      <c r="D1162" t="s">
        <v>19</v>
      </c>
      <c r="E1162" t="s">
        <v>17</v>
      </c>
      <c r="F1162" s="4" t="s">
        <v>25</v>
      </c>
      <c r="G1162" s="4" t="s">
        <v>35</v>
      </c>
      <c r="H1162" s="4">
        <v>1</v>
      </c>
      <c r="I1162" s="4">
        <v>8</v>
      </c>
      <c r="J1162" s="1">
        <v>45516</v>
      </c>
      <c r="K1162" s="2">
        <v>2.3299768518518518E-2</v>
      </c>
      <c r="M1162" s="4" t="str">
        <f t="shared" si="54"/>
        <v>LOW</v>
      </c>
      <c r="N1162" s="4" t="str" cm="1">
        <f t="array" ref="N1162">_xlfn.IFS(C1162&gt;35,"HIGH",C1162&gt;25,"MIDDLE",TRUE,"LOW")</f>
        <v>MIDDLE</v>
      </c>
      <c r="O1162" s="4" t="str">
        <f t="shared" si="55"/>
        <v>OTHERS</v>
      </c>
      <c r="P1162" s="4" t="str">
        <f t="shared" si="56"/>
        <v>OTHERS</v>
      </c>
    </row>
    <row r="1163" spans="1:16" x14ac:dyDescent="0.3">
      <c r="A1163" s="4">
        <v>18</v>
      </c>
      <c r="B1163" t="s">
        <v>11</v>
      </c>
      <c r="C1163" s="4">
        <v>27.92</v>
      </c>
      <c r="D1163" t="s">
        <v>19</v>
      </c>
      <c r="E1163" t="s">
        <v>20</v>
      </c>
      <c r="F1163" s="4" t="s">
        <v>25</v>
      </c>
      <c r="G1163" s="4" t="s">
        <v>35</v>
      </c>
      <c r="H1163" s="4">
        <v>1</v>
      </c>
      <c r="I1163" s="4">
        <v>8</v>
      </c>
      <c r="J1163" s="1">
        <v>45516</v>
      </c>
      <c r="K1163" s="2">
        <v>3.5277777777777781E-3</v>
      </c>
      <c r="M1163" s="4" t="str">
        <f t="shared" si="54"/>
        <v>LOW</v>
      </c>
      <c r="N1163" s="4" t="str" cm="1">
        <f t="array" ref="N1163">_xlfn.IFS(C1163&gt;35,"HIGH",C1163&gt;25,"MIDDLE",TRUE,"LOW")</f>
        <v>MIDDLE</v>
      </c>
      <c r="O1163" s="4" t="str">
        <f t="shared" si="55"/>
        <v>OTHERS</v>
      </c>
      <c r="P1163" s="4" t="str">
        <f t="shared" si="56"/>
        <v>OTHERS</v>
      </c>
    </row>
    <row r="1164" spans="1:16" x14ac:dyDescent="0.3">
      <c r="A1164" s="4">
        <v>21</v>
      </c>
      <c r="B1164" t="s">
        <v>11</v>
      </c>
      <c r="C1164" s="4">
        <v>27.92</v>
      </c>
      <c r="D1164" t="s">
        <v>19</v>
      </c>
      <c r="E1164" t="s">
        <v>20</v>
      </c>
      <c r="F1164" s="4" t="s">
        <v>25</v>
      </c>
      <c r="G1164" s="4" t="s">
        <v>35</v>
      </c>
      <c r="H1164" s="4">
        <v>1</v>
      </c>
      <c r="I1164" s="4">
        <v>8</v>
      </c>
      <c r="J1164" s="1">
        <v>45516</v>
      </c>
      <c r="K1164" s="2">
        <v>1.793287037037037E-2</v>
      </c>
      <c r="M1164" s="4" t="str">
        <f t="shared" si="54"/>
        <v>LOW</v>
      </c>
      <c r="N1164" s="4" t="str" cm="1">
        <f t="array" ref="N1164">_xlfn.IFS(C1164&gt;35,"HIGH",C1164&gt;25,"MIDDLE",TRUE,"LOW")</f>
        <v>MIDDLE</v>
      </c>
      <c r="O1164" s="4" t="str">
        <f t="shared" si="55"/>
        <v>OTHERS</v>
      </c>
      <c r="P1164" s="4" t="str">
        <f t="shared" si="56"/>
        <v>OTHERS</v>
      </c>
    </row>
    <row r="1165" spans="1:16" x14ac:dyDescent="0.3">
      <c r="A1165" s="4">
        <v>21</v>
      </c>
      <c r="B1165" t="s">
        <v>11</v>
      </c>
      <c r="C1165" s="4">
        <v>32.82</v>
      </c>
      <c r="D1165" t="s">
        <v>12</v>
      </c>
      <c r="E1165" t="s">
        <v>20</v>
      </c>
      <c r="F1165" s="4" t="s">
        <v>25</v>
      </c>
      <c r="G1165" s="4" t="s">
        <v>35</v>
      </c>
      <c r="H1165" s="4">
        <v>1</v>
      </c>
      <c r="I1165" s="4">
        <v>8</v>
      </c>
      <c r="J1165" s="1">
        <v>45516</v>
      </c>
      <c r="K1165" s="2">
        <v>2.613425925925926E-2</v>
      </c>
      <c r="M1165" s="4" t="str">
        <f t="shared" si="54"/>
        <v>LOW</v>
      </c>
      <c r="N1165" s="4" t="str" cm="1">
        <f t="array" ref="N1165">_xlfn.IFS(C1165&gt;35,"HIGH",C1165&gt;25,"MIDDLE",TRUE,"LOW")</f>
        <v>MIDDLE</v>
      </c>
      <c r="O1165" s="4" t="str">
        <f t="shared" si="55"/>
        <v>OTHERS</v>
      </c>
      <c r="P1165" s="4" t="str">
        <f t="shared" si="56"/>
        <v>OTHERS</v>
      </c>
    </row>
    <row r="1166" spans="1:16" x14ac:dyDescent="0.3">
      <c r="A1166" s="4">
        <v>22</v>
      </c>
      <c r="B1166" t="s">
        <v>11</v>
      </c>
      <c r="C1166" s="4">
        <v>32.82</v>
      </c>
      <c r="D1166" t="s">
        <v>29</v>
      </c>
      <c r="E1166" t="s">
        <v>20</v>
      </c>
      <c r="F1166" s="4" t="s">
        <v>25</v>
      </c>
      <c r="G1166" s="4" t="s">
        <v>35</v>
      </c>
      <c r="H1166" s="4">
        <v>1</v>
      </c>
      <c r="I1166" s="4">
        <v>8</v>
      </c>
      <c r="J1166" s="1">
        <v>45516</v>
      </c>
      <c r="K1166" s="2">
        <v>4.0510416666666667E-2</v>
      </c>
      <c r="M1166" s="4" t="str">
        <f t="shared" si="54"/>
        <v>LOW</v>
      </c>
      <c r="N1166" s="4" t="str" cm="1">
        <f t="array" ref="N1166">_xlfn.IFS(C1166&gt;35,"HIGH",C1166&gt;25,"MIDDLE",TRUE,"LOW")</f>
        <v>MIDDLE</v>
      </c>
      <c r="O1166" s="4" t="str">
        <f t="shared" si="55"/>
        <v>OTHERS</v>
      </c>
      <c r="P1166" s="4" t="str">
        <f t="shared" si="56"/>
        <v>OTHERS</v>
      </c>
    </row>
    <row r="1167" spans="1:16" x14ac:dyDescent="0.3">
      <c r="A1167" s="4">
        <v>22</v>
      </c>
      <c r="B1167" t="s">
        <v>11</v>
      </c>
      <c r="C1167" s="4">
        <v>32.82</v>
      </c>
      <c r="D1167" t="s">
        <v>29</v>
      </c>
      <c r="E1167" t="s">
        <v>20</v>
      </c>
      <c r="F1167" s="4" t="s">
        <v>25</v>
      </c>
      <c r="G1167" s="4" t="s">
        <v>35</v>
      </c>
      <c r="H1167" s="4">
        <v>1</v>
      </c>
      <c r="I1167" s="4">
        <v>8</v>
      </c>
      <c r="J1167" s="1">
        <v>45516</v>
      </c>
      <c r="K1167" s="2">
        <v>4.1186342592592594E-2</v>
      </c>
      <c r="M1167" s="4" t="str">
        <f t="shared" si="54"/>
        <v>LOW</v>
      </c>
      <c r="N1167" s="4" t="str" cm="1">
        <f t="array" ref="N1167">_xlfn.IFS(C1167&gt;35,"HIGH",C1167&gt;25,"MIDDLE",TRUE,"LOW")</f>
        <v>MIDDLE</v>
      </c>
      <c r="O1167" s="4" t="str">
        <f t="shared" si="55"/>
        <v>OTHERS</v>
      </c>
      <c r="P1167" s="4" t="str">
        <f t="shared" si="56"/>
        <v>OTHERS</v>
      </c>
    </row>
    <row r="1168" spans="1:16" x14ac:dyDescent="0.3">
      <c r="A1168" s="4">
        <v>8</v>
      </c>
      <c r="B1168" t="s">
        <v>11</v>
      </c>
      <c r="C1168" s="4">
        <v>27.92</v>
      </c>
      <c r="D1168" t="s">
        <v>19</v>
      </c>
      <c r="E1168" t="s">
        <v>13</v>
      </c>
      <c r="F1168" s="4" t="s">
        <v>27</v>
      </c>
      <c r="G1168" s="4" t="s">
        <v>35</v>
      </c>
      <c r="H1168" s="4">
        <v>2</v>
      </c>
      <c r="I1168" s="4">
        <v>8</v>
      </c>
      <c r="J1168" s="1">
        <v>45517</v>
      </c>
      <c r="K1168" s="2">
        <v>3.0905092592592592E-2</v>
      </c>
      <c r="M1168" s="4" t="str">
        <f t="shared" si="54"/>
        <v>LOW</v>
      </c>
      <c r="N1168" s="4" t="str" cm="1">
        <f t="array" ref="N1168">_xlfn.IFS(C1168&gt;35,"HIGH",C1168&gt;25,"MIDDLE",TRUE,"LOW")</f>
        <v>MIDDLE</v>
      </c>
      <c r="O1168" s="4" t="str">
        <f t="shared" si="55"/>
        <v>OTHERS</v>
      </c>
      <c r="P1168" s="4" t="str">
        <f t="shared" si="56"/>
        <v>PREMINUM MORNING</v>
      </c>
    </row>
    <row r="1169" spans="1:16" x14ac:dyDescent="0.3">
      <c r="A1169" s="4">
        <v>9</v>
      </c>
      <c r="B1169" t="s">
        <v>11</v>
      </c>
      <c r="C1169" s="4">
        <v>27.92</v>
      </c>
      <c r="D1169" t="s">
        <v>19</v>
      </c>
      <c r="E1169" t="s">
        <v>13</v>
      </c>
      <c r="F1169" s="4" t="s">
        <v>27</v>
      </c>
      <c r="G1169" s="4" t="s">
        <v>35</v>
      </c>
      <c r="H1169" s="4">
        <v>2</v>
      </c>
      <c r="I1169" s="4">
        <v>8</v>
      </c>
      <c r="J1169" s="1">
        <v>45517</v>
      </c>
      <c r="K1169" s="2">
        <v>9.9722222222222226E-3</v>
      </c>
      <c r="M1169" s="4" t="str">
        <f t="shared" si="54"/>
        <v>LOW</v>
      </c>
      <c r="N1169" s="4" t="str" cm="1">
        <f t="array" ref="N1169">_xlfn.IFS(C1169&gt;35,"HIGH",C1169&gt;25,"MIDDLE",TRUE,"LOW")</f>
        <v>MIDDLE</v>
      </c>
      <c r="O1169" s="4" t="str">
        <f t="shared" si="55"/>
        <v>OTHERS</v>
      </c>
      <c r="P1169" s="4" t="str">
        <f t="shared" si="56"/>
        <v>PREMINUM MORNING</v>
      </c>
    </row>
    <row r="1170" spans="1:16" x14ac:dyDescent="0.3">
      <c r="A1170" s="4">
        <v>9</v>
      </c>
      <c r="B1170" t="s">
        <v>11</v>
      </c>
      <c r="C1170" s="4">
        <v>27.92</v>
      </c>
      <c r="D1170" t="s">
        <v>19</v>
      </c>
      <c r="E1170" t="s">
        <v>13</v>
      </c>
      <c r="F1170" s="4" t="s">
        <v>27</v>
      </c>
      <c r="G1170" s="4" t="s">
        <v>35</v>
      </c>
      <c r="H1170" s="4">
        <v>2</v>
      </c>
      <c r="I1170" s="4">
        <v>8</v>
      </c>
      <c r="J1170" s="1">
        <v>45517</v>
      </c>
      <c r="K1170" s="2">
        <v>3.190277777777778E-2</v>
      </c>
      <c r="M1170" s="4" t="str">
        <f t="shared" si="54"/>
        <v>LOW</v>
      </c>
      <c r="N1170" s="4" t="str" cm="1">
        <f t="array" ref="N1170">_xlfn.IFS(C1170&gt;35,"HIGH",C1170&gt;25,"MIDDLE",TRUE,"LOW")</f>
        <v>MIDDLE</v>
      </c>
      <c r="O1170" s="4" t="str">
        <f t="shared" si="55"/>
        <v>OTHERS</v>
      </c>
      <c r="P1170" s="4" t="str">
        <f t="shared" si="56"/>
        <v>PREMINUM MORNING</v>
      </c>
    </row>
    <row r="1171" spans="1:16" x14ac:dyDescent="0.3">
      <c r="A1171" s="4">
        <v>10</v>
      </c>
      <c r="B1171" t="s">
        <v>11</v>
      </c>
      <c r="C1171" s="4">
        <v>23.02</v>
      </c>
      <c r="D1171" t="s">
        <v>24</v>
      </c>
      <c r="E1171" t="s">
        <v>13</v>
      </c>
      <c r="F1171" s="4" t="s">
        <v>27</v>
      </c>
      <c r="G1171" s="4" t="s">
        <v>35</v>
      </c>
      <c r="H1171" s="4">
        <v>2</v>
      </c>
      <c r="I1171" s="4">
        <v>8</v>
      </c>
      <c r="J1171" s="1">
        <v>45517</v>
      </c>
      <c r="K1171" s="2">
        <v>2.926851851851852E-2</v>
      </c>
      <c r="M1171" s="4" t="str">
        <f t="shared" si="54"/>
        <v>LOW</v>
      </c>
      <c r="N1171" s="4" t="str" cm="1">
        <f t="array" ref="N1171">_xlfn.IFS(C1171&gt;35,"HIGH",C1171&gt;25,"MIDDLE",TRUE,"LOW")</f>
        <v>LOW</v>
      </c>
      <c r="O1171" s="4" t="str">
        <f t="shared" si="55"/>
        <v>OTHERS</v>
      </c>
      <c r="P1171" s="4" t="str">
        <f t="shared" si="56"/>
        <v>PREMINUM MORNING</v>
      </c>
    </row>
    <row r="1172" spans="1:16" x14ac:dyDescent="0.3">
      <c r="A1172" s="4">
        <v>11</v>
      </c>
      <c r="B1172" t="s">
        <v>11</v>
      </c>
      <c r="C1172" s="4">
        <v>32.82</v>
      </c>
      <c r="D1172" t="s">
        <v>12</v>
      </c>
      <c r="E1172" t="s">
        <v>13</v>
      </c>
      <c r="F1172" s="4" t="s">
        <v>27</v>
      </c>
      <c r="G1172" s="4" t="s">
        <v>35</v>
      </c>
      <c r="H1172" s="4">
        <v>2</v>
      </c>
      <c r="I1172" s="4">
        <v>8</v>
      </c>
      <c r="J1172" s="1">
        <v>45517</v>
      </c>
      <c r="K1172" s="2">
        <v>4.1523148148148149E-2</v>
      </c>
      <c r="M1172" s="4" t="str">
        <f t="shared" si="54"/>
        <v>LOW</v>
      </c>
      <c r="N1172" s="4" t="str" cm="1">
        <f t="array" ref="N1172">_xlfn.IFS(C1172&gt;35,"HIGH",C1172&gt;25,"MIDDLE",TRUE,"LOW")</f>
        <v>MIDDLE</v>
      </c>
      <c r="O1172" s="4" t="str">
        <f t="shared" si="55"/>
        <v>OTHERS</v>
      </c>
      <c r="P1172" s="4" t="str">
        <f t="shared" si="56"/>
        <v>PREMINUM MORNING</v>
      </c>
    </row>
    <row r="1173" spans="1:16" x14ac:dyDescent="0.3">
      <c r="A1173" s="4">
        <v>13</v>
      </c>
      <c r="B1173" t="s">
        <v>11</v>
      </c>
      <c r="C1173" s="4">
        <v>27.92</v>
      </c>
      <c r="D1173" t="s">
        <v>19</v>
      </c>
      <c r="E1173" t="s">
        <v>17</v>
      </c>
      <c r="F1173" s="4" t="s">
        <v>27</v>
      </c>
      <c r="G1173" s="4" t="s">
        <v>35</v>
      </c>
      <c r="H1173" s="4">
        <v>2</v>
      </c>
      <c r="I1173" s="4">
        <v>8</v>
      </c>
      <c r="J1173" s="1">
        <v>45517</v>
      </c>
      <c r="K1173" s="2">
        <v>1.1747685185185186E-3</v>
      </c>
      <c r="M1173" s="4" t="str">
        <f t="shared" si="54"/>
        <v>LOW</v>
      </c>
      <c r="N1173" s="4" t="str" cm="1">
        <f t="array" ref="N1173">_xlfn.IFS(C1173&gt;35,"HIGH",C1173&gt;25,"MIDDLE",TRUE,"LOW")</f>
        <v>MIDDLE</v>
      </c>
      <c r="O1173" s="4" t="str">
        <f t="shared" si="55"/>
        <v>OTHERS</v>
      </c>
      <c r="P1173" s="4" t="str">
        <f t="shared" si="56"/>
        <v>OTHERS</v>
      </c>
    </row>
    <row r="1174" spans="1:16" x14ac:dyDescent="0.3">
      <c r="A1174" s="4">
        <v>14</v>
      </c>
      <c r="B1174" t="s">
        <v>11</v>
      </c>
      <c r="C1174" s="4">
        <v>32.82</v>
      </c>
      <c r="D1174" t="s">
        <v>12</v>
      </c>
      <c r="E1174" t="s">
        <v>17</v>
      </c>
      <c r="F1174" s="4" t="s">
        <v>27</v>
      </c>
      <c r="G1174" s="4" t="s">
        <v>35</v>
      </c>
      <c r="H1174" s="4">
        <v>2</v>
      </c>
      <c r="I1174" s="4">
        <v>8</v>
      </c>
      <c r="J1174" s="1">
        <v>45517</v>
      </c>
      <c r="K1174" s="2">
        <v>3.1709490740740739E-2</v>
      </c>
      <c r="M1174" s="4" t="str">
        <f t="shared" si="54"/>
        <v>LOW</v>
      </c>
      <c r="N1174" s="4" t="str" cm="1">
        <f t="array" ref="N1174">_xlfn.IFS(C1174&gt;35,"HIGH",C1174&gt;25,"MIDDLE",TRUE,"LOW")</f>
        <v>MIDDLE</v>
      </c>
      <c r="O1174" s="4" t="str">
        <f t="shared" si="55"/>
        <v>OTHERS</v>
      </c>
      <c r="P1174" s="4" t="str">
        <f t="shared" si="56"/>
        <v>OTHERS</v>
      </c>
    </row>
    <row r="1175" spans="1:16" x14ac:dyDescent="0.3">
      <c r="A1175" s="4">
        <v>15</v>
      </c>
      <c r="B1175" t="s">
        <v>11</v>
      </c>
      <c r="C1175" s="4">
        <v>32.82</v>
      </c>
      <c r="D1175" t="s">
        <v>29</v>
      </c>
      <c r="E1175" t="s">
        <v>17</v>
      </c>
      <c r="F1175" s="4" t="s">
        <v>27</v>
      </c>
      <c r="G1175" s="4" t="s">
        <v>35</v>
      </c>
      <c r="H1175" s="4">
        <v>2</v>
      </c>
      <c r="I1175" s="4">
        <v>8</v>
      </c>
      <c r="J1175" s="1">
        <v>45517</v>
      </c>
      <c r="K1175" s="2">
        <v>3.3295138888888888E-2</v>
      </c>
      <c r="M1175" s="4" t="str">
        <f t="shared" si="54"/>
        <v>LOW</v>
      </c>
      <c r="N1175" s="4" t="str" cm="1">
        <f t="array" ref="N1175">_xlfn.IFS(C1175&gt;35,"HIGH",C1175&gt;25,"MIDDLE",TRUE,"LOW")</f>
        <v>MIDDLE</v>
      </c>
      <c r="O1175" s="4" t="str">
        <f t="shared" si="55"/>
        <v>OTHERS</v>
      </c>
      <c r="P1175" s="4" t="str">
        <f t="shared" si="56"/>
        <v>OTHERS</v>
      </c>
    </row>
    <row r="1176" spans="1:16" x14ac:dyDescent="0.3">
      <c r="A1176" s="4">
        <v>15</v>
      </c>
      <c r="B1176" t="s">
        <v>11</v>
      </c>
      <c r="C1176" s="4">
        <v>27.92</v>
      </c>
      <c r="D1176" t="s">
        <v>19</v>
      </c>
      <c r="E1176" t="s">
        <v>17</v>
      </c>
      <c r="F1176" s="4" t="s">
        <v>27</v>
      </c>
      <c r="G1176" s="4" t="s">
        <v>35</v>
      </c>
      <c r="H1176" s="4">
        <v>2</v>
      </c>
      <c r="I1176" s="4">
        <v>8</v>
      </c>
      <c r="J1176" s="1">
        <v>45517</v>
      </c>
      <c r="K1176" s="2">
        <v>3.8537037037037036E-2</v>
      </c>
      <c r="M1176" s="4" t="str">
        <f t="shared" si="54"/>
        <v>LOW</v>
      </c>
      <c r="N1176" s="4" t="str" cm="1">
        <f t="array" ref="N1176">_xlfn.IFS(C1176&gt;35,"HIGH",C1176&gt;25,"MIDDLE",TRUE,"LOW")</f>
        <v>MIDDLE</v>
      </c>
      <c r="O1176" s="4" t="str">
        <f t="shared" si="55"/>
        <v>OTHERS</v>
      </c>
      <c r="P1176" s="4" t="str">
        <f t="shared" si="56"/>
        <v>OTHERS</v>
      </c>
    </row>
    <row r="1177" spans="1:16" x14ac:dyDescent="0.3">
      <c r="A1177" s="4">
        <v>20</v>
      </c>
      <c r="B1177" t="s">
        <v>11</v>
      </c>
      <c r="C1177" s="4">
        <v>32.82</v>
      </c>
      <c r="D1177" t="s">
        <v>12</v>
      </c>
      <c r="E1177" t="s">
        <v>20</v>
      </c>
      <c r="F1177" s="4" t="s">
        <v>27</v>
      </c>
      <c r="G1177" s="4" t="s">
        <v>35</v>
      </c>
      <c r="H1177" s="4">
        <v>2</v>
      </c>
      <c r="I1177" s="4">
        <v>8</v>
      </c>
      <c r="J1177" s="1">
        <v>45517</v>
      </c>
      <c r="K1177" s="2">
        <v>2.0538194444444446E-2</v>
      </c>
      <c r="M1177" s="4" t="str">
        <f t="shared" si="54"/>
        <v>LOW</v>
      </c>
      <c r="N1177" s="4" t="str" cm="1">
        <f t="array" ref="N1177">_xlfn.IFS(C1177&gt;35,"HIGH",C1177&gt;25,"MIDDLE",TRUE,"LOW")</f>
        <v>MIDDLE</v>
      </c>
      <c r="O1177" s="4" t="str">
        <f t="shared" si="55"/>
        <v>OTHERS</v>
      </c>
      <c r="P1177" s="4" t="str">
        <f t="shared" si="56"/>
        <v>OTHERS</v>
      </c>
    </row>
    <row r="1178" spans="1:16" x14ac:dyDescent="0.3">
      <c r="A1178" s="4">
        <v>20</v>
      </c>
      <c r="B1178" t="s">
        <v>11</v>
      </c>
      <c r="C1178" s="4">
        <v>32.82</v>
      </c>
      <c r="D1178" t="s">
        <v>21</v>
      </c>
      <c r="E1178" t="s">
        <v>20</v>
      </c>
      <c r="F1178" s="4" t="s">
        <v>27</v>
      </c>
      <c r="G1178" s="4" t="s">
        <v>35</v>
      </c>
      <c r="H1178" s="4">
        <v>2</v>
      </c>
      <c r="I1178" s="4">
        <v>8</v>
      </c>
      <c r="J1178" s="1">
        <v>45517</v>
      </c>
      <c r="K1178" s="2">
        <v>2.1263888888888888E-2</v>
      </c>
      <c r="M1178" s="4" t="str">
        <f t="shared" si="54"/>
        <v>LOW</v>
      </c>
      <c r="N1178" s="4" t="str" cm="1">
        <f t="array" ref="N1178">_xlfn.IFS(C1178&gt;35,"HIGH",C1178&gt;25,"MIDDLE",TRUE,"LOW")</f>
        <v>MIDDLE</v>
      </c>
      <c r="O1178" s="4" t="str">
        <f t="shared" si="55"/>
        <v>OTHERS</v>
      </c>
      <c r="P1178" s="4" t="str">
        <f t="shared" si="56"/>
        <v>OTHERS</v>
      </c>
    </row>
    <row r="1179" spans="1:16" x14ac:dyDescent="0.3">
      <c r="A1179" s="4">
        <v>20</v>
      </c>
      <c r="B1179" t="s">
        <v>11</v>
      </c>
      <c r="C1179" s="4">
        <v>32.82</v>
      </c>
      <c r="D1179" t="s">
        <v>29</v>
      </c>
      <c r="E1179" t="s">
        <v>20</v>
      </c>
      <c r="F1179" s="4" t="s">
        <v>27</v>
      </c>
      <c r="G1179" s="4" t="s">
        <v>35</v>
      </c>
      <c r="H1179" s="4">
        <v>2</v>
      </c>
      <c r="I1179" s="4">
        <v>8</v>
      </c>
      <c r="J1179" s="1">
        <v>45517</v>
      </c>
      <c r="K1179" s="2">
        <v>3.0821759259259261E-2</v>
      </c>
      <c r="M1179" s="4" t="str">
        <f t="shared" si="54"/>
        <v>LOW</v>
      </c>
      <c r="N1179" s="4" t="str" cm="1">
        <f t="array" ref="N1179">_xlfn.IFS(C1179&gt;35,"HIGH",C1179&gt;25,"MIDDLE",TRUE,"LOW")</f>
        <v>MIDDLE</v>
      </c>
      <c r="O1179" s="4" t="str">
        <f t="shared" si="55"/>
        <v>OTHERS</v>
      </c>
      <c r="P1179" s="4" t="str">
        <f t="shared" si="56"/>
        <v>OTHERS</v>
      </c>
    </row>
    <row r="1180" spans="1:16" x14ac:dyDescent="0.3">
      <c r="A1180" s="4">
        <v>21</v>
      </c>
      <c r="B1180" t="s">
        <v>11</v>
      </c>
      <c r="C1180" s="4">
        <v>23.02</v>
      </c>
      <c r="D1180" t="s">
        <v>24</v>
      </c>
      <c r="E1180" t="s">
        <v>20</v>
      </c>
      <c r="F1180" s="4" t="s">
        <v>27</v>
      </c>
      <c r="G1180" s="4" t="s">
        <v>35</v>
      </c>
      <c r="H1180" s="4">
        <v>2</v>
      </c>
      <c r="I1180" s="4">
        <v>8</v>
      </c>
      <c r="J1180" s="1">
        <v>45517</v>
      </c>
      <c r="K1180" s="2">
        <v>5.1736111111111112E-4</v>
      </c>
      <c r="M1180" s="4" t="str">
        <f t="shared" si="54"/>
        <v>LOW</v>
      </c>
      <c r="N1180" s="4" t="str" cm="1">
        <f t="array" ref="N1180">_xlfn.IFS(C1180&gt;35,"HIGH",C1180&gt;25,"MIDDLE",TRUE,"LOW")</f>
        <v>LOW</v>
      </c>
      <c r="O1180" s="4" t="str">
        <f t="shared" si="55"/>
        <v>OTHERS</v>
      </c>
      <c r="P1180" s="4" t="str">
        <f t="shared" si="56"/>
        <v>OTHERS</v>
      </c>
    </row>
    <row r="1181" spans="1:16" x14ac:dyDescent="0.3">
      <c r="A1181" s="4">
        <v>7</v>
      </c>
      <c r="B1181" t="s">
        <v>11</v>
      </c>
      <c r="C1181" s="4">
        <v>32.82</v>
      </c>
      <c r="D1181" t="s">
        <v>12</v>
      </c>
      <c r="E1181" t="s">
        <v>13</v>
      </c>
      <c r="F1181" s="4" t="s">
        <v>28</v>
      </c>
      <c r="G1181" s="4" t="s">
        <v>35</v>
      </c>
      <c r="H1181" s="4">
        <v>3</v>
      </c>
      <c r="I1181" s="4">
        <v>8</v>
      </c>
      <c r="J1181" s="1">
        <v>45518</v>
      </c>
      <c r="K1181" s="2">
        <v>2.4862268518518516E-2</v>
      </c>
      <c r="M1181" s="4" t="str">
        <f t="shared" si="54"/>
        <v>LOW</v>
      </c>
      <c r="N1181" s="4" t="str" cm="1">
        <f t="array" ref="N1181">_xlfn.IFS(C1181&gt;35,"HIGH",C1181&gt;25,"MIDDLE",TRUE,"LOW")</f>
        <v>MIDDLE</v>
      </c>
      <c r="O1181" s="4" t="str">
        <f t="shared" si="55"/>
        <v>OTHERS</v>
      </c>
      <c r="P1181" s="4" t="str">
        <f t="shared" si="56"/>
        <v>PREMINUM MORNING</v>
      </c>
    </row>
    <row r="1182" spans="1:16" x14ac:dyDescent="0.3">
      <c r="A1182" s="4">
        <v>7</v>
      </c>
      <c r="B1182" t="s">
        <v>11</v>
      </c>
      <c r="C1182" s="4">
        <v>32.82</v>
      </c>
      <c r="D1182" t="s">
        <v>29</v>
      </c>
      <c r="E1182" t="s">
        <v>13</v>
      </c>
      <c r="F1182" s="4" t="s">
        <v>28</v>
      </c>
      <c r="G1182" s="4" t="s">
        <v>35</v>
      </c>
      <c r="H1182" s="4">
        <v>3</v>
      </c>
      <c r="I1182" s="4">
        <v>8</v>
      </c>
      <c r="J1182" s="1">
        <v>45518</v>
      </c>
      <c r="K1182" s="2">
        <v>2.5643518518518517E-2</v>
      </c>
      <c r="M1182" s="4" t="str">
        <f t="shared" si="54"/>
        <v>LOW</v>
      </c>
      <c r="N1182" s="4" t="str" cm="1">
        <f t="array" ref="N1182">_xlfn.IFS(C1182&gt;35,"HIGH",C1182&gt;25,"MIDDLE",TRUE,"LOW")</f>
        <v>MIDDLE</v>
      </c>
      <c r="O1182" s="4" t="str">
        <f t="shared" si="55"/>
        <v>OTHERS</v>
      </c>
      <c r="P1182" s="4" t="str">
        <f t="shared" si="56"/>
        <v>PREMINUM MORNING</v>
      </c>
    </row>
    <row r="1183" spans="1:16" x14ac:dyDescent="0.3">
      <c r="A1183" s="4">
        <v>10</v>
      </c>
      <c r="B1183" t="s">
        <v>11</v>
      </c>
      <c r="C1183" s="4">
        <v>23.02</v>
      </c>
      <c r="D1183" t="s">
        <v>24</v>
      </c>
      <c r="E1183" t="s">
        <v>13</v>
      </c>
      <c r="F1183" s="4" t="s">
        <v>28</v>
      </c>
      <c r="G1183" s="4" t="s">
        <v>35</v>
      </c>
      <c r="H1183" s="4">
        <v>3</v>
      </c>
      <c r="I1183" s="4">
        <v>8</v>
      </c>
      <c r="J1183" s="1">
        <v>45518</v>
      </c>
      <c r="K1183" s="2">
        <v>6.5868055555555558E-3</v>
      </c>
      <c r="M1183" s="4" t="str">
        <f t="shared" si="54"/>
        <v>LOW</v>
      </c>
      <c r="N1183" s="4" t="str" cm="1">
        <f t="array" ref="N1183">_xlfn.IFS(C1183&gt;35,"HIGH",C1183&gt;25,"MIDDLE",TRUE,"LOW")</f>
        <v>LOW</v>
      </c>
      <c r="O1183" s="4" t="str">
        <f t="shared" si="55"/>
        <v>OTHERS</v>
      </c>
      <c r="P1183" s="4" t="str">
        <f t="shared" si="56"/>
        <v>PREMINUM MORNING</v>
      </c>
    </row>
    <row r="1184" spans="1:16" x14ac:dyDescent="0.3">
      <c r="A1184" s="4">
        <v>11</v>
      </c>
      <c r="B1184" t="s">
        <v>11</v>
      </c>
      <c r="C1184" s="4">
        <v>18.12</v>
      </c>
      <c r="D1184" t="s">
        <v>26</v>
      </c>
      <c r="E1184" t="s">
        <v>13</v>
      </c>
      <c r="F1184" s="4" t="s">
        <v>28</v>
      </c>
      <c r="G1184" s="4" t="s">
        <v>35</v>
      </c>
      <c r="H1184" s="4">
        <v>3</v>
      </c>
      <c r="I1184" s="4">
        <v>8</v>
      </c>
      <c r="J1184" s="1">
        <v>45518</v>
      </c>
      <c r="K1184" s="2">
        <v>2.7174768518518518E-2</v>
      </c>
      <c r="M1184" s="4" t="str">
        <f t="shared" si="54"/>
        <v>LOW</v>
      </c>
      <c r="N1184" s="4" t="str" cm="1">
        <f t="array" ref="N1184">_xlfn.IFS(C1184&gt;35,"HIGH",C1184&gt;25,"MIDDLE",TRUE,"LOW")</f>
        <v>LOW</v>
      </c>
      <c r="O1184" s="4" t="str">
        <f t="shared" si="55"/>
        <v>OTHERS</v>
      </c>
      <c r="P1184" s="4" t="str">
        <f t="shared" si="56"/>
        <v>PREMINUM MORNING</v>
      </c>
    </row>
    <row r="1185" spans="1:16" x14ac:dyDescent="0.3">
      <c r="A1185" s="4">
        <v>12</v>
      </c>
      <c r="B1185" t="s">
        <v>11</v>
      </c>
      <c r="C1185" s="4">
        <v>23.02</v>
      </c>
      <c r="D1185" t="s">
        <v>18</v>
      </c>
      <c r="E1185" t="s">
        <v>17</v>
      </c>
      <c r="F1185" s="4" t="s">
        <v>28</v>
      </c>
      <c r="G1185" s="4" t="s">
        <v>35</v>
      </c>
      <c r="H1185" s="4">
        <v>3</v>
      </c>
      <c r="I1185" s="4">
        <v>8</v>
      </c>
      <c r="J1185" s="1">
        <v>45518</v>
      </c>
      <c r="K1185" s="2">
        <v>3.4224537037037039E-2</v>
      </c>
      <c r="M1185" s="4" t="str">
        <f t="shared" si="54"/>
        <v>LOW</v>
      </c>
      <c r="N1185" s="4" t="str" cm="1">
        <f t="array" ref="N1185">_xlfn.IFS(C1185&gt;35,"HIGH",C1185&gt;25,"MIDDLE",TRUE,"LOW")</f>
        <v>LOW</v>
      </c>
      <c r="O1185" s="4" t="str">
        <f t="shared" si="55"/>
        <v>OTHERS</v>
      </c>
      <c r="P1185" s="4" t="str">
        <f t="shared" si="56"/>
        <v>OTHERS</v>
      </c>
    </row>
    <row r="1186" spans="1:16" x14ac:dyDescent="0.3">
      <c r="A1186" s="4">
        <v>12</v>
      </c>
      <c r="B1186" t="s">
        <v>11</v>
      </c>
      <c r="C1186" s="4">
        <v>23.02</v>
      </c>
      <c r="D1186" t="s">
        <v>18</v>
      </c>
      <c r="E1186" t="s">
        <v>17</v>
      </c>
      <c r="F1186" s="4" t="s">
        <v>28</v>
      </c>
      <c r="G1186" s="4" t="s">
        <v>35</v>
      </c>
      <c r="H1186" s="4">
        <v>3</v>
      </c>
      <c r="I1186" s="4">
        <v>8</v>
      </c>
      <c r="J1186" s="1">
        <v>45518</v>
      </c>
      <c r="K1186" s="2">
        <v>3.5473379629629632E-2</v>
      </c>
      <c r="M1186" s="4" t="str">
        <f t="shared" si="54"/>
        <v>LOW</v>
      </c>
      <c r="N1186" s="4" t="str" cm="1">
        <f t="array" ref="N1186">_xlfn.IFS(C1186&gt;35,"HIGH",C1186&gt;25,"MIDDLE",TRUE,"LOW")</f>
        <v>LOW</v>
      </c>
      <c r="O1186" s="4" t="str">
        <f t="shared" si="55"/>
        <v>OTHERS</v>
      </c>
      <c r="P1186" s="4" t="str">
        <f t="shared" si="56"/>
        <v>OTHERS</v>
      </c>
    </row>
    <row r="1187" spans="1:16" x14ac:dyDescent="0.3">
      <c r="A1187" s="4">
        <v>15</v>
      </c>
      <c r="B1187" t="s">
        <v>11</v>
      </c>
      <c r="C1187" s="4">
        <v>32.82</v>
      </c>
      <c r="D1187" t="s">
        <v>12</v>
      </c>
      <c r="E1187" t="s">
        <v>17</v>
      </c>
      <c r="F1187" s="4" t="s">
        <v>28</v>
      </c>
      <c r="G1187" s="4" t="s">
        <v>35</v>
      </c>
      <c r="H1187" s="4">
        <v>3</v>
      </c>
      <c r="I1187" s="4">
        <v>8</v>
      </c>
      <c r="J1187" s="1">
        <v>45518</v>
      </c>
      <c r="K1187" s="2">
        <v>1.4899305555555555E-2</v>
      </c>
      <c r="M1187" s="4" t="str">
        <f t="shared" si="54"/>
        <v>LOW</v>
      </c>
      <c r="N1187" s="4" t="str" cm="1">
        <f t="array" ref="N1187">_xlfn.IFS(C1187&gt;35,"HIGH",C1187&gt;25,"MIDDLE",TRUE,"LOW")</f>
        <v>MIDDLE</v>
      </c>
      <c r="O1187" s="4" t="str">
        <f t="shared" si="55"/>
        <v>OTHERS</v>
      </c>
      <c r="P1187" s="4" t="str">
        <f t="shared" si="56"/>
        <v>OTHERS</v>
      </c>
    </row>
    <row r="1188" spans="1:16" x14ac:dyDescent="0.3">
      <c r="A1188" s="4">
        <v>17</v>
      </c>
      <c r="B1188" t="s">
        <v>11</v>
      </c>
      <c r="C1188" s="4">
        <v>23.02</v>
      </c>
      <c r="D1188" t="s">
        <v>18</v>
      </c>
      <c r="E1188" t="s">
        <v>20</v>
      </c>
      <c r="F1188" s="4" t="s">
        <v>28</v>
      </c>
      <c r="G1188" s="4" t="s">
        <v>35</v>
      </c>
      <c r="H1188" s="4">
        <v>3</v>
      </c>
      <c r="I1188" s="4">
        <v>8</v>
      </c>
      <c r="J1188" s="1">
        <v>45518</v>
      </c>
      <c r="K1188" s="2">
        <v>1.6930555555555556E-2</v>
      </c>
      <c r="M1188" s="4" t="str">
        <f t="shared" si="54"/>
        <v>LOW</v>
      </c>
      <c r="N1188" s="4" t="str" cm="1">
        <f t="array" ref="N1188">_xlfn.IFS(C1188&gt;35,"HIGH",C1188&gt;25,"MIDDLE",TRUE,"LOW")</f>
        <v>LOW</v>
      </c>
      <c r="O1188" s="4" t="str">
        <f t="shared" si="55"/>
        <v>OTHERS</v>
      </c>
      <c r="P1188" s="4" t="str">
        <f t="shared" si="56"/>
        <v>OTHERS</v>
      </c>
    </row>
    <row r="1189" spans="1:16" x14ac:dyDescent="0.3">
      <c r="A1189" s="4">
        <v>18</v>
      </c>
      <c r="B1189" t="s">
        <v>11</v>
      </c>
      <c r="C1189" s="4">
        <v>23.02</v>
      </c>
      <c r="D1189" t="s">
        <v>24</v>
      </c>
      <c r="E1189" t="s">
        <v>20</v>
      </c>
      <c r="F1189" s="4" t="s">
        <v>28</v>
      </c>
      <c r="G1189" s="4" t="s">
        <v>35</v>
      </c>
      <c r="H1189" s="4">
        <v>3</v>
      </c>
      <c r="I1189" s="4">
        <v>8</v>
      </c>
      <c r="J1189" s="1">
        <v>45518</v>
      </c>
      <c r="K1189" s="2">
        <v>6.9872685185185194E-3</v>
      </c>
      <c r="M1189" s="4" t="str">
        <f t="shared" si="54"/>
        <v>LOW</v>
      </c>
      <c r="N1189" s="4" t="str" cm="1">
        <f t="array" ref="N1189">_xlfn.IFS(C1189&gt;35,"HIGH",C1189&gt;25,"MIDDLE",TRUE,"LOW")</f>
        <v>LOW</v>
      </c>
      <c r="O1189" s="4" t="str">
        <f t="shared" si="55"/>
        <v>OTHERS</v>
      </c>
      <c r="P1189" s="4" t="str">
        <f t="shared" si="56"/>
        <v>OTHERS</v>
      </c>
    </row>
    <row r="1190" spans="1:16" x14ac:dyDescent="0.3">
      <c r="A1190" s="4">
        <v>18</v>
      </c>
      <c r="B1190" t="s">
        <v>11</v>
      </c>
      <c r="C1190" s="4">
        <v>27.92</v>
      </c>
      <c r="D1190" t="s">
        <v>19</v>
      </c>
      <c r="E1190" t="s">
        <v>20</v>
      </c>
      <c r="F1190" s="4" t="s">
        <v>28</v>
      </c>
      <c r="G1190" s="4" t="s">
        <v>35</v>
      </c>
      <c r="H1190" s="4">
        <v>3</v>
      </c>
      <c r="I1190" s="4">
        <v>8</v>
      </c>
      <c r="J1190" s="1">
        <v>45518</v>
      </c>
      <c r="K1190" s="2">
        <v>4.1184027777777778E-2</v>
      </c>
      <c r="M1190" s="4" t="str">
        <f t="shared" si="54"/>
        <v>LOW</v>
      </c>
      <c r="N1190" s="4" t="str" cm="1">
        <f t="array" ref="N1190">_xlfn.IFS(C1190&gt;35,"HIGH",C1190&gt;25,"MIDDLE",TRUE,"LOW")</f>
        <v>MIDDLE</v>
      </c>
      <c r="O1190" s="4" t="str">
        <f t="shared" si="55"/>
        <v>OTHERS</v>
      </c>
      <c r="P1190" s="4" t="str">
        <f t="shared" si="56"/>
        <v>OTHERS</v>
      </c>
    </row>
    <row r="1191" spans="1:16" x14ac:dyDescent="0.3">
      <c r="A1191" s="4">
        <v>19</v>
      </c>
      <c r="B1191" t="s">
        <v>11</v>
      </c>
      <c r="C1191" s="4">
        <v>32.82</v>
      </c>
      <c r="D1191" t="s">
        <v>12</v>
      </c>
      <c r="E1191" t="s">
        <v>20</v>
      </c>
      <c r="F1191" s="4" t="s">
        <v>28</v>
      </c>
      <c r="G1191" s="4" t="s">
        <v>35</v>
      </c>
      <c r="H1191" s="4">
        <v>3</v>
      </c>
      <c r="I1191" s="4">
        <v>8</v>
      </c>
      <c r="J1191" s="1">
        <v>45518</v>
      </c>
      <c r="K1191" s="2">
        <v>2.420949074074074E-2</v>
      </c>
      <c r="M1191" s="4" t="str">
        <f t="shared" si="54"/>
        <v>LOW</v>
      </c>
      <c r="N1191" s="4" t="str" cm="1">
        <f t="array" ref="N1191">_xlfn.IFS(C1191&gt;35,"HIGH",C1191&gt;25,"MIDDLE",TRUE,"LOW")</f>
        <v>MIDDLE</v>
      </c>
      <c r="O1191" s="4" t="str">
        <f t="shared" si="55"/>
        <v>OTHERS</v>
      </c>
      <c r="P1191" s="4" t="str">
        <f t="shared" si="56"/>
        <v>OTHERS</v>
      </c>
    </row>
    <row r="1192" spans="1:16" x14ac:dyDescent="0.3">
      <c r="A1192" s="4">
        <v>19</v>
      </c>
      <c r="B1192" t="s">
        <v>11</v>
      </c>
      <c r="C1192" s="4">
        <v>23.02</v>
      </c>
      <c r="D1192" t="s">
        <v>24</v>
      </c>
      <c r="E1192" t="s">
        <v>20</v>
      </c>
      <c r="F1192" s="4" t="s">
        <v>28</v>
      </c>
      <c r="G1192" s="4" t="s">
        <v>35</v>
      </c>
      <c r="H1192" s="4">
        <v>3</v>
      </c>
      <c r="I1192" s="4">
        <v>8</v>
      </c>
      <c r="J1192" s="1">
        <v>45518</v>
      </c>
      <c r="K1192" s="2">
        <v>2.4866898148148148E-2</v>
      </c>
      <c r="M1192" s="4" t="str">
        <f t="shared" si="54"/>
        <v>LOW</v>
      </c>
      <c r="N1192" s="4" t="str" cm="1">
        <f t="array" ref="N1192">_xlfn.IFS(C1192&gt;35,"HIGH",C1192&gt;25,"MIDDLE",TRUE,"LOW")</f>
        <v>LOW</v>
      </c>
      <c r="O1192" s="4" t="str">
        <f t="shared" si="55"/>
        <v>OTHERS</v>
      </c>
      <c r="P1192" s="4" t="str">
        <f t="shared" si="56"/>
        <v>OTHERS</v>
      </c>
    </row>
    <row r="1193" spans="1:16" x14ac:dyDescent="0.3">
      <c r="A1193" s="4">
        <v>21</v>
      </c>
      <c r="B1193" t="s">
        <v>11</v>
      </c>
      <c r="C1193" s="4">
        <v>32.82</v>
      </c>
      <c r="D1193" t="s">
        <v>12</v>
      </c>
      <c r="E1193" t="s">
        <v>20</v>
      </c>
      <c r="F1193" s="4" t="s">
        <v>28</v>
      </c>
      <c r="G1193" s="4" t="s">
        <v>35</v>
      </c>
      <c r="H1193" s="4">
        <v>3</v>
      </c>
      <c r="I1193" s="4">
        <v>8</v>
      </c>
      <c r="J1193" s="1">
        <v>45518</v>
      </c>
      <c r="K1193" s="2">
        <v>2.8854166666666667E-2</v>
      </c>
      <c r="M1193" s="4" t="str">
        <f t="shared" si="54"/>
        <v>LOW</v>
      </c>
      <c r="N1193" s="4" t="str" cm="1">
        <f t="array" ref="N1193">_xlfn.IFS(C1193&gt;35,"HIGH",C1193&gt;25,"MIDDLE",TRUE,"LOW")</f>
        <v>MIDDLE</v>
      </c>
      <c r="O1193" s="4" t="str">
        <f t="shared" si="55"/>
        <v>OTHERS</v>
      </c>
      <c r="P1193" s="4" t="str">
        <f t="shared" si="56"/>
        <v>OTHERS</v>
      </c>
    </row>
    <row r="1194" spans="1:16" x14ac:dyDescent="0.3">
      <c r="A1194" s="4">
        <v>9</v>
      </c>
      <c r="B1194" t="s">
        <v>11</v>
      </c>
      <c r="C1194" s="4">
        <v>23.02</v>
      </c>
      <c r="D1194" t="s">
        <v>24</v>
      </c>
      <c r="E1194" t="s">
        <v>13</v>
      </c>
      <c r="F1194" s="4" t="s">
        <v>30</v>
      </c>
      <c r="G1194" s="4" t="s">
        <v>35</v>
      </c>
      <c r="H1194" s="4">
        <v>4</v>
      </c>
      <c r="I1194" s="4">
        <v>8</v>
      </c>
      <c r="J1194" s="1">
        <v>45519</v>
      </c>
      <c r="K1194" s="2">
        <v>2.5129629629629627E-2</v>
      </c>
      <c r="M1194" s="4" t="str">
        <f t="shared" si="54"/>
        <v>LOW</v>
      </c>
      <c r="N1194" s="4" t="str" cm="1">
        <f t="array" ref="N1194">_xlfn.IFS(C1194&gt;35,"HIGH",C1194&gt;25,"MIDDLE",TRUE,"LOW")</f>
        <v>LOW</v>
      </c>
      <c r="O1194" s="4" t="str">
        <f t="shared" si="55"/>
        <v>OTHERS</v>
      </c>
      <c r="P1194" s="4" t="str">
        <f t="shared" si="56"/>
        <v>PREMINUM MORNING</v>
      </c>
    </row>
    <row r="1195" spans="1:16" x14ac:dyDescent="0.3">
      <c r="A1195" s="4">
        <v>9</v>
      </c>
      <c r="B1195" t="s">
        <v>11</v>
      </c>
      <c r="C1195" s="4">
        <v>32.82</v>
      </c>
      <c r="D1195" t="s">
        <v>29</v>
      </c>
      <c r="E1195" t="s">
        <v>13</v>
      </c>
      <c r="F1195" s="4" t="s">
        <v>30</v>
      </c>
      <c r="G1195" s="4" t="s">
        <v>35</v>
      </c>
      <c r="H1195" s="4">
        <v>4</v>
      </c>
      <c r="I1195" s="4">
        <v>8</v>
      </c>
      <c r="J1195" s="1">
        <v>45519</v>
      </c>
      <c r="K1195" s="2">
        <v>2.5719907407407407E-2</v>
      </c>
      <c r="M1195" s="4" t="str">
        <f t="shared" si="54"/>
        <v>LOW</v>
      </c>
      <c r="N1195" s="4" t="str" cm="1">
        <f t="array" ref="N1195">_xlfn.IFS(C1195&gt;35,"HIGH",C1195&gt;25,"MIDDLE",TRUE,"LOW")</f>
        <v>MIDDLE</v>
      </c>
      <c r="O1195" s="4" t="str">
        <f t="shared" si="55"/>
        <v>OTHERS</v>
      </c>
      <c r="P1195" s="4" t="str">
        <f t="shared" si="56"/>
        <v>PREMINUM MORNING</v>
      </c>
    </row>
    <row r="1196" spans="1:16" x14ac:dyDescent="0.3">
      <c r="A1196" s="4">
        <v>9</v>
      </c>
      <c r="B1196" t="s">
        <v>11</v>
      </c>
      <c r="C1196" s="4">
        <v>32.82</v>
      </c>
      <c r="D1196" t="s">
        <v>16</v>
      </c>
      <c r="E1196" t="s">
        <v>13</v>
      </c>
      <c r="F1196" s="4" t="s">
        <v>30</v>
      </c>
      <c r="G1196" s="4" t="s">
        <v>35</v>
      </c>
      <c r="H1196" s="4">
        <v>4</v>
      </c>
      <c r="I1196" s="4">
        <v>8</v>
      </c>
      <c r="J1196" s="1">
        <v>45519</v>
      </c>
      <c r="K1196" s="2">
        <v>2.6445601851851852E-2</v>
      </c>
      <c r="M1196" s="4" t="str">
        <f t="shared" si="54"/>
        <v>LOW</v>
      </c>
      <c r="N1196" s="4" t="str" cm="1">
        <f t="array" ref="N1196">_xlfn.IFS(C1196&gt;35,"HIGH",C1196&gt;25,"MIDDLE",TRUE,"LOW")</f>
        <v>MIDDLE</v>
      </c>
      <c r="O1196" s="4" t="str">
        <f t="shared" si="55"/>
        <v>OTHERS</v>
      </c>
      <c r="P1196" s="4" t="str">
        <f t="shared" si="56"/>
        <v>PREMINUM MORNING</v>
      </c>
    </row>
    <row r="1197" spans="1:16" x14ac:dyDescent="0.3">
      <c r="A1197" s="4">
        <v>9</v>
      </c>
      <c r="B1197" t="s">
        <v>11</v>
      </c>
      <c r="C1197" s="4">
        <v>32.82</v>
      </c>
      <c r="D1197" t="s">
        <v>12</v>
      </c>
      <c r="E1197" t="s">
        <v>13</v>
      </c>
      <c r="F1197" s="4" t="s">
        <v>30</v>
      </c>
      <c r="G1197" s="4" t="s">
        <v>35</v>
      </c>
      <c r="H1197" s="4">
        <v>4</v>
      </c>
      <c r="I1197" s="4">
        <v>8</v>
      </c>
      <c r="J1197" s="1">
        <v>45519</v>
      </c>
      <c r="K1197" s="2">
        <v>2.6964120370370367E-2</v>
      </c>
      <c r="M1197" s="4" t="str">
        <f t="shared" si="54"/>
        <v>LOW</v>
      </c>
      <c r="N1197" s="4" t="str" cm="1">
        <f t="array" ref="N1197">_xlfn.IFS(C1197&gt;35,"HIGH",C1197&gt;25,"MIDDLE",TRUE,"LOW")</f>
        <v>MIDDLE</v>
      </c>
      <c r="O1197" s="4" t="str">
        <f t="shared" si="55"/>
        <v>OTHERS</v>
      </c>
      <c r="P1197" s="4" t="str">
        <f t="shared" si="56"/>
        <v>PREMINUM MORNING</v>
      </c>
    </row>
    <row r="1198" spans="1:16" x14ac:dyDescent="0.3">
      <c r="A1198" s="4">
        <v>12</v>
      </c>
      <c r="B1198" t="s">
        <v>11</v>
      </c>
      <c r="C1198" s="4">
        <v>32.82</v>
      </c>
      <c r="D1198" t="s">
        <v>12</v>
      </c>
      <c r="E1198" t="s">
        <v>17</v>
      </c>
      <c r="F1198" s="4" t="s">
        <v>30</v>
      </c>
      <c r="G1198" s="4" t="s">
        <v>35</v>
      </c>
      <c r="H1198" s="4">
        <v>4</v>
      </c>
      <c r="I1198" s="4">
        <v>8</v>
      </c>
      <c r="J1198" s="1">
        <v>45519</v>
      </c>
      <c r="K1198" s="2">
        <v>2.6824074074074073E-2</v>
      </c>
      <c r="M1198" s="4" t="str">
        <f t="shared" si="54"/>
        <v>LOW</v>
      </c>
      <c r="N1198" s="4" t="str" cm="1">
        <f t="array" ref="N1198">_xlfn.IFS(C1198&gt;35,"HIGH",C1198&gt;25,"MIDDLE",TRUE,"LOW")</f>
        <v>MIDDLE</v>
      </c>
      <c r="O1198" s="4" t="str">
        <f t="shared" si="55"/>
        <v>OTHERS</v>
      </c>
      <c r="P1198" s="4" t="str">
        <f t="shared" si="56"/>
        <v>OTHERS</v>
      </c>
    </row>
    <row r="1199" spans="1:16" x14ac:dyDescent="0.3">
      <c r="A1199" s="4">
        <v>13</v>
      </c>
      <c r="B1199" t="s">
        <v>11</v>
      </c>
      <c r="C1199" s="4">
        <v>32.82</v>
      </c>
      <c r="D1199" t="s">
        <v>12</v>
      </c>
      <c r="E1199" t="s">
        <v>17</v>
      </c>
      <c r="F1199" s="4" t="s">
        <v>30</v>
      </c>
      <c r="G1199" s="4" t="s">
        <v>35</v>
      </c>
      <c r="H1199" s="4">
        <v>4</v>
      </c>
      <c r="I1199" s="4">
        <v>8</v>
      </c>
      <c r="J1199" s="1">
        <v>45519</v>
      </c>
      <c r="K1199" s="2">
        <v>3.3490740740740738E-2</v>
      </c>
      <c r="M1199" s="4" t="str">
        <f t="shared" si="54"/>
        <v>LOW</v>
      </c>
      <c r="N1199" s="4" t="str" cm="1">
        <f t="array" ref="N1199">_xlfn.IFS(C1199&gt;35,"HIGH",C1199&gt;25,"MIDDLE",TRUE,"LOW")</f>
        <v>MIDDLE</v>
      </c>
      <c r="O1199" s="4" t="str">
        <f t="shared" si="55"/>
        <v>OTHERS</v>
      </c>
      <c r="P1199" s="4" t="str">
        <f t="shared" si="56"/>
        <v>OTHERS</v>
      </c>
    </row>
    <row r="1200" spans="1:16" x14ac:dyDescent="0.3">
      <c r="A1200" s="4">
        <v>14</v>
      </c>
      <c r="B1200" t="s">
        <v>11</v>
      </c>
      <c r="C1200" s="4">
        <v>23.02</v>
      </c>
      <c r="D1200" t="s">
        <v>18</v>
      </c>
      <c r="E1200" t="s">
        <v>17</v>
      </c>
      <c r="F1200" s="4" t="s">
        <v>30</v>
      </c>
      <c r="G1200" s="4" t="s">
        <v>35</v>
      </c>
      <c r="H1200" s="4">
        <v>4</v>
      </c>
      <c r="I1200" s="4">
        <v>8</v>
      </c>
      <c r="J1200" s="1">
        <v>45519</v>
      </c>
      <c r="K1200" s="2">
        <v>1.2363425925925927E-2</v>
      </c>
      <c r="M1200" s="4" t="str">
        <f t="shared" si="54"/>
        <v>LOW</v>
      </c>
      <c r="N1200" s="4" t="str" cm="1">
        <f t="array" ref="N1200">_xlfn.IFS(C1200&gt;35,"HIGH",C1200&gt;25,"MIDDLE",TRUE,"LOW")</f>
        <v>LOW</v>
      </c>
      <c r="O1200" s="4" t="str">
        <f t="shared" si="55"/>
        <v>OTHERS</v>
      </c>
      <c r="P1200" s="4" t="str">
        <f t="shared" si="56"/>
        <v>OTHERS</v>
      </c>
    </row>
    <row r="1201" spans="1:16" x14ac:dyDescent="0.3">
      <c r="A1201" s="4">
        <v>14</v>
      </c>
      <c r="B1201" t="s">
        <v>11</v>
      </c>
      <c r="C1201" s="4">
        <v>18.12</v>
      </c>
      <c r="D1201" t="s">
        <v>26</v>
      </c>
      <c r="E1201" t="s">
        <v>17</v>
      </c>
      <c r="F1201" s="4" t="s">
        <v>30</v>
      </c>
      <c r="G1201" s="4" t="s">
        <v>35</v>
      </c>
      <c r="H1201" s="4">
        <v>4</v>
      </c>
      <c r="I1201" s="4">
        <v>8</v>
      </c>
      <c r="J1201" s="1">
        <v>45519</v>
      </c>
      <c r="K1201" s="2">
        <v>1.3087962962962963E-2</v>
      </c>
      <c r="M1201" s="4" t="str">
        <f t="shared" si="54"/>
        <v>LOW</v>
      </c>
      <c r="N1201" s="4" t="str" cm="1">
        <f t="array" ref="N1201">_xlfn.IFS(C1201&gt;35,"HIGH",C1201&gt;25,"MIDDLE",TRUE,"LOW")</f>
        <v>LOW</v>
      </c>
      <c r="O1201" s="4" t="str">
        <f t="shared" si="55"/>
        <v>OTHERS</v>
      </c>
      <c r="P1201" s="4" t="str">
        <f t="shared" si="56"/>
        <v>OTHERS</v>
      </c>
    </row>
    <row r="1202" spans="1:16" x14ac:dyDescent="0.3">
      <c r="A1202" s="4">
        <v>17</v>
      </c>
      <c r="B1202" t="s">
        <v>11</v>
      </c>
      <c r="C1202" s="4">
        <v>27.92</v>
      </c>
      <c r="D1202" t="s">
        <v>19</v>
      </c>
      <c r="E1202" t="s">
        <v>20</v>
      </c>
      <c r="F1202" s="4" t="s">
        <v>30</v>
      </c>
      <c r="G1202" s="4" t="s">
        <v>35</v>
      </c>
      <c r="H1202" s="4">
        <v>4</v>
      </c>
      <c r="I1202" s="4">
        <v>8</v>
      </c>
      <c r="J1202" s="1">
        <v>45519</v>
      </c>
      <c r="K1202" s="2">
        <v>3.7409722222222219E-2</v>
      </c>
      <c r="M1202" s="4" t="str">
        <f t="shared" si="54"/>
        <v>LOW</v>
      </c>
      <c r="N1202" s="4" t="str" cm="1">
        <f t="array" ref="N1202">_xlfn.IFS(C1202&gt;35,"HIGH",C1202&gt;25,"MIDDLE",TRUE,"LOW")</f>
        <v>MIDDLE</v>
      </c>
      <c r="O1202" s="4" t="str">
        <f t="shared" si="55"/>
        <v>OTHERS</v>
      </c>
      <c r="P1202" s="4" t="str">
        <f t="shared" si="56"/>
        <v>OTHERS</v>
      </c>
    </row>
    <row r="1203" spans="1:16" x14ac:dyDescent="0.3">
      <c r="A1203" s="4">
        <v>19</v>
      </c>
      <c r="B1203" t="s">
        <v>11</v>
      </c>
      <c r="C1203" s="4">
        <v>32.82</v>
      </c>
      <c r="D1203" t="s">
        <v>16</v>
      </c>
      <c r="E1203" t="s">
        <v>20</v>
      </c>
      <c r="F1203" s="4" t="s">
        <v>30</v>
      </c>
      <c r="G1203" s="4" t="s">
        <v>35</v>
      </c>
      <c r="H1203" s="4">
        <v>4</v>
      </c>
      <c r="I1203" s="4">
        <v>8</v>
      </c>
      <c r="J1203" s="1">
        <v>45519</v>
      </c>
      <c r="K1203" s="2">
        <v>7.6180555555555559E-3</v>
      </c>
      <c r="M1203" s="4" t="str">
        <f t="shared" si="54"/>
        <v>LOW</v>
      </c>
      <c r="N1203" s="4" t="str" cm="1">
        <f t="array" ref="N1203">_xlfn.IFS(C1203&gt;35,"HIGH",C1203&gt;25,"MIDDLE",TRUE,"LOW")</f>
        <v>MIDDLE</v>
      </c>
      <c r="O1203" s="4" t="str">
        <f t="shared" si="55"/>
        <v>OTHERS</v>
      </c>
      <c r="P1203" s="4" t="str">
        <f t="shared" si="56"/>
        <v>OTHERS</v>
      </c>
    </row>
    <row r="1204" spans="1:16" x14ac:dyDescent="0.3">
      <c r="A1204" s="4">
        <v>19</v>
      </c>
      <c r="B1204" t="s">
        <v>11</v>
      </c>
      <c r="C1204" s="4">
        <v>27.92</v>
      </c>
      <c r="D1204" t="s">
        <v>19</v>
      </c>
      <c r="E1204" t="s">
        <v>20</v>
      </c>
      <c r="F1204" s="4" t="s">
        <v>30</v>
      </c>
      <c r="G1204" s="4" t="s">
        <v>35</v>
      </c>
      <c r="H1204" s="4">
        <v>4</v>
      </c>
      <c r="I1204" s="4">
        <v>8</v>
      </c>
      <c r="J1204" s="1">
        <v>45519</v>
      </c>
      <c r="K1204" s="2">
        <v>8.2638888888888883E-3</v>
      </c>
      <c r="M1204" s="4" t="str">
        <f t="shared" si="54"/>
        <v>LOW</v>
      </c>
      <c r="N1204" s="4" t="str" cm="1">
        <f t="array" ref="N1204">_xlfn.IFS(C1204&gt;35,"HIGH",C1204&gt;25,"MIDDLE",TRUE,"LOW")</f>
        <v>MIDDLE</v>
      </c>
      <c r="O1204" s="4" t="str">
        <f t="shared" si="55"/>
        <v>OTHERS</v>
      </c>
      <c r="P1204" s="4" t="str">
        <f t="shared" si="56"/>
        <v>OTHERS</v>
      </c>
    </row>
    <row r="1205" spans="1:16" x14ac:dyDescent="0.3">
      <c r="A1205" s="4">
        <v>19</v>
      </c>
      <c r="B1205" t="s">
        <v>11</v>
      </c>
      <c r="C1205" s="4">
        <v>27.92</v>
      </c>
      <c r="D1205" t="s">
        <v>19</v>
      </c>
      <c r="E1205" t="s">
        <v>20</v>
      </c>
      <c r="F1205" s="4" t="s">
        <v>30</v>
      </c>
      <c r="G1205" s="4" t="s">
        <v>35</v>
      </c>
      <c r="H1205" s="4">
        <v>4</v>
      </c>
      <c r="I1205" s="4">
        <v>8</v>
      </c>
      <c r="J1205" s="1">
        <v>45519</v>
      </c>
      <c r="K1205" s="2">
        <v>2.8821759259259259E-2</v>
      </c>
      <c r="M1205" s="4" t="str">
        <f t="shared" si="54"/>
        <v>LOW</v>
      </c>
      <c r="N1205" s="4" t="str" cm="1">
        <f t="array" ref="N1205">_xlfn.IFS(C1205&gt;35,"HIGH",C1205&gt;25,"MIDDLE",TRUE,"LOW")</f>
        <v>MIDDLE</v>
      </c>
      <c r="O1205" s="4" t="str">
        <f t="shared" si="55"/>
        <v>OTHERS</v>
      </c>
      <c r="P1205" s="4" t="str">
        <f t="shared" si="56"/>
        <v>OTHERS</v>
      </c>
    </row>
    <row r="1206" spans="1:16" x14ac:dyDescent="0.3">
      <c r="A1206" s="4">
        <v>19</v>
      </c>
      <c r="B1206" t="s">
        <v>11</v>
      </c>
      <c r="C1206" s="4">
        <v>23.02</v>
      </c>
      <c r="D1206" t="s">
        <v>18</v>
      </c>
      <c r="E1206" t="s">
        <v>20</v>
      </c>
      <c r="F1206" s="4" t="s">
        <v>30</v>
      </c>
      <c r="G1206" s="4" t="s">
        <v>35</v>
      </c>
      <c r="H1206" s="4">
        <v>4</v>
      </c>
      <c r="I1206" s="4">
        <v>8</v>
      </c>
      <c r="J1206" s="1">
        <v>45519</v>
      </c>
      <c r="K1206" s="2">
        <v>2.960648148148148E-2</v>
      </c>
      <c r="M1206" s="4" t="str">
        <f t="shared" si="54"/>
        <v>LOW</v>
      </c>
      <c r="N1206" s="4" t="str" cm="1">
        <f t="array" ref="N1206">_xlfn.IFS(C1206&gt;35,"HIGH",C1206&gt;25,"MIDDLE",TRUE,"LOW")</f>
        <v>LOW</v>
      </c>
      <c r="O1206" s="4" t="str">
        <f t="shared" si="55"/>
        <v>OTHERS</v>
      </c>
      <c r="P1206" s="4" t="str">
        <f t="shared" si="56"/>
        <v>OTHERS</v>
      </c>
    </row>
    <row r="1207" spans="1:16" x14ac:dyDescent="0.3">
      <c r="A1207" s="4">
        <v>20</v>
      </c>
      <c r="B1207" t="s">
        <v>11</v>
      </c>
      <c r="C1207" s="4">
        <v>32.82</v>
      </c>
      <c r="D1207" t="s">
        <v>29</v>
      </c>
      <c r="E1207" t="s">
        <v>20</v>
      </c>
      <c r="F1207" s="4" t="s">
        <v>30</v>
      </c>
      <c r="G1207" s="4" t="s">
        <v>35</v>
      </c>
      <c r="H1207" s="4">
        <v>4</v>
      </c>
      <c r="I1207" s="4">
        <v>8</v>
      </c>
      <c r="J1207" s="1">
        <v>45519</v>
      </c>
      <c r="K1207" s="2">
        <v>2.825810185185185E-2</v>
      </c>
      <c r="M1207" s="4" t="str">
        <f t="shared" si="54"/>
        <v>LOW</v>
      </c>
      <c r="N1207" s="4" t="str" cm="1">
        <f t="array" ref="N1207">_xlfn.IFS(C1207&gt;35,"HIGH",C1207&gt;25,"MIDDLE",TRUE,"LOW")</f>
        <v>MIDDLE</v>
      </c>
      <c r="O1207" s="4" t="str">
        <f t="shared" si="55"/>
        <v>OTHERS</v>
      </c>
      <c r="P1207" s="4" t="str">
        <f t="shared" si="56"/>
        <v>OTHERS</v>
      </c>
    </row>
    <row r="1208" spans="1:16" x14ac:dyDescent="0.3">
      <c r="A1208" s="4">
        <v>21</v>
      </c>
      <c r="B1208" t="s">
        <v>11</v>
      </c>
      <c r="C1208" s="4">
        <v>18.12</v>
      </c>
      <c r="D1208" t="s">
        <v>26</v>
      </c>
      <c r="E1208" t="s">
        <v>20</v>
      </c>
      <c r="F1208" s="4" t="s">
        <v>30</v>
      </c>
      <c r="G1208" s="4" t="s">
        <v>35</v>
      </c>
      <c r="H1208" s="4">
        <v>4</v>
      </c>
      <c r="I1208" s="4">
        <v>8</v>
      </c>
      <c r="J1208" s="1">
        <v>45519</v>
      </c>
      <c r="K1208" s="2">
        <v>2.4538194444444442E-2</v>
      </c>
      <c r="M1208" s="4" t="str">
        <f t="shared" si="54"/>
        <v>LOW</v>
      </c>
      <c r="N1208" s="4" t="str" cm="1">
        <f t="array" ref="N1208">_xlfn.IFS(C1208&gt;35,"HIGH",C1208&gt;25,"MIDDLE",TRUE,"LOW")</f>
        <v>LOW</v>
      </c>
      <c r="O1208" s="4" t="str">
        <f t="shared" si="55"/>
        <v>OTHERS</v>
      </c>
      <c r="P1208" s="4" t="str">
        <f t="shared" si="56"/>
        <v>OTHERS</v>
      </c>
    </row>
    <row r="1209" spans="1:16" x14ac:dyDescent="0.3">
      <c r="A1209" s="4">
        <v>21</v>
      </c>
      <c r="B1209" t="s">
        <v>11</v>
      </c>
      <c r="C1209" s="4">
        <v>27.92</v>
      </c>
      <c r="D1209" t="s">
        <v>19</v>
      </c>
      <c r="E1209" t="s">
        <v>20</v>
      </c>
      <c r="F1209" s="4" t="s">
        <v>30</v>
      </c>
      <c r="G1209" s="4" t="s">
        <v>35</v>
      </c>
      <c r="H1209" s="4">
        <v>4</v>
      </c>
      <c r="I1209" s="4">
        <v>8</v>
      </c>
      <c r="J1209" s="1">
        <v>45519</v>
      </c>
      <c r="K1209" s="2">
        <v>2.5127314814814814E-2</v>
      </c>
      <c r="M1209" s="4" t="str">
        <f t="shared" si="54"/>
        <v>LOW</v>
      </c>
      <c r="N1209" s="4" t="str" cm="1">
        <f t="array" ref="N1209">_xlfn.IFS(C1209&gt;35,"HIGH",C1209&gt;25,"MIDDLE",TRUE,"LOW")</f>
        <v>MIDDLE</v>
      </c>
      <c r="O1209" s="4" t="str">
        <f t="shared" si="55"/>
        <v>OTHERS</v>
      </c>
      <c r="P1209" s="4" t="str">
        <f t="shared" si="56"/>
        <v>OTHERS</v>
      </c>
    </row>
    <row r="1210" spans="1:16" x14ac:dyDescent="0.3">
      <c r="A1210" s="4">
        <v>12</v>
      </c>
      <c r="B1210" t="s">
        <v>11</v>
      </c>
      <c r="C1210" s="4">
        <v>32.82</v>
      </c>
      <c r="D1210" t="s">
        <v>12</v>
      </c>
      <c r="E1210" t="s">
        <v>17</v>
      </c>
      <c r="F1210" s="4" t="s">
        <v>14</v>
      </c>
      <c r="G1210" s="4" t="s">
        <v>35</v>
      </c>
      <c r="H1210" s="4">
        <v>5</v>
      </c>
      <c r="I1210" s="4">
        <v>8</v>
      </c>
      <c r="J1210" s="1">
        <v>45520</v>
      </c>
      <c r="K1210" s="2">
        <v>2.0332175925925927E-2</v>
      </c>
      <c r="M1210" s="4" t="str">
        <f t="shared" si="54"/>
        <v>LOW</v>
      </c>
      <c r="N1210" s="4" t="str" cm="1">
        <f t="array" ref="N1210">_xlfn.IFS(C1210&gt;35,"HIGH",C1210&gt;25,"MIDDLE",TRUE,"LOW")</f>
        <v>MIDDLE</v>
      </c>
      <c r="O1210" s="4" t="str">
        <f t="shared" si="55"/>
        <v>OTHERS</v>
      </c>
      <c r="P1210" s="4" t="str">
        <f t="shared" si="56"/>
        <v>OTHERS</v>
      </c>
    </row>
    <row r="1211" spans="1:16" x14ac:dyDescent="0.3">
      <c r="A1211" s="4">
        <v>12</v>
      </c>
      <c r="B1211" t="s">
        <v>11</v>
      </c>
      <c r="C1211" s="4">
        <v>23.02</v>
      </c>
      <c r="D1211" t="s">
        <v>18</v>
      </c>
      <c r="E1211" t="s">
        <v>17</v>
      </c>
      <c r="F1211" s="4" t="s">
        <v>14</v>
      </c>
      <c r="G1211" s="4" t="s">
        <v>35</v>
      </c>
      <c r="H1211" s="4">
        <v>5</v>
      </c>
      <c r="I1211" s="4">
        <v>8</v>
      </c>
      <c r="J1211" s="1">
        <v>45520</v>
      </c>
      <c r="K1211" s="2">
        <v>3.7702546296296297E-2</v>
      </c>
      <c r="M1211" s="4" t="str">
        <f t="shared" si="54"/>
        <v>LOW</v>
      </c>
      <c r="N1211" s="4" t="str" cm="1">
        <f t="array" ref="N1211">_xlfn.IFS(C1211&gt;35,"HIGH",C1211&gt;25,"MIDDLE",TRUE,"LOW")</f>
        <v>LOW</v>
      </c>
      <c r="O1211" s="4" t="str">
        <f t="shared" si="55"/>
        <v>OTHERS</v>
      </c>
      <c r="P1211" s="4" t="str">
        <f t="shared" si="56"/>
        <v>OTHERS</v>
      </c>
    </row>
    <row r="1212" spans="1:16" x14ac:dyDescent="0.3">
      <c r="A1212" s="4">
        <v>13</v>
      </c>
      <c r="B1212" t="s">
        <v>11</v>
      </c>
      <c r="C1212" s="4">
        <v>27.92</v>
      </c>
      <c r="D1212" t="s">
        <v>19</v>
      </c>
      <c r="E1212" t="s">
        <v>17</v>
      </c>
      <c r="F1212" s="4" t="s">
        <v>14</v>
      </c>
      <c r="G1212" s="4" t="s">
        <v>35</v>
      </c>
      <c r="H1212" s="4">
        <v>5</v>
      </c>
      <c r="I1212" s="4">
        <v>8</v>
      </c>
      <c r="J1212" s="1">
        <v>45520</v>
      </c>
      <c r="K1212" s="2">
        <v>2.5148148148148149E-2</v>
      </c>
      <c r="M1212" s="4" t="str">
        <f t="shared" si="54"/>
        <v>LOW</v>
      </c>
      <c r="N1212" s="4" t="str" cm="1">
        <f t="array" ref="N1212">_xlfn.IFS(C1212&gt;35,"HIGH",C1212&gt;25,"MIDDLE",TRUE,"LOW")</f>
        <v>MIDDLE</v>
      </c>
      <c r="O1212" s="4" t="str">
        <f t="shared" si="55"/>
        <v>OTHERS</v>
      </c>
      <c r="P1212" s="4" t="str">
        <f t="shared" si="56"/>
        <v>OTHERS</v>
      </c>
    </row>
    <row r="1213" spans="1:16" x14ac:dyDescent="0.3">
      <c r="A1213" s="4">
        <v>15</v>
      </c>
      <c r="B1213" t="s">
        <v>11</v>
      </c>
      <c r="C1213" s="4">
        <v>18.12</v>
      </c>
      <c r="D1213" t="s">
        <v>26</v>
      </c>
      <c r="E1213" t="s">
        <v>17</v>
      </c>
      <c r="F1213" s="4" t="s">
        <v>14</v>
      </c>
      <c r="G1213" s="4" t="s">
        <v>35</v>
      </c>
      <c r="H1213" s="4">
        <v>5</v>
      </c>
      <c r="I1213" s="4">
        <v>8</v>
      </c>
      <c r="J1213" s="1">
        <v>45520</v>
      </c>
      <c r="K1213" s="2">
        <v>1.309837962962963E-2</v>
      </c>
      <c r="M1213" s="4" t="str">
        <f t="shared" si="54"/>
        <v>LOW</v>
      </c>
      <c r="N1213" s="4" t="str" cm="1">
        <f t="array" ref="N1213">_xlfn.IFS(C1213&gt;35,"HIGH",C1213&gt;25,"MIDDLE",TRUE,"LOW")</f>
        <v>LOW</v>
      </c>
      <c r="O1213" s="4" t="str">
        <f t="shared" si="55"/>
        <v>OTHERS</v>
      </c>
      <c r="P1213" s="4" t="str">
        <f t="shared" si="56"/>
        <v>OTHERS</v>
      </c>
    </row>
    <row r="1214" spans="1:16" x14ac:dyDescent="0.3">
      <c r="A1214" s="4">
        <v>15</v>
      </c>
      <c r="B1214" t="s">
        <v>11</v>
      </c>
      <c r="C1214" s="4">
        <v>18.12</v>
      </c>
      <c r="D1214" t="s">
        <v>26</v>
      </c>
      <c r="E1214" t="s">
        <v>17</v>
      </c>
      <c r="F1214" s="4" t="s">
        <v>14</v>
      </c>
      <c r="G1214" s="4" t="s">
        <v>35</v>
      </c>
      <c r="H1214" s="4">
        <v>5</v>
      </c>
      <c r="I1214" s="4">
        <v>8</v>
      </c>
      <c r="J1214" s="1">
        <v>45520</v>
      </c>
      <c r="K1214" s="2">
        <v>1.3649305555555555E-2</v>
      </c>
      <c r="M1214" s="4" t="str">
        <f t="shared" si="54"/>
        <v>LOW</v>
      </c>
      <c r="N1214" s="4" t="str" cm="1">
        <f t="array" ref="N1214">_xlfn.IFS(C1214&gt;35,"HIGH",C1214&gt;25,"MIDDLE",TRUE,"LOW")</f>
        <v>LOW</v>
      </c>
      <c r="O1214" s="4" t="str">
        <f t="shared" si="55"/>
        <v>OTHERS</v>
      </c>
      <c r="P1214" s="4" t="str">
        <f t="shared" si="56"/>
        <v>OTHERS</v>
      </c>
    </row>
    <row r="1215" spans="1:16" x14ac:dyDescent="0.3">
      <c r="A1215" s="4">
        <v>9</v>
      </c>
      <c r="B1215" t="s">
        <v>11</v>
      </c>
      <c r="C1215" s="4">
        <v>27.92</v>
      </c>
      <c r="D1215" t="s">
        <v>19</v>
      </c>
      <c r="E1215" t="s">
        <v>13</v>
      </c>
      <c r="F1215" s="4" t="s">
        <v>22</v>
      </c>
      <c r="G1215" s="4" t="s">
        <v>35</v>
      </c>
      <c r="H1215" s="4">
        <v>6</v>
      </c>
      <c r="I1215" s="4">
        <v>8</v>
      </c>
      <c r="J1215" s="1">
        <v>45521</v>
      </c>
      <c r="K1215" s="2">
        <v>1.1730324074074074E-2</v>
      </c>
      <c r="M1215" s="4" t="str">
        <f t="shared" si="54"/>
        <v>LOW</v>
      </c>
      <c r="N1215" s="4" t="str" cm="1">
        <f t="array" ref="N1215">_xlfn.IFS(C1215&gt;35,"HIGH",C1215&gt;25,"MIDDLE",TRUE,"LOW")</f>
        <v>MIDDLE</v>
      </c>
      <c r="O1215" s="4" t="str">
        <f t="shared" si="55"/>
        <v>OTHERS</v>
      </c>
      <c r="P1215" s="4" t="str">
        <f t="shared" si="56"/>
        <v>PREMINUM MORNING</v>
      </c>
    </row>
    <row r="1216" spans="1:16" x14ac:dyDescent="0.3">
      <c r="A1216" s="4">
        <v>9</v>
      </c>
      <c r="B1216" t="s">
        <v>11</v>
      </c>
      <c r="C1216" s="4">
        <v>32.82</v>
      </c>
      <c r="D1216" t="s">
        <v>29</v>
      </c>
      <c r="E1216" t="s">
        <v>13</v>
      </c>
      <c r="F1216" s="4" t="s">
        <v>22</v>
      </c>
      <c r="G1216" s="4" t="s">
        <v>35</v>
      </c>
      <c r="H1216" s="4">
        <v>6</v>
      </c>
      <c r="I1216" s="4">
        <v>8</v>
      </c>
      <c r="J1216" s="1">
        <v>45521</v>
      </c>
      <c r="K1216" s="2">
        <v>1.2604166666666666E-2</v>
      </c>
      <c r="M1216" s="4" t="str">
        <f t="shared" si="54"/>
        <v>LOW</v>
      </c>
      <c r="N1216" s="4" t="str" cm="1">
        <f t="array" ref="N1216">_xlfn.IFS(C1216&gt;35,"HIGH",C1216&gt;25,"MIDDLE",TRUE,"LOW")</f>
        <v>MIDDLE</v>
      </c>
      <c r="O1216" s="4" t="str">
        <f t="shared" si="55"/>
        <v>OTHERS</v>
      </c>
      <c r="P1216" s="4" t="str">
        <f t="shared" si="56"/>
        <v>PREMINUM MORNING</v>
      </c>
    </row>
    <row r="1217" spans="1:16" x14ac:dyDescent="0.3">
      <c r="A1217" s="4">
        <v>10</v>
      </c>
      <c r="B1217" t="s">
        <v>11</v>
      </c>
      <c r="C1217" s="4">
        <v>27.92</v>
      </c>
      <c r="D1217" t="s">
        <v>19</v>
      </c>
      <c r="E1217" t="s">
        <v>13</v>
      </c>
      <c r="F1217" s="4" t="s">
        <v>22</v>
      </c>
      <c r="G1217" s="4" t="s">
        <v>35</v>
      </c>
      <c r="H1217" s="4">
        <v>6</v>
      </c>
      <c r="I1217" s="4">
        <v>8</v>
      </c>
      <c r="J1217" s="1">
        <v>45521</v>
      </c>
      <c r="K1217" s="2">
        <v>3.7283564814814818E-2</v>
      </c>
      <c r="M1217" s="4" t="str">
        <f t="shared" si="54"/>
        <v>LOW</v>
      </c>
      <c r="N1217" s="4" t="str" cm="1">
        <f t="array" ref="N1217">_xlfn.IFS(C1217&gt;35,"HIGH",C1217&gt;25,"MIDDLE",TRUE,"LOW")</f>
        <v>MIDDLE</v>
      </c>
      <c r="O1217" s="4" t="str">
        <f t="shared" si="55"/>
        <v>OTHERS</v>
      </c>
      <c r="P1217" s="4" t="str">
        <f t="shared" si="56"/>
        <v>PREMINUM MORNING</v>
      </c>
    </row>
    <row r="1218" spans="1:16" x14ac:dyDescent="0.3">
      <c r="A1218" s="4">
        <v>11</v>
      </c>
      <c r="B1218" t="s">
        <v>11</v>
      </c>
      <c r="C1218" s="4">
        <v>23.02</v>
      </c>
      <c r="D1218" t="s">
        <v>24</v>
      </c>
      <c r="E1218" t="s">
        <v>13</v>
      </c>
      <c r="F1218" s="4" t="s">
        <v>22</v>
      </c>
      <c r="G1218" s="4" t="s">
        <v>35</v>
      </c>
      <c r="H1218" s="4">
        <v>6</v>
      </c>
      <c r="I1218" s="4">
        <v>8</v>
      </c>
      <c r="J1218" s="1">
        <v>45521</v>
      </c>
      <c r="K1218" s="2">
        <v>4.0759259259259259E-2</v>
      </c>
      <c r="M1218" s="4" t="str">
        <f t="shared" si="54"/>
        <v>LOW</v>
      </c>
      <c r="N1218" s="4" t="str" cm="1">
        <f t="array" ref="N1218">_xlfn.IFS(C1218&gt;35,"HIGH",C1218&gt;25,"MIDDLE",TRUE,"LOW")</f>
        <v>LOW</v>
      </c>
      <c r="O1218" s="4" t="str">
        <f t="shared" si="55"/>
        <v>OTHERS</v>
      </c>
      <c r="P1218" s="4" t="str">
        <f t="shared" si="56"/>
        <v>PREMINUM MORNING</v>
      </c>
    </row>
    <row r="1219" spans="1:16" x14ac:dyDescent="0.3">
      <c r="A1219" s="4">
        <v>11</v>
      </c>
      <c r="B1219" t="s">
        <v>11</v>
      </c>
      <c r="C1219" s="4">
        <v>23.02</v>
      </c>
      <c r="D1219" t="s">
        <v>24</v>
      </c>
      <c r="E1219" t="s">
        <v>13</v>
      </c>
      <c r="F1219" s="4" t="s">
        <v>22</v>
      </c>
      <c r="G1219" s="4" t="s">
        <v>35</v>
      </c>
      <c r="H1219" s="4">
        <v>6</v>
      </c>
      <c r="I1219" s="4">
        <v>8</v>
      </c>
      <c r="J1219" s="1">
        <v>45521</v>
      </c>
      <c r="K1219" s="2">
        <v>4.129976851851852E-2</v>
      </c>
      <c r="M1219" s="4" t="str">
        <f t="shared" ref="M1219:M1282" si="57">IF(C1219&gt;35,"HIGH","LOW")</f>
        <v>LOW</v>
      </c>
      <c r="N1219" s="4" t="str" cm="1">
        <f t="array" ref="N1219">_xlfn.IFS(C1219&gt;35,"HIGH",C1219&gt;25,"MIDDLE",TRUE,"LOW")</f>
        <v>LOW</v>
      </c>
      <c r="O1219" s="4" t="str">
        <f t="shared" ref="O1219:O1282" si="58">IF(AND(C1219&gt;35,E1219="MORNING"),"PREMINUM MORNING","OTHERS")</f>
        <v>OTHERS</v>
      </c>
      <c r="P1219" s="4" t="str">
        <f t="shared" ref="P1219:P1282" si="59">IF(OR(C1219&gt;35,E1219="MORNING"),"PREMINUM MORNING","OTHERS")</f>
        <v>PREMINUM MORNING</v>
      </c>
    </row>
    <row r="1220" spans="1:16" x14ac:dyDescent="0.3">
      <c r="A1220" s="4">
        <v>13</v>
      </c>
      <c r="B1220" t="s">
        <v>11</v>
      </c>
      <c r="C1220" s="4">
        <v>27.92</v>
      </c>
      <c r="D1220" t="s">
        <v>19</v>
      </c>
      <c r="E1220" t="s">
        <v>17</v>
      </c>
      <c r="F1220" s="4" t="s">
        <v>22</v>
      </c>
      <c r="G1220" s="4" t="s">
        <v>35</v>
      </c>
      <c r="H1220" s="4">
        <v>6</v>
      </c>
      <c r="I1220" s="4">
        <v>8</v>
      </c>
      <c r="J1220" s="1">
        <v>45521</v>
      </c>
      <c r="K1220" s="2">
        <v>1.2965277777777779E-2</v>
      </c>
      <c r="M1220" s="4" t="str">
        <f t="shared" si="57"/>
        <v>LOW</v>
      </c>
      <c r="N1220" s="4" t="str" cm="1">
        <f t="array" ref="N1220">_xlfn.IFS(C1220&gt;35,"HIGH",C1220&gt;25,"MIDDLE",TRUE,"LOW")</f>
        <v>MIDDLE</v>
      </c>
      <c r="O1220" s="4" t="str">
        <f t="shared" si="58"/>
        <v>OTHERS</v>
      </c>
      <c r="P1220" s="4" t="str">
        <f t="shared" si="59"/>
        <v>OTHERS</v>
      </c>
    </row>
    <row r="1221" spans="1:16" x14ac:dyDescent="0.3">
      <c r="A1221" s="4">
        <v>16</v>
      </c>
      <c r="B1221" t="s">
        <v>11</v>
      </c>
      <c r="C1221" s="4">
        <v>23.02</v>
      </c>
      <c r="D1221" t="s">
        <v>24</v>
      </c>
      <c r="E1221" t="s">
        <v>17</v>
      </c>
      <c r="F1221" s="4" t="s">
        <v>22</v>
      </c>
      <c r="G1221" s="4" t="s">
        <v>35</v>
      </c>
      <c r="H1221" s="4">
        <v>6</v>
      </c>
      <c r="I1221" s="4">
        <v>8</v>
      </c>
      <c r="J1221" s="1">
        <v>45521</v>
      </c>
      <c r="K1221" s="2">
        <v>2.2162037037037036E-2</v>
      </c>
      <c r="M1221" s="4" t="str">
        <f t="shared" si="57"/>
        <v>LOW</v>
      </c>
      <c r="N1221" s="4" t="str" cm="1">
        <f t="array" ref="N1221">_xlfn.IFS(C1221&gt;35,"HIGH",C1221&gt;25,"MIDDLE",TRUE,"LOW")</f>
        <v>LOW</v>
      </c>
      <c r="O1221" s="4" t="str">
        <f t="shared" si="58"/>
        <v>OTHERS</v>
      </c>
      <c r="P1221" s="4" t="str">
        <f t="shared" si="59"/>
        <v>OTHERS</v>
      </c>
    </row>
    <row r="1222" spans="1:16" x14ac:dyDescent="0.3">
      <c r="A1222" s="4">
        <v>16</v>
      </c>
      <c r="B1222" t="s">
        <v>11</v>
      </c>
      <c r="C1222" s="4">
        <v>32.82</v>
      </c>
      <c r="D1222" t="s">
        <v>12</v>
      </c>
      <c r="E1222" t="s">
        <v>17</v>
      </c>
      <c r="F1222" s="4" t="s">
        <v>22</v>
      </c>
      <c r="G1222" s="4" t="s">
        <v>35</v>
      </c>
      <c r="H1222" s="4">
        <v>6</v>
      </c>
      <c r="I1222" s="4">
        <v>8</v>
      </c>
      <c r="J1222" s="1">
        <v>45521</v>
      </c>
      <c r="K1222" s="2">
        <v>2.3483796296296298E-2</v>
      </c>
      <c r="M1222" s="4" t="str">
        <f t="shared" si="57"/>
        <v>LOW</v>
      </c>
      <c r="N1222" s="4" t="str" cm="1">
        <f t="array" ref="N1222">_xlfn.IFS(C1222&gt;35,"HIGH",C1222&gt;25,"MIDDLE",TRUE,"LOW")</f>
        <v>MIDDLE</v>
      </c>
      <c r="O1222" s="4" t="str">
        <f t="shared" si="58"/>
        <v>OTHERS</v>
      </c>
      <c r="P1222" s="4" t="str">
        <f t="shared" si="59"/>
        <v>OTHERS</v>
      </c>
    </row>
    <row r="1223" spans="1:16" x14ac:dyDescent="0.3">
      <c r="A1223" s="4">
        <v>18</v>
      </c>
      <c r="B1223" t="s">
        <v>11</v>
      </c>
      <c r="C1223" s="4">
        <v>32.82</v>
      </c>
      <c r="D1223" t="s">
        <v>29</v>
      </c>
      <c r="E1223" t="s">
        <v>20</v>
      </c>
      <c r="F1223" s="4" t="s">
        <v>22</v>
      </c>
      <c r="G1223" s="4" t="s">
        <v>35</v>
      </c>
      <c r="H1223" s="4">
        <v>6</v>
      </c>
      <c r="I1223" s="4">
        <v>8</v>
      </c>
      <c r="J1223" s="1">
        <v>45521</v>
      </c>
      <c r="K1223" s="2">
        <v>3.40150462962963E-2</v>
      </c>
      <c r="M1223" s="4" t="str">
        <f t="shared" si="57"/>
        <v>LOW</v>
      </c>
      <c r="N1223" s="4" t="str" cm="1">
        <f t="array" ref="N1223">_xlfn.IFS(C1223&gt;35,"HIGH",C1223&gt;25,"MIDDLE",TRUE,"LOW")</f>
        <v>MIDDLE</v>
      </c>
      <c r="O1223" s="4" t="str">
        <f t="shared" si="58"/>
        <v>OTHERS</v>
      </c>
      <c r="P1223" s="4" t="str">
        <f t="shared" si="59"/>
        <v>OTHERS</v>
      </c>
    </row>
    <row r="1224" spans="1:16" x14ac:dyDescent="0.3">
      <c r="A1224" s="4">
        <v>21</v>
      </c>
      <c r="B1224" t="s">
        <v>11</v>
      </c>
      <c r="C1224" s="4">
        <v>27.92</v>
      </c>
      <c r="D1224" t="s">
        <v>19</v>
      </c>
      <c r="E1224" t="s">
        <v>20</v>
      </c>
      <c r="F1224" s="4" t="s">
        <v>22</v>
      </c>
      <c r="G1224" s="4" t="s">
        <v>35</v>
      </c>
      <c r="H1224" s="4">
        <v>6</v>
      </c>
      <c r="I1224" s="4">
        <v>8</v>
      </c>
      <c r="J1224" s="1">
        <v>45521</v>
      </c>
      <c r="K1224" s="2">
        <v>1.3157407407407408E-2</v>
      </c>
      <c r="M1224" s="4" t="str">
        <f t="shared" si="57"/>
        <v>LOW</v>
      </c>
      <c r="N1224" s="4" t="str" cm="1">
        <f t="array" ref="N1224">_xlfn.IFS(C1224&gt;35,"HIGH",C1224&gt;25,"MIDDLE",TRUE,"LOW")</f>
        <v>MIDDLE</v>
      </c>
      <c r="O1224" s="4" t="str">
        <f t="shared" si="58"/>
        <v>OTHERS</v>
      </c>
      <c r="P1224" s="4" t="str">
        <f t="shared" si="59"/>
        <v>OTHERS</v>
      </c>
    </row>
    <row r="1225" spans="1:16" x14ac:dyDescent="0.3">
      <c r="A1225" s="4">
        <v>22</v>
      </c>
      <c r="B1225" t="s">
        <v>11</v>
      </c>
      <c r="C1225" s="4">
        <v>32.82</v>
      </c>
      <c r="D1225" t="s">
        <v>12</v>
      </c>
      <c r="E1225" t="s">
        <v>20</v>
      </c>
      <c r="F1225" s="4" t="s">
        <v>22</v>
      </c>
      <c r="G1225" s="4" t="s">
        <v>35</v>
      </c>
      <c r="H1225" s="4">
        <v>6</v>
      </c>
      <c r="I1225" s="4">
        <v>8</v>
      </c>
      <c r="J1225" s="1">
        <v>45521</v>
      </c>
      <c r="K1225" s="2">
        <v>2.9622685185185186E-2</v>
      </c>
      <c r="M1225" s="4" t="str">
        <f t="shared" si="57"/>
        <v>LOW</v>
      </c>
      <c r="N1225" s="4" t="str" cm="1">
        <f t="array" ref="N1225">_xlfn.IFS(C1225&gt;35,"HIGH",C1225&gt;25,"MIDDLE",TRUE,"LOW")</f>
        <v>MIDDLE</v>
      </c>
      <c r="O1225" s="4" t="str">
        <f t="shared" si="58"/>
        <v>OTHERS</v>
      </c>
      <c r="P1225" s="4" t="str">
        <f t="shared" si="59"/>
        <v>OTHERS</v>
      </c>
    </row>
    <row r="1226" spans="1:16" x14ac:dyDescent="0.3">
      <c r="A1226" s="4">
        <v>8</v>
      </c>
      <c r="B1226" t="s">
        <v>11</v>
      </c>
      <c r="C1226" s="4">
        <v>32.82</v>
      </c>
      <c r="D1226" t="s">
        <v>29</v>
      </c>
      <c r="E1226" t="s">
        <v>13</v>
      </c>
      <c r="F1226" s="4" t="s">
        <v>23</v>
      </c>
      <c r="G1226" s="4" t="s">
        <v>35</v>
      </c>
      <c r="H1226" s="4">
        <v>7</v>
      </c>
      <c r="I1226" s="4">
        <v>8</v>
      </c>
      <c r="J1226" s="1">
        <v>45522</v>
      </c>
      <c r="K1226" s="2">
        <v>6.743055555555556E-3</v>
      </c>
      <c r="M1226" s="4" t="str">
        <f t="shared" si="57"/>
        <v>LOW</v>
      </c>
      <c r="N1226" s="4" t="str" cm="1">
        <f t="array" ref="N1226">_xlfn.IFS(C1226&gt;35,"HIGH",C1226&gt;25,"MIDDLE",TRUE,"LOW")</f>
        <v>MIDDLE</v>
      </c>
      <c r="O1226" s="4" t="str">
        <f t="shared" si="58"/>
        <v>OTHERS</v>
      </c>
      <c r="P1226" s="4" t="str">
        <f t="shared" si="59"/>
        <v>PREMINUM MORNING</v>
      </c>
    </row>
    <row r="1227" spans="1:16" x14ac:dyDescent="0.3">
      <c r="A1227" s="4">
        <v>8</v>
      </c>
      <c r="B1227" t="s">
        <v>11</v>
      </c>
      <c r="C1227" s="4">
        <v>32.82</v>
      </c>
      <c r="D1227" t="s">
        <v>29</v>
      </c>
      <c r="E1227" t="s">
        <v>13</v>
      </c>
      <c r="F1227" s="4" t="s">
        <v>23</v>
      </c>
      <c r="G1227" s="4" t="s">
        <v>35</v>
      </c>
      <c r="H1227" s="4">
        <v>7</v>
      </c>
      <c r="I1227" s="4">
        <v>8</v>
      </c>
      <c r="J1227" s="1">
        <v>45522</v>
      </c>
      <c r="K1227" s="2">
        <v>2.2287037037037036E-2</v>
      </c>
      <c r="M1227" s="4" t="str">
        <f t="shared" si="57"/>
        <v>LOW</v>
      </c>
      <c r="N1227" s="4" t="str" cm="1">
        <f t="array" ref="N1227">_xlfn.IFS(C1227&gt;35,"HIGH",C1227&gt;25,"MIDDLE",TRUE,"LOW")</f>
        <v>MIDDLE</v>
      </c>
      <c r="O1227" s="4" t="str">
        <f t="shared" si="58"/>
        <v>OTHERS</v>
      </c>
      <c r="P1227" s="4" t="str">
        <f t="shared" si="59"/>
        <v>PREMINUM MORNING</v>
      </c>
    </row>
    <row r="1228" spans="1:16" x14ac:dyDescent="0.3">
      <c r="A1228" s="4">
        <v>8</v>
      </c>
      <c r="B1228" t="s">
        <v>11</v>
      </c>
      <c r="C1228" s="4">
        <v>23.02</v>
      </c>
      <c r="D1228" t="s">
        <v>24</v>
      </c>
      <c r="E1228" t="s">
        <v>13</v>
      </c>
      <c r="F1228" s="4" t="s">
        <v>23</v>
      </c>
      <c r="G1228" s="4" t="s">
        <v>35</v>
      </c>
      <c r="H1228" s="4">
        <v>7</v>
      </c>
      <c r="I1228" s="4">
        <v>8</v>
      </c>
      <c r="J1228" s="1">
        <v>45522</v>
      </c>
      <c r="K1228" s="2">
        <v>2.8543981481481479E-2</v>
      </c>
      <c r="M1228" s="4" t="str">
        <f t="shared" si="57"/>
        <v>LOW</v>
      </c>
      <c r="N1228" s="4" t="str" cm="1">
        <f t="array" ref="N1228">_xlfn.IFS(C1228&gt;35,"HIGH",C1228&gt;25,"MIDDLE",TRUE,"LOW")</f>
        <v>LOW</v>
      </c>
      <c r="O1228" s="4" t="str">
        <f t="shared" si="58"/>
        <v>OTHERS</v>
      </c>
      <c r="P1228" s="4" t="str">
        <f t="shared" si="59"/>
        <v>PREMINUM MORNING</v>
      </c>
    </row>
    <row r="1229" spans="1:16" x14ac:dyDescent="0.3">
      <c r="A1229" s="4">
        <v>8</v>
      </c>
      <c r="B1229" t="s">
        <v>11</v>
      </c>
      <c r="C1229" s="4">
        <v>27.92</v>
      </c>
      <c r="D1229" t="s">
        <v>19</v>
      </c>
      <c r="E1229" t="s">
        <v>13</v>
      </c>
      <c r="F1229" s="4" t="s">
        <v>23</v>
      </c>
      <c r="G1229" s="4" t="s">
        <v>35</v>
      </c>
      <c r="H1229" s="4">
        <v>7</v>
      </c>
      <c r="I1229" s="4">
        <v>8</v>
      </c>
      <c r="J1229" s="1">
        <v>45522</v>
      </c>
      <c r="K1229" s="2">
        <v>3.8903935185185187E-2</v>
      </c>
      <c r="M1229" s="4" t="str">
        <f t="shared" si="57"/>
        <v>LOW</v>
      </c>
      <c r="N1229" s="4" t="str" cm="1">
        <f t="array" ref="N1229">_xlfn.IFS(C1229&gt;35,"HIGH",C1229&gt;25,"MIDDLE",TRUE,"LOW")</f>
        <v>MIDDLE</v>
      </c>
      <c r="O1229" s="4" t="str">
        <f t="shared" si="58"/>
        <v>OTHERS</v>
      </c>
      <c r="P1229" s="4" t="str">
        <f t="shared" si="59"/>
        <v>PREMINUM MORNING</v>
      </c>
    </row>
    <row r="1230" spans="1:16" x14ac:dyDescent="0.3">
      <c r="A1230" s="4">
        <v>12</v>
      </c>
      <c r="B1230" t="s">
        <v>11</v>
      </c>
      <c r="C1230" s="4">
        <v>32.82</v>
      </c>
      <c r="D1230" t="s">
        <v>29</v>
      </c>
      <c r="E1230" t="s">
        <v>17</v>
      </c>
      <c r="F1230" s="4" t="s">
        <v>23</v>
      </c>
      <c r="G1230" s="4" t="s">
        <v>35</v>
      </c>
      <c r="H1230" s="4">
        <v>7</v>
      </c>
      <c r="I1230" s="4">
        <v>8</v>
      </c>
      <c r="J1230" s="1">
        <v>45522</v>
      </c>
      <c r="K1230" s="2">
        <v>2.2001157407407407E-2</v>
      </c>
      <c r="M1230" s="4" t="str">
        <f t="shared" si="57"/>
        <v>LOW</v>
      </c>
      <c r="N1230" s="4" t="str" cm="1">
        <f t="array" ref="N1230">_xlfn.IFS(C1230&gt;35,"HIGH",C1230&gt;25,"MIDDLE",TRUE,"LOW")</f>
        <v>MIDDLE</v>
      </c>
      <c r="O1230" s="4" t="str">
        <f t="shared" si="58"/>
        <v>OTHERS</v>
      </c>
      <c r="P1230" s="4" t="str">
        <f t="shared" si="59"/>
        <v>OTHERS</v>
      </c>
    </row>
    <row r="1231" spans="1:16" x14ac:dyDescent="0.3">
      <c r="A1231" s="4">
        <v>14</v>
      </c>
      <c r="B1231" t="s">
        <v>11</v>
      </c>
      <c r="C1231" s="4">
        <v>27.92</v>
      </c>
      <c r="D1231" t="s">
        <v>19</v>
      </c>
      <c r="E1231" t="s">
        <v>17</v>
      </c>
      <c r="F1231" s="4" t="s">
        <v>23</v>
      </c>
      <c r="G1231" s="4" t="s">
        <v>35</v>
      </c>
      <c r="H1231" s="4">
        <v>7</v>
      </c>
      <c r="I1231" s="4">
        <v>8</v>
      </c>
      <c r="J1231" s="1">
        <v>45522</v>
      </c>
      <c r="K1231" s="2">
        <v>2.1083333333333332E-2</v>
      </c>
      <c r="M1231" s="4" t="str">
        <f t="shared" si="57"/>
        <v>LOW</v>
      </c>
      <c r="N1231" s="4" t="str" cm="1">
        <f t="array" ref="N1231">_xlfn.IFS(C1231&gt;35,"HIGH",C1231&gt;25,"MIDDLE",TRUE,"LOW")</f>
        <v>MIDDLE</v>
      </c>
      <c r="O1231" s="4" t="str">
        <f t="shared" si="58"/>
        <v>OTHERS</v>
      </c>
      <c r="P1231" s="4" t="str">
        <f t="shared" si="59"/>
        <v>OTHERS</v>
      </c>
    </row>
    <row r="1232" spans="1:16" x14ac:dyDescent="0.3">
      <c r="A1232" s="4">
        <v>18</v>
      </c>
      <c r="B1232" t="s">
        <v>11</v>
      </c>
      <c r="C1232" s="4">
        <v>27.92</v>
      </c>
      <c r="D1232" t="s">
        <v>19</v>
      </c>
      <c r="E1232" t="s">
        <v>20</v>
      </c>
      <c r="F1232" s="4" t="s">
        <v>23</v>
      </c>
      <c r="G1232" s="4" t="s">
        <v>35</v>
      </c>
      <c r="H1232" s="4">
        <v>7</v>
      </c>
      <c r="I1232" s="4">
        <v>8</v>
      </c>
      <c r="J1232" s="1">
        <v>45522</v>
      </c>
      <c r="K1232" s="2">
        <v>1.6791666666666667E-2</v>
      </c>
      <c r="M1232" s="4" t="str">
        <f t="shared" si="57"/>
        <v>LOW</v>
      </c>
      <c r="N1232" s="4" t="str" cm="1">
        <f t="array" ref="N1232">_xlfn.IFS(C1232&gt;35,"HIGH",C1232&gt;25,"MIDDLE",TRUE,"LOW")</f>
        <v>MIDDLE</v>
      </c>
      <c r="O1232" s="4" t="str">
        <f t="shared" si="58"/>
        <v>OTHERS</v>
      </c>
      <c r="P1232" s="4" t="str">
        <f t="shared" si="59"/>
        <v>OTHERS</v>
      </c>
    </row>
    <row r="1233" spans="1:16" x14ac:dyDescent="0.3">
      <c r="A1233" s="4">
        <v>18</v>
      </c>
      <c r="B1233" t="s">
        <v>11</v>
      </c>
      <c r="C1233" s="4">
        <v>27.92</v>
      </c>
      <c r="D1233" t="s">
        <v>19</v>
      </c>
      <c r="E1233" t="s">
        <v>20</v>
      </c>
      <c r="F1233" s="4" t="s">
        <v>23</v>
      </c>
      <c r="G1233" s="4" t="s">
        <v>35</v>
      </c>
      <c r="H1233" s="4">
        <v>7</v>
      </c>
      <c r="I1233" s="4">
        <v>8</v>
      </c>
      <c r="J1233" s="1">
        <v>45522</v>
      </c>
      <c r="K1233" s="2">
        <v>1.8099537037037036E-2</v>
      </c>
      <c r="M1233" s="4" t="str">
        <f t="shared" si="57"/>
        <v>LOW</v>
      </c>
      <c r="N1233" s="4" t="str" cm="1">
        <f t="array" ref="N1233">_xlfn.IFS(C1233&gt;35,"HIGH",C1233&gt;25,"MIDDLE",TRUE,"LOW")</f>
        <v>MIDDLE</v>
      </c>
      <c r="O1233" s="4" t="str">
        <f t="shared" si="58"/>
        <v>OTHERS</v>
      </c>
      <c r="P1233" s="4" t="str">
        <f t="shared" si="59"/>
        <v>OTHERS</v>
      </c>
    </row>
    <row r="1234" spans="1:16" x14ac:dyDescent="0.3">
      <c r="A1234" s="4">
        <v>18</v>
      </c>
      <c r="B1234" t="s">
        <v>11</v>
      </c>
      <c r="C1234" s="4">
        <v>23.02</v>
      </c>
      <c r="D1234" t="s">
        <v>18</v>
      </c>
      <c r="E1234" t="s">
        <v>20</v>
      </c>
      <c r="F1234" s="4" t="s">
        <v>23</v>
      </c>
      <c r="G1234" s="4" t="s">
        <v>35</v>
      </c>
      <c r="H1234" s="4">
        <v>7</v>
      </c>
      <c r="I1234" s="4">
        <v>8</v>
      </c>
      <c r="J1234" s="1">
        <v>45522</v>
      </c>
      <c r="K1234" s="2">
        <v>1.8953703703703702E-2</v>
      </c>
      <c r="M1234" s="4" t="str">
        <f t="shared" si="57"/>
        <v>LOW</v>
      </c>
      <c r="N1234" s="4" t="str" cm="1">
        <f t="array" ref="N1234">_xlfn.IFS(C1234&gt;35,"HIGH",C1234&gt;25,"MIDDLE",TRUE,"LOW")</f>
        <v>LOW</v>
      </c>
      <c r="O1234" s="4" t="str">
        <f t="shared" si="58"/>
        <v>OTHERS</v>
      </c>
      <c r="P1234" s="4" t="str">
        <f t="shared" si="59"/>
        <v>OTHERS</v>
      </c>
    </row>
    <row r="1235" spans="1:16" x14ac:dyDescent="0.3">
      <c r="A1235" s="4">
        <v>18</v>
      </c>
      <c r="B1235" t="s">
        <v>11</v>
      </c>
      <c r="C1235" s="4">
        <v>23.02</v>
      </c>
      <c r="D1235" t="s">
        <v>18</v>
      </c>
      <c r="E1235" t="s">
        <v>20</v>
      </c>
      <c r="F1235" s="4" t="s">
        <v>23</v>
      </c>
      <c r="G1235" s="4" t="s">
        <v>35</v>
      </c>
      <c r="H1235" s="4">
        <v>7</v>
      </c>
      <c r="I1235" s="4">
        <v>8</v>
      </c>
      <c r="J1235" s="1">
        <v>45522</v>
      </c>
      <c r="K1235" s="2">
        <v>1.9596064814814813E-2</v>
      </c>
      <c r="M1235" s="4" t="str">
        <f t="shared" si="57"/>
        <v>LOW</v>
      </c>
      <c r="N1235" s="4" t="str" cm="1">
        <f t="array" ref="N1235">_xlfn.IFS(C1235&gt;35,"HIGH",C1235&gt;25,"MIDDLE",TRUE,"LOW")</f>
        <v>LOW</v>
      </c>
      <c r="O1235" s="4" t="str">
        <f t="shared" si="58"/>
        <v>OTHERS</v>
      </c>
      <c r="P1235" s="4" t="str">
        <f t="shared" si="59"/>
        <v>OTHERS</v>
      </c>
    </row>
    <row r="1236" spans="1:16" x14ac:dyDescent="0.3">
      <c r="A1236" s="4">
        <v>15</v>
      </c>
      <c r="B1236" t="s">
        <v>11</v>
      </c>
      <c r="C1236" s="4">
        <v>27.92</v>
      </c>
      <c r="D1236" t="s">
        <v>19</v>
      </c>
      <c r="E1236" t="s">
        <v>17</v>
      </c>
      <c r="F1236" s="4" t="s">
        <v>25</v>
      </c>
      <c r="G1236" s="4" t="s">
        <v>35</v>
      </c>
      <c r="H1236" s="4">
        <v>1</v>
      </c>
      <c r="I1236" s="4">
        <v>8</v>
      </c>
      <c r="J1236" s="1">
        <v>45523</v>
      </c>
      <c r="K1236" s="2">
        <v>6.8171296296296296E-3</v>
      </c>
      <c r="M1236" s="4" t="str">
        <f t="shared" si="57"/>
        <v>LOW</v>
      </c>
      <c r="N1236" s="4" t="str" cm="1">
        <f t="array" ref="N1236">_xlfn.IFS(C1236&gt;35,"HIGH",C1236&gt;25,"MIDDLE",TRUE,"LOW")</f>
        <v>MIDDLE</v>
      </c>
      <c r="O1236" s="4" t="str">
        <f t="shared" si="58"/>
        <v>OTHERS</v>
      </c>
      <c r="P1236" s="4" t="str">
        <f t="shared" si="59"/>
        <v>OTHERS</v>
      </c>
    </row>
    <row r="1237" spans="1:16" x14ac:dyDescent="0.3">
      <c r="A1237" s="4">
        <v>15</v>
      </c>
      <c r="B1237" t="s">
        <v>11</v>
      </c>
      <c r="C1237" s="4">
        <v>27.92</v>
      </c>
      <c r="D1237" t="s">
        <v>19</v>
      </c>
      <c r="E1237" t="s">
        <v>17</v>
      </c>
      <c r="F1237" s="4" t="s">
        <v>25</v>
      </c>
      <c r="G1237" s="4" t="s">
        <v>35</v>
      </c>
      <c r="H1237" s="4">
        <v>1</v>
      </c>
      <c r="I1237" s="4">
        <v>8</v>
      </c>
      <c r="J1237" s="1">
        <v>45523</v>
      </c>
      <c r="K1237" s="2">
        <v>7.5370370370370374E-3</v>
      </c>
      <c r="M1237" s="4" t="str">
        <f t="shared" si="57"/>
        <v>LOW</v>
      </c>
      <c r="N1237" s="4" t="str" cm="1">
        <f t="array" ref="N1237">_xlfn.IFS(C1237&gt;35,"HIGH",C1237&gt;25,"MIDDLE",TRUE,"LOW")</f>
        <v>MIDDLE</v>
      </c>
      <c r="O1237" s="4" t="str">
        <f t="shared" si="58"/>
        <v>OTHERS</v>
      </c>
      <c r="P1237" s="4" t="str">
        <f t="shared" si="59"/>
        <v>OTHERS</v>
      </c>
    </row>
    <row r="1238" spans="1:16" x14ac:dyDescent="0.3">
      <c r="A1238" s="4">
        <v>21</v>
      </c>
      <c r="B1238" t="s">
        <v>11</v>
      </c>
      <c r="C1238" s="4">
        <v>32.82</v>
      </c>
      <c r="D1238" t="s">
        <v>12</v>
      </c>
      <c r="E1238" t="s">
        <v>20</v>
      </c>
      <c r="F1238" s="4" t="s">
        <v>25</v>
      </c>
      <c r="G1238" s="4" t="s">
        <v>35</v>
      </c>
      <c r="H1238" s="4">
        <v>1</v>
      </c>
      <c r="I1238" s="4">
        <v>8</v>
      </c>
      <c r="J1238" s="1">
        <v>45523</v>
      </c>
      <c r="K1238" s="2">
        <v>1.4723379629629628E-2</v>
      </c>
      <c r="M1238" s="4" t="str">
        <f t="shared" si="57"/>
        <v>LOW</v>
      </c>
      <c r="N1238" s="4" t="str" cm="1">
        <f t="array" ref="N1238">_xlfn.IFS(C1238&gt;35,"HIGH",C1238&gt;25,"MIDDLE",TRUE,"LOW")</f>
        <v>MIDDLE</v>
      </c>
      <c r="O1238" s="4" t="str">
        <f t="shared" si="58"/>
        <v>OTHERS</v>
      </c>
      <c r="P1238" s="4" t="str">
        <f t="shared" si="59"/>
        <v>OTHERS</v>
      </c>
    </row>
    <row r="1239" spans="1:16" x14ac:dyDescent="0.3">
      <c r="A1239" s="4">
        <v>21</v>
      </c>
      <c r="B1239" t="s">
        <v>11</v>
      </c>
      <c r="C1239" s="4">
        <v>32.82</v>
      </c>
      <c r="D1239" t="s">
        <v>21</v>
      </c>
      <c r="E1239" t="s">
        <v>20</v>
      </c>
      <c r="F1239" s="4" t="s">
        <v>25</v>
      </c>
      <c r="G1239" s="4" t="s">
        <v>35</v>
      </c>
      <c r="H1239" s="4">
        <v>1</v>
      </c>
      <c r="I1239" s="4">
        <v>8</v>
      </c>
      <c r="J1239" s="1">
        <v>45523</v>
      </c>
      <c r="K1239" s="2">
        <v>2.2187499999999999E-2</v>
      </c>
      <c r="M1239" s="4" t="str">
        <f t="shared" si="57"/>
        <v>LOW</v>
      </c>
      <c r="N1239" s="4" t="str" cm="1">
        <f t="array" ref="N1239">_xlfn.IFS(C1239&gt;35,"HIGH",C1239&gt;25,"MIDDLE",TRUE,"LOW")</f>
        <v>MIDDLE</v>
      </c>
      <c r="O1239" s="4" t="str">
        <f t="shared" si="58"/>
        <v>OTHERS</v>
      </c>
      <c r="P1239" s="4" t="str">
        <f t="shared" si="59"/>
        <v>OTHERS</v>
      </c>
    </row>
    <row r="1240" spans="1:16" x14ac:dyDescent="0.3">
      <c r="A1240" s="4">
        <v>8</v>
      </c>
      <c r="B1240" t="s">
        <v>11</v>
      </c>
      <c r="C1240" s="4">
        <v>23.02</v>
      </c>
      <c r="D1240" t="s">
        <v>24</v>
      </c>
      <c r="E1240" t="s">
        <v>13</v>
      </c>
      <c r="F1240" s="4" t="s">
        <v>27</v>
      </c>
      <c r="G1240" s="4" t="s">
        <v>35</v>
      </c>
      <c r="H1240" s="4">
        <v>2</v>
      </c>
      <c r="I1240" s="4">
        <v>8</v>
      </c>
      <c r="J1240" s="1">
        <v>45524</v>
      </c>
      <c r="K1240" s="2">
        <v>1.8939814814814816E-2</v>
      </c>
      <c r="M1240" s="4" t="str">
        <f t="shared" si="57"/>
        <v>LOW</v>
      </c>
      <c r="N1240" s="4" t="str" cm="1">
        <f t="array" ref="N1240">_xlfn.IFS(C1240&gt;35,"HIGH",C1240&gt;25,"MIDDLE",TRUE,"LOW")</f>
        <v>LOW</v>
      </c>
      <c r="O1240" s="4" t="str">
        <f t="shared" si="58"/>
        <v>OTHERS</v>
      </c>
      <c r="P1240" s="4" t="str">
        <f t="shared" si="59"/>
        <v>PREMINUM MORNING</v>
      </c>
    </row>
    <row r="1241" spans="1:16" x14ac:dyDescent="0.3">
      <c r="A1241" s="4">
        <v>8</v>
      </c>
      <c r="B1241" t="s">
        <v>11</v>
      </c>
      <c r="C1241" s="4">
        <v>32.82</v>
      </c>
      <c r="D1241" t="s">
        <v>12</v>
      </c>
      <c r="E1241" t="s">
        <v>13</v>
      </c>
      <c r="F1241" s="4" t="s">
        <v>27</v>
      </c>
      <c r="G1241" s="4" t="s">
        <v>35</v>
      </c>
      <c r="H1241" s="4">
        <v>2</v>
      </c>
      <c r="I1241" s="4">
        <v>8</v>
      </c>
      <c r="J1241" s="1">
        <v>45524</v>
      </c>
      <c r="K1241" s="2">
        <v>2.0311342592592593E-2</v>
      </c>
      <c r="M1241" s="4" t="str">
        <f t="shared" si="57"/>
        <v>LOW</v>
      </c>
      <c r="N1241" s="4" t="str" cm="1">
        <f t="array" ref="N1241">_xlfn.IFS(C1241&gt;35,"HIGH",C1241&gt;25,"MIDDLE",TRUE,"LOW")</f>
        <v>MIDDLE</v>
      </c>
      <c r="O1241" s="4" t="str">
        <f t="shared" si="58"/>
        <v>OTHERS</v>
      </c>
      <c r="P1241" s="4" t="str">
        <f t="shared" si="59"/>
        <v>PREMINUM MORNING</v>
      </c>
    </row>
    <row r="1242" spans="1:16" x14ac:dyDescent="0.3">
      <c r="A1242" s="4">
        <v>8</v>
      </c>
      <c r="B1242" t="s">
        <v>11</v>
      </c>
      <c r="C1242" s="4">
        <v>18.12</v>
      </c>
      <c r="D1242" t="s">
        <v>26</v>
      </c>
      <c r="E1242" t="s">
        <v>13</v>
      </c>
      <c r="F1242" s="4" t="s">
        <v>27</v>
      </c>
      <c r="G1242" s="4" t="s">
        <v>35</v>
      </c>
      <c r="H1242" s="4">
        <v>2</v>
      </c>
      <c r="I1242" s="4">
        <v>8</v>
      </c>
      <c r="J1242" s="1">
        <v>45524</v>
      </c>
      <c r="K1242" s="2">
        <v>3.4577546296296294E-2</v>
      </c>
      <c r="M1242" s="4" t="str">
        <f t="shared" si="57"/>
        <v>LOW</v>
      </c>
      <c r="N1242" s="4" t="str" cm="1">
        <f t="array" ref="N1242">_xlfn.IFS(C1242&gt;35,"HIGH",C1242&gt;25,"MIDDLE",TRUE,"LOW")</f>
        <v>LOW</v>
      </c>
      <c r="O1242" s="4" t="str">
        <f t="shared" si="58"/>
        <v>OTHERS</v>
      </c>
      <c r="P1242" s="4" t="str">
        <f t="shared" si="59"/>
        <v>PREMINUM MORNING</v>
      </c>
    </row>
    <row r="1243" spans="1:16" x14ac:dyDescent="0.3">
      <c r="A1243" s="4">
        <v>8</v>
      </c>
      <c r="B1243" t="s">
        <v>11</v>
      </c>
      <c r="C1243" s="4">
        <v>23.02</v>
      </c>
      <c r="D1243" t="s">
        <v>24</v>
      </c>
      <c r="E1243" t="s">
        <v>13</v>
      </c>
      <c r="F1243" s="4" t="s">
        <v>27</v>
      </c>
      <c r="G1243" s="4" t="s">
        <v>35</v>
      </c>
      <c r="H1243" s="4">
        <v>2</v>
      </c>
      <c r="I1243" s="4">
        <v>8</v>
      </c>
      <c r="J1243" s="1">
        <v>45524</v>
      </c>
      <c r="K1243" s="2">
        <v>3.514236111111111E-2</v>
      </c>
      <c r="M1243" s="4" t="str">
        <f t="shared" si="57"/>
        <v>LOW</v>
      </c>
      <c r="N1243" s="4" t="str" cm="1">
        <f t="array" ref="N1243">_xlfn.IFS(C1243&gt;35,"HIGH",C1243&gt;25,"MIDDLE",TRUE,"LOW")</f>
        <v>LOW</v>
      </c>
      <c r="O1243" s="4" t="str">
        <f t="shared" si="58"/>
        <v>OTHERS</v>
      </c>
      <c r="P1243" s="4" t="str">
        <f t="shared" si="59"/>
        <v>PREMINUM MORNING</v>
      </c>
    </row>
    <row r="1244" spans="1:16" x14ac:dyDescent="0.3">
      <c r="A1244" s="4">
        <v>9</v>
      </c>
      <c r="B1244" t="s">
        <v>11</v>
      </c>
      <c r="C1244" s="4">
        <v>27.92</v>
      </c>
      <c r="D1244" t="s">
        <v>19</v>
      </c>
      <c r="E1244" t="s">
        <v>13</v>
      </c>
      <c r="F1244" s="4" t="s">
        <v>27</v>
      </c>
      <c r="G1244" s="4" t="s">
        <v>35</v>
      </c>
      <c r="H1244" s="4">
        <v>2</v>
      </c>
      <c r="I1244" s="4">
        <v>8</v>
      </c>
      <c r="J1244" s="1">
        <v>45524</v>
      </c>
      <c r="K1244" s="2">
        <v>1.0357638888888888E-2</v>
      </c>
      <c r="M1244" s="4" t="str">
        <f t="shared" si="57"/>
        <v>LOW</v>
      </c>
      <c r="N1244" s="4" t="str" cm="1">
        <f t="array" ref="N1244">_xlfn.IFS(C1244&gt;35,"HIGH",C1244&gt;25,"MIDDLE",TRUE,"LOW")</f>
        <v>MIDDLE</v>
      </c>
      <c r="O1244" s="4" t="str">
        <f t="shared" si="58"/>
        <v>OTHERS</v>
      </c>
      <c r="P1244" s="4" t="str">
        <f t="shared" si="59"/>
        <v>PREMINUM MORNING</v>
      </c>
    </row>
    <row r="1245" spans="1:16" x14ac:dyDescent="0.3">
      <c r="A1245" s="4">
        <v>11</v>
      </c>
      <c r="B1245" t="s">
        <v>11</v>
      </c>
      <c r="C1245" s="4">
        <v>23.02</v>
      </c>
      <c r="D1245" t="s">
        <v>18</v>
      </c>
      <c r="E1245" t="s">
        <v>13</v>
      </c>
      <c r="F1245" s="4" t="s">
        <v>27</v>
      </c>
      <c r="G1245" s="4" t="s">
        <v>35</v>
      </c>
      <c r="H1245" s="4">
        <v>2</v>
      </c>
      <c r="I1245" s="4">
        <v>8</v>
      </c>
      <c r="J1245" s="1">
        <v>45524</v>
      </c>
      <c r="K1245" s="2">
        <v>6.8935185185185184E-3</v>
      </c>
      <c r="M1245" s="4" t="str">
        <f t="shared" si="57"/>
        <v>LOW</v>
      </c>
      <c r="N1245" s="4" t="str" cm="1">
        <f t="array" ref="N1245">_xlfn.IFS(C1245&gt;35,"HIGH",C1245&gt;25,"MIDDLE",TRUE,"LOW")</f>
        <v>LOW</v>
      </c>
      <c r="O1245" s="4" t="str">
        <f t="shared" si="58"/>
        <v>OTHERS</v>
      </c>
      <c r="P1245" s="4" t="str">
        <f t="shared" si="59"/>
        <v>PREMINUM MORNING</v>
      </c>
    </row>
    <row r="1246" spans="1:16" x14ac:dyDescent="0.3">
      <c r="A1246" s="4">
        <v>11</v>
      </c>
      <c r="B1246" t="s">
        <v>11</v>
      </c>
      <c r="C1246" s="4">
        <v>23.02</v>
      </c>
      <c r="D1246" t="s">
        <v>18</v>
      </c>
      <c r="E1246" t="s">
        <v>13</v>
      </c>
      <c r="F1246" s="4" t="s">
        <v>27</v>
      </c>
      <c r="G1246" s="4" t="s">
        <v>35</v>
      </c>
      <c r="H1246" s="4">
        <v>2</v>
      </c>
      <c r="I1246" s="4">
        <v>8</v>
      </c>
      <c r="J1246" s="1">
        <v>45524</v>
      </c>
      <c r="K1246" s="2">
        <v>8.0914351851851859E-3</v>
      </c>
      <c r="M1246" s="4" t="str">
        <f t="shared" si="57"/>
        <v>LOW</v>
      </c>
      <c r="N1246" s="4" t="str" cm="1">
        <f t="array" ref="N1246">_xlfn.IFS(C1246&gt;35,"HIGH",C1246&gt;25,"MIDDLE",TRUE,"LOW")</f>
        <v>LOW</v>
      </c>
      <c r="O1246" s="4" t="str">
        <f t="shared" si="58"/>
        <v>OTHERS</v>
      </c>
      <c r="P1246" s="4" t="str">
        <f t="shared" si="59"/>
        <v>PREMINUM MORNING</v>
      </c>
    </row>
    <row r="1247" spans="1:16" x14ac:dyDescent="0.3">
      <c r="A1247" s="4">
        <v>11</v>
      </c>
      <c r="B1247" t="s">
        <v>11</v>
      </c>
      <c r="C1247" s="4">
        <v>23.02</v>
      </c>
      <c r="D1247" t="s">
        <v>18</v>
      </c>
      <c r="E1247" t="s">
        <v>13</v>
      </c>
      <c r="F1247" s="4" t="s">
        <v>27</v>
      </c>
      <c r="G1247" s="4" t="s">
        <v>35</v>
      </c>
      <c r="H1247" s="4">
        <v>2</v>
      </c>
      <c r="I1247" s="4">
        <v>8</v>
      </c>
      <c r="J1247" s="1">
        <v>45524</v>
      </c>
      <c r="K1247" s="2">
        <v>8.6944444444444456E-3</v>
      </c>
      <c r="M1247" s="4" t="str">
        <f t="shared" si="57"/>
        <v>LOW</v>
      </c>
      <c r="N1247" s="4" t="str" cm="1">
        <f t="array" ref="N1247">_xlfn.IFS(C1247&gt;35,"HIGH",C1247&gt;25,"MIDDLE",TRUE,"LOW")</f>
        <v>LOW</v>
      </c>
      <c r="O1247" s="4" t="str">
        <f t="shared" si="58"/>
        <v>OTHERS</v>
      </c>
      <c r="P1247" s="4" t="str">
        <f t="shared" si="59"/>
        <v>PREMINUM MORNING</v>
      </c>
    </row>
    <row r="1248" spans="1:16" x14ac:dyDescent="0.3">
      <c r="A1248" s="4">
        <v>11</v>
      </c>
      <c r="B1248" t="s">
        <v>11</v>
      </c>
      <c r="C1248" s="4">
        <v>32.82</v>
      </c>
      <c r="D1248" t="s">
        <v>12</v>
      </c>
      <c r="E1248" t="s">
        <v>13</v>
      </c>
      <c r="F1248" s="4" t="s">
        <v>27</v>
      </c>
      <c r="G1248" s="4" t="s">
        <v>35</v>
      </c>
      <c r="H1248" s="4">
        <v>2</v>
      </c>
      <c r="I1248" s="4">
        <v>8</v>
      </c>
      <c r="J1248" s="1">
        <v>45524</v>
      </c>
      <c r="K1248" s="3">
        <v>0.48773148148148149</v>
      </c>
      <c r="M1248" s="4" t="str">
        <f t="shared" si="57"/>
        <v>LOW</v>
      </c>
      <c r="N1248" s="4" t="str" cm="1">
        <f t="array" ref="N1248">_xlfn.IFS(C1248&gt;35,"HIGH",C1248&gt;25,"MIDDLE",TRUE,"LOW")</f>
        <v>MIDDLE</v>
      </c>
      <c r="O1248" s="4" t="str">
        <f t="shared" si="58"/>
        <v>OTHERS</v>
      </c>
      <c r="P1248" s="4" t="str">
        <f t="shared" si="59"/>
        <v>PREMINUM MORNING</v>
      </c>
    </row>
    <row r="1249" spans="1:16" x14ac:dyDescent="0.3">
      <c r="A1249" s="4">
        <v>20</v>
      </c>
      <c r="B1249" t="s">
        <v>11</v>
      </c>
      <c r="C1249" s="4">
        <v>32.82</v>
      </c>
      <c r="D1249" t="s">
        <v>12</v>
      </c>
      <c r="E1249" t="s">
        <v>20</v>
      </c>
      <c r="F1249" s="4" t="s">
        <v>27</v>
      </c>
      <c r="G1249" s="4" t="s">
        <v>35</v>
      </c>
      <c r="H1249" s="4">
        <v>2</v>
      </c>
      <c r="I1249" s="4">
        <v>8</v>
      </c>
      <c r="J1249" s="1">
        <v>45524</v>
      </c>
      <c r="K1249" s="2">
        <v>2.9640046296296296E-2</v>
      </c>
      <c r="M1249" s="4" t="str">
        <f t="shared" si="57"/>
        <v>LOW</v>
      </c>
      <c r="N1249" s="4" t="str" cm="1">
        <f t="array" ref="N1249">_xlfn.IFS(C1249&gt;35,"HIGH",C1249&gt;25,"MIDDLE",TRUE,"LOW")</f>
        <v>MIDDLE</v>
      </c>
      <c r="O1249" s="4" t="str">
        <f t="shared" si="58"/>
        <v>OTHERS</v>
      </c>
      <c r="P1249" s="4" t="str">
        <f t="shared" si="59"/>
        <v>OTHERS</v>
      </c>
    </row>
    <row r="1250" spans="1:16" x14ac:dyDescent="0.3">
      <c r="A1250" s="4">
        <v>20</v>
      </c>
      <c r="B1250" t="s">
        <v>11</v>
      </c>
      <c r="C1250" s="4">
        <v>32.82</v>
      </c>
      <c r="D1250" t="s">
        <v>12</v>
      </c>
      <c r="E1250" t="s">
        <v>20</v>
      </c>
      <c r="F1250" s="4" t="s">
        <v>27</v>
      </c>
      <c r="G1250" s="4" t="s">
        <v>35</v>
      </c>
      <c r="H1250" s="4">
        <v>2</v>
      </c>
      <c r="I1250" s="4">
        <v>8</v>
      </c>
      <c r="J1250" s="1">
        <v>45524</v>
      </c>
      <c r="K1250" s="2">
        <v>3.072800925925926E-2</v>
      </c>
      <c r="M1250" s="4" t="str">
        <f t="shared" si="57"/>
        <v>LOW</v>
      </c>
      <c r="N1250" s="4" t="str" cm="1">
        <f t="array" ref="N1250">_xlfn.IFS(C1250&gt;35,"HIGH",C1250&gt;25,"MIDDLE",TRUE,"LOW")</f>
        <v>MIDDLE</v>
      </c>
      <c r="O1250" s="4" t="str">
        <f t="shared" si="58"/>
        <v>OTHERS</v>
      </c>
      <c r="P1250" s="4" t="str">
        <f t="shared" si="59"/>
        <v>OTHERS</v>
      </c>
    </row>
    <row r="1251" spans="1:16" x14ac:dyDescent="0.3">
      <c r="A1251" s="4">
        <v>20</v>
      </c>
      <c r="B1251" t="s">
        <v>11</v>
      </c>
      <c r="C1251" s="4">
        <v>32.82</v>
      </c>
      <c r="D1251" t="s">
        <v>12</v>
      </c>
      <c r="E1251" t="s">
        <v>20</v>
      </c>
      <c r="F1251" s="4" t="s">
        <v>27</v>
      </c>
      <c r="G1251" s="4" t="s">
        <v>35</v>
      </c>
      <c r="H1251" s="4">
        <v>2</v>
      </c>
      <c r="I1251" s="4">
        <v>8</v>
      </c>
      <c r="J1251" s="1">
        <v>45524</v>
      </c>
      <c r="K1251" s="2">
        <v>3.1392361111111114E-2</v>
      </c>
      <c r="M1251" s="4" t="str">
        <f t="shared" si="57"/>
        <v>LOW</v>
      </c>
      <c r="N1251" s="4" t="str" cm="1">
        <f t="array" ref="N1251">_xlfn.IFS(C1251&gt;35,"HIGH",C1251&gt;25,"MIDDLE",TRUE,"LOW")</f>
        <v>MIDDLE</v>
      </c>
      <c r="O1251" s="4" t="str">
        <f t="shared" si="58"/>
        <v>OTHERS</v>
      </c>
      <c r="P1251" s="4" t="str">
        <f t="shared" si="59"/>
        <v>OTHERS</v>
      </c>
    </row>
    <row r="1252" spans="1:16" x14ac:dyDescent="0.3">
      <c r="A1252" s="4">
        <v>20</v>
      </c>
      <c r="B1252" t="s">
        <v>11</v>
      </c>
      <c r="C1252" s="4">
        <v>32.82</v>
      </c>
      <c r="D1252" t="s">
        <v>12</v>
      </c>
      <c r="E1252" t="s">
        <v>20</v>
      </c>
      <c r="F1252" s="4" t="s">
        <v>27</v>
      </c>
      <c r="G1252" s="4" t="s">
        <v>35</v>
      </c>
      <c r="H1252" s="4">
        <v>2</v>
      </c>
      <c r="I1252" s="4">
        <v>8</v>
      </c>
      <c r="J1252" s="1">
        <v>45524</v>
      </c>
      <c r="K1252" s="2">
        <v>3.1990740740740743E-2</v>
      </c>
      <c r="M1252" s="4" t="str">
        <f t="shared" si="57"/>
        <v>LOW</v>
      </c>
      <c r="N1252" s="4" t="str" cm="1">
        <f t="array" ref="N1252">_xlfn.IFS(C1252&gt;35,"HIGH",C1252&gt;25,"MIDDLE",TRUE,"LOW")</f>
        <v>MIDDLE</v>
      </c>
      <c r="O1252" s="4" t="str">
        <f t="shared" si="58"/>
        <v>OTHERS</v>
      </c>
      <c r="P1252" s="4" t="str">
        <f t="shared" si="59"/>
        <v>OTHERS</v>
      </c>
    </row>
    <row r="1253" spans="1:16" x14ac:dyDescent="0.3">
      <c r="A1253" s="4">
        <v>7</v>
      </c>
      <c r="B1253" t="s">
        <v>11</v>
      </c>
      <c r="C1253" s="4">
        <v>27.92</v>
      </c>
      <c r="D1253" t="s">
        <v>19</v>
      </c>
      <c r="E1253" t="s">
        <v>13</v>
      </c>
      <c r="F1253" s="4" t="s">
        <v>28</v>
      </c>
      <c r="G1253" s="4" t="s">
        <v>35</v>
      </c>
      <c r="H1253" s="4">
        <v>3</v>
      </c>
      <c r="I1253" s="4">
        <v>8</v>
      </c>
      <c r="J1253" s="1">
        <v>45525</v>
      </c>
      <c r="K1253" s="2">
        <v>4.1123842592592594E-2</v>
      </c>
      <c r="M1253" s="4" t="str">
        <f t="shared" si="57"/>
        <v>LOW</v>
      </c>
      <c r="N1253" s="4" t="str" cm="1">
        <f t="array" ref="N1253">_xlfn.IFS(C1253&gt;35,"HIGH",C1253&gt;25,"MIDDLE",TRUE,"LOW")</f>
        <v>MIDDLE</v>
      </c>
      <c r="O1253" s="4" t="str">
        <f t="shared" si="58"/>
        <v>OTHERS</v>
      </c>
      <c r="P1253" s="4" t="str">
        <f t="shared" si="59"/>
        <v>PREMINUM MORNING</v>
      </c>
    </row>
    <row r="1254" spans="1:16" x14ac:dyDescent="0.3">
      <c r="A1254" s="4">
        <v>8</v>
      </c>
      <c r="B1254" t="s">
        <v>11</v>
      </c>
      <c r="C1254" s="4">
        <v>23.02</v>
      </c>
      <c r="D1254" t="s">
        <v>24</v>
      </c>
      <c r="E1254" t="s">
        <v>13</v>
      </c>
      <c r="F1254" s="4" t="s">
        <v>28</v>
      </c>
      <c r="G1254" s="4" t="s">
        <v>35</v>
      </c>
      <c r="H1254" s="4">
        <v>3</v>
      </c>
      <c r="I1254" s="4">
        <v>8</v>
      </c>
      <c r="J1254" s="1">
        <v>45525</v>
      </c>
      <c r="K1254" s="2">
        <v>2.8094907407407409E-2</v>
      </c>
      <c r="M1254" s="4" t="str">
        <f t="shared" si="57"/>
        <v>LOW</v>
      </c>
      <c r="N1254" s="4" t="str" cm="1">
        <f t="array" ref="N1254">_xlfn.IFS(C1254&gt;35,"HIGH",C1254&gt;25,"MIDDLE",TRUE,"LOW")</f>
        <v>LOW</v>
      </c>
      <c r="O1254" s="4" t="str">
        <f t="shared" si="58"/>
        <v>OTHERS</v>
      </c>
      <c r="P1254" s="4" t="str">
        <f t="shared" si="59"/>
        <v>PREMINUM MORNING</v>
      </c>
    </row>
    <row r="1255" spans="1:16" x14ac:dyDescent="0.3">
      <c r="A1255" s="4">
        <v>10</v>
      </c>
      <c r="B1255" t="s">
        <v>11</v>
      </c>
      <c r="C1255" s="4">
        <v>23.02</v>
      </c>
      <c r="D1255" t="s">
        <v>18</v>
      </c>
      <c r="E1255" t="s">
        <v>13</v>
      </c>
      <c r="F1255" s="4" t="s">
        <v>28</v>
      </c>
      <c r="G1255" s="4" t="s">
        <v>35</v>
      </c>
      <c r="H1255" s="4">
        <v>3</v>
      </c>
      <c r="I1255" s="4">
        <v>8</v>
      </c>
      <c r="J1255" s="1">
        <v>45525</v>
      </c>
      <c r="K1255" s="2">
        <v>9.4027777777777773E-3</v>
      </c>
      <c r="M1255" s="4" t="str">
        <f t="shared" si="57"/>
        <v>LOW</v>
      </c>
      <c r="N1255" s="4" t="str" cm="1">
        <f t="array" ref="N1255">_xlfn.IFS(C1255&gt;35,"HIGH",C1255&gt;25,"MIDDLE",TRUE,"LOW")</f>
        <v>LOW</v>
      </c>
      <c r="O1255" s="4" t="str">
        <f t="shared" si="58"/>
        <v>OTHERS</v>
      </c>
      <c r="P1255" s="4" t="str">
        <f t="shared" si="59"/>
        <v>PREMINUM MORNING</v>
      </c>
    </row>
    <row r="1256" spans="1:16" x14ac:dyDescent="0.3">
      <c r="A1256" s="4">
        <v>10</v>
      </c>
      <c r="B1256" t="s">
        <v>11</v>
      </c>
      <c r="C1256" s="4">
        <v>27.92</v>
      </c>
      <c r="D1256" t="s">
        <v>19</v>
      </c>
      <c r="E1256" t="s">
        <v>13</v>
      </c>
      <c r="F1256" s="4" t="s">
        <v>28</v>
      </c>
      <c r="G1256" s="4" t="s">
        <v>35</v>
      </c>
      <c r="H1256" s="4">
        <v>3</v>
      </c>
      <c r="I1256" s="4">
        <v>8</v>
      </c>
      <c r="J1256" s="1">
        <v>45525</v>
      </c>
      <c r="K1256" s="2">
        <v>2.6903935185185184E-2</v>
      </c>
      <c r="M1256" s="4" t="str">
        <f t="shared" si="57"/>
        <v>LOW</v>
      </c>
      <c r="N1256" s="4" t="str" cm="1">
        <f t="array" ref="N1256">_xlfn.IFS(C1256&gt;35,"HIGH",C1256&gt;25,"MIDDLE",TRUE,"LOW")</f>
        <v>MIDDLE</v>
      </c>
      <c r="O1256" s="4" t="str">
        <f t="shared" si="58"/>
        <v>OTHERS</v>
      </c>
      <c r="P1256" s="4" t="str">
        <f t="shared" si="59"/>
        <v>PREMINUM MORNING</v>
      </c>
    </row>
    <row r="1257" spans="1:16" x14ac:dyDescent="0.3">
      <c r="A1257" s="4">
        <v>11</v>
      </c>
      <c r="B1257" t="s">
        <v>11</v>
      </c>
      <c r="C1257" s="4">
        <v>23.02</v>
      </c>
      <c r="D1257" t="s">
        <v>24</v>
      </c>
      <c r="E1257" t="s">
        <v>13</v>
      </c>
      <c r="F1257" s="4" t="s">
        <v>28</v>
      </c>
      <c r="G1257" s="4" t="s">
        <v>35</v>
      </c>
      <c r="H1257" s="4">
        <v>3</v>
      </c>
      <c r="I1257" s="4">
        <v>8</v>
      </c>
      <c r="J1257" s="1">
        <v>45525</v>
      </c>
      <c r="K1257" s="2">
        <v>3.5895833333333335E-2</v>
      </c>
      <c r="M1257" s="4" t="str">
        <f t="shared" si="57"/>
        <v>LOW</v>
      </c>
      <c r="N1257" s="4" t="str" cm="1">
        <f t="array" ref="N1257">_xlfn.IFS(C1257&gt;35,"HIGH",C1257&gt;25,"MIDDLE",TRUE,"LOW")</f>
        <v>LOW</v>
      </c>
      <c r="O1257" s="4" t="str">
        <f t="shared" si="58"/>
        <v>OTHERS</v>
      </c>
      <c r="P1257" s="4" t="str">
        <f t="shared" si="59"/>
        <v>PREMINUM MORNING</v>
      </c>
    </row>
    <row r="1258" spans="1:16" x14ac:dyDescent="0.3">
      <c r="A1258" s="4">
        <v>13</v>
      </c>
      <c r="B1258" t="s">
        <v>11</v>
      </c>
      <c r="C1258" s="4">
        <v>32.82</v>
      </c>
      <c r="D1258" t="s">
        <v>12</v>
      </c>
      <c r="E1258" t="s">
        <v>17</v>
      </c>
      <c r="F1258" s="4" t="s">
        <v>28</v>
      </c>
      <c r="G1258" s="4" t="s">
        <v>35</v>
      </c>
      <c r="H1258" s="4">
        <v>3</v>
      </c>
      <c r="I1258" s="4">
        <v>8</v>
      </c>
      <c r="J1258" s="1">
        <v>45525</v>
      </c>
      <c r="K1258" s="2">
        <v>1.1930555555555555E-2</v>
      </c>
      <c r="M1258" s="4" t="str">
        <f t="shared" si="57"/>
        <v>LOW</v>
      </c>
      <c r="N1258" s="4" t="str" cm="1">
        <f t="array" ref="N1258">_xlfn.IFS(C1258&gt;35,"HIGH",C1258&gt;25,"MIDDLE",TRUE,"LOW")</f>
        <v>MIDDLE</v>
      </c>
      <c r="O1258" s="4" t="str">
        <f t="shared" si="58"/>
        <v>OTHERS</v>
      </c>
      <c r="P1258" s="4" t="str">
        <f t="shared" si="59"/>
        <v>OTHERS</v>
      </c>
    </row>
    <row r="1259" spans="1:16" x14ac:dyDescent="0.3">
      <c r="A1259" s="4">
        <v>19</v>
      </c>
      <c r="B1259" t="s">
        <v>11</v>
      </c>
      <c r="C1259" s="4">
        <v>32.82</v>
      </c>
      <c r="D1259" t="s">
        <v>12</v>
      </c>
      <c r="E1259" t="s">
        <v>20</v>
      </c>
      <c r="F1259" s="4" t="s">
        <v>28</v>
      </c>
      <c r="G1259" s="4" t="s">
        <v>35</v>
      </c>
      <c r="H1259" s="4">
        <v>3</v>
      </c>
      <c r="I1259" s="4">
        <v>8</v>
      </c>
      <c r="J1259" s="1">
        <v>45525</v>
      </c>
      <c r="K1259" s="2">
        <v>2.9207175925925925E-2</v>
      </c>
      <c r="M1259" s="4" t="str">
        <f t="shared" si="57"/>
        <v>LOW</v>
      </c>
      <c r="N1259" s="4" t="str" cm="1">
        <f t="array" ref="N1259">_xlfn.IFS(C1259&gt;35,"HIGH",C1259&gt;25,"MIDDLE",TRUE,"LOW")</f>
        <v>MIDDLE</v>
      </c>
      <c r="O1259" s="4" t="str">
        <f t="shared" si="58"/>
        <v>OTHERS</v>
      </c>
      <c r="P1259" s="4" t="str">
        <f t="shared" si="59"/>
        <v>OTHERS</v>
      </c>
    </row>
    <row r="1260" spans="1:16" x14ac:dyDescent="0.3">
      <c r="A1260" s="4">
        <v>9</v>
      </c>
      <c r="B1260" t="s">
        <v>11</v>
      </c>
      <c r="C1260" s="4">
        <v>23.02</v>
      </c>
      <c r="D1260" t="s">
        <v>24</v>
      </c>
      <c r="E1260" t="s">
        <v>13</v>
      </c>
      <c r="F1260" s="4" t="s">
        <v>30</v>
      </c>
      <c r="G1260" s="4" t="s">
        <v>35</v>
      </c>
      <c r="H1260" s="4">
        <v>4</v>
      </c>
      <c r="I1260" s="4">
        <v>8</v>
      </c>
      <c r="J1260" s="1">
        <v>45526</v>
      </c>
      <c r="K1260" s="2">
        <v>1.5582175925925925E-2</v>
      </c>
      <c r="M1260" s="4" t="str">
        <f t="shared" si="57"/>
        <v>LOW</v>
      </c>
      <c r="N1260" s="4" t="str" cm="1">
        <f t="array" ref="N1260">_xlfn.IFS(C1260&gt;35,"HIGH",C1260&gt;25,"MIDDLE",TRUE,"LOW")</f>
        <v>LOW</v>
      </c>
      <c r="O1260" s="4" t="str">
        <f t="shared" si="58"/>
        <v>OTHERS</v>
      </c>
      <c r="P1260" s="4" t="str">
        <f t="shared" si="59"/>
        <v>PREMINUM MORNING</v>
      </c>
    </row>
    <row r="1261" spans="1:16" x14ac:dyDescent="0.3">
      <c r="A1261" s="4">
        <v>10</v>
      </c>
      <c r="B1261" t="s">
        <v>11</v>
      </c>
      <c r="C1261" s="4">
        <v>27.92</v>
      </c>
      <c r="D1261" t="s">
        <v>19</v>
      </c>
      <c r="E1261" t="s">
        <v>13</v>
      </c>
      <c r="F1261" s="4" t="s">
        <v>30</v>
      </c>
      <c r="G1261" s="4" t="s">
        <v>35</v>
      </c>
      <c r="H1261" s="4">
        <v>4</v>
      </c>
      <c r="I1261" s="4">
        <v>8</v>
      </c>
      <c r="J1261" s="1">
        <v>45526</v>
      </c>
      <c r="K1261" s="2">
        <v>6.5219907407407405E-3</v>
      </c>
      <c r="M1261" s="4" t="str">
        <f t="shared" si="57"/>
        <v>LOW</v>
      </c>
      <c r="N1261" s="4" t="str" cm="1">
        <f t="array" ref="N1261">_xlfn.IFS(C1261&gt;35,"HIGH",C1261&gt;25,"MIDDLE",TRUE,"LOW")</f>
        <v>MIDDLE</v>
      </c>
      <c r="O1261" s="4" t="str">
        <f t="shared" si="58"/>
        <v>OTHERS</v>
      </c>
      <c r="P1261" s="4" t="str">
        <f t="shared" si="59"/>
        <v>PREMINUM MORNING</v>
      </c>
    </row>
    <row r="1262" spans="1:16" x14ac:dyDescent="0.3">
      <c r="A1262" s="4">
        <v>10</v>
      </c>
      <c r="B1262" t="s">
        <v>11</v>
      </c>
      <c r="C1262" s="4">
        <v>27.92</v>
      </c>
      <c r="D1262" t="s">
        <v>19</v>
      </c>
      <c r="E1262" t="s">
        <v>13</v>
      </c>
      <c r="F1262" s="4" t="s">
        <v>30</v>
      </c>
      <c r="G1262" s="4" t="s">
        <v>35</v>
      </c>
      <c r="H1262" s="4">
        <v>4</v>
      </c>
      <c r="I1262" s="4">
        <v>8</v>
      </c>
      <c r="J1262" s="1">
        <v>45526</v>
      </c>
      <c r="K1262" s="2">
        <v>3.3326388888888892E-2</v>
      </c>
      <c r="M1262" s="4" t="str">
        <f t="shared" si="57"/>
        <v>LOW</v>
      </c>
      <c r="N1262" s="4" t="str" cm="1">
        <f t="array" ref="N1262">_xlfn.IFS(C1262&gt;35,"HIGH",C1262&gt;25,"MIDDLE",TRUE,"LOW")</f>
        <v>MIDDLE</v>
      </c>
      <c r="O1262" s="4" t="str">
        <f t="shared" si="58"/>
        <v>OTHERS</v>
      </c>
      <c r="P1262" s="4" t="str">
        <f t="shared" si="59"/>
        <v>PREMINUM MORNING</v>
      </c>
    </row>
    <row r="1263" spans="1:16" x14ac:dyDescent="0.3">
      <c r="A1263" s="4">
        <v>14</v>
      </c>
      <c r="B1263" t="s">
        <v>11</v>
      </c>
      <c r="C1263" s="4">
        <v>32.82</v>
      </c>
      <c r="D1263" t="s">
        <v>12</v>
      </c>
      <c r="E1263" t="s">
        <v>17</v>
      </c>
      <c r="F1263" s="4" t="s">
        <v>30</v>
      </c>
      <c r="G1263" s="4" t="s">
        <v>35</v>
      </c>
      <c r="H1263" s="4">
        <v>4</v>
      </c>
      <c r="I1263" s="4">
        <v>8</v>
      </c>
      <c r="J1263" s="1">
        <v>45526</v>
      </c>
      <c r="K1263" s="2">
        <v>1.1251157407407408E-2</v>
      </c>
      <c r="M1263" s="4" t="str">
        <f t="shared" si="57"/>
        <v>LOW</v>
      </c>
      <c r="N1263" s="4" t="str" cm="1">
        <f t="array" ref="N1263">_xlfn.IFS(C1263&gt;35,"HIGH",C1263&gt;25,"MIDDLE",TRUE,"LOW")</f>
        <v>MIDDLE</v>
      </c>
      <c r="O1263" s="4" t="str">
        <f t="shared" si="58"/>
        <v>OTHERS</v>
      </c>
      <c r="P1263" s="4" t="str">
        <f t="shared" si="59"/>
        <v>OTHERS</v>
      </c>
    </row>
    <row r="1264" spans="1:16" x14ac:dyDescent="0.3">
      <c r="A1264" s="4">
        <v>14</v>
      </c>
      <c r="B1264" t="s">
        <v>11</v>
      </c>
      <c r="C1264" s="4">
        <v>32.82</v>
      </c>
      <c r="D1264" t="s">
        <v>12</v>
      </c>
      <c r="E1264" t="s">
        <v>17</v>
      </c>
      <c r="F1264" s="4" t="s">
        <v>30</v>
      </c>
      <c r="G1264" s="4" t="s">
        <v>35</v>
      </c>
      <c r="H1264" s="4">
        <v>4</v>
      </c>
      <c r="I1264" s="4">
        <v>8</v>
      </c>
      <c r="J1264" s="1">
        <v>45526</v>
      </c>
      <c r="K1264" s="2">
        <v>1.8730324074074073E-2</v>
      </c>
      <c r="M1264" s="4" t="str">
        <f t="shared" si="57"/>
        <v>LOW</v>
      </c>
      <c r="N1264" s="4" t="str" cm="1">
        <f t="array" ref="N1264">_xlfn.IFS(C1264&gt;35,"HIGH",C1264&gt;25,"MIDDLE",TRUE,"LOW")</f>
        <v>MIDDLE</v>
      </c>
      <c r="O1264" s="4" t="str">
        <f t="shared" si="58"/>
        <v>OTHERS</v>
      </c>
      <c r="P1264" s="4" t="str">
        <f t="shared" si="59"/>
        <v>OTHERS</v>
      </c>
    </row>
    <row r="1265" spans="1:16" x14ac:dyDescent="0.3">
      <c r="A1265" s="4">
        <v>15</v>
      </c>
      <c r="B1265" t="s">
        <v>11</v>
      </c>
      <c r="C1265" s="4">
        <v>32.82</v>
      </c>
      <c r="D1265" t="s">
        <v>29</v>
      </c>
      <c r="E1265" t="s">
        <v>17</v>
      </c>
      <c r="F1265" s="4" t="s">
        <v>30</v>
      </c>
      <c r="G1265" s="4" t="s">
        <v>35</v>
      </c>
      <c r="H1265" s="4">
        <v>4</v>
      </c>
      <c r="I1265" s="4">
        <v>8</v>
      </c>
      <c r="J1265" s="1">
        <v>45526</v>
      </c>
      <c r="K1265" s="2">
        <v>4.9467592592592593E-3</v>
      </c>
      <c r="M1265" s="4" t="str">
        <f t="shared" si="57"/>
        <v>LOW</v>
      </c>
      <c r="N1265" s="4" t="str" cm="1">
        <f t="array" ref="N1265">_xlfn.IFS(C1265&gt;35,"HIGH",C1265&gt;25,"MIDDLE",TRUE,"LOW")</f>
        <v>MIDDLE</v>
      </c>
      <c r="O1265" s="4" t="str">
        <f t="shared" si="58"/>
        <v>OTHERS</v>
      </c>
      <c r="P1265" s="4" t="str">
        <f t="shared" si="59"/>
        <v>OTHERS</v>
      </c>
    </row>
    <row r="1266" spans="1:16" x14ac:dyDescent="0.3">
      <c r="A1266" s="4">
        <v>15</v>
      </c>
      <c r="B1266" t="s">
        <v>11</v>
      </c>
      <c r="C1266" s="4">
        <v>23.02</v>
      </c>
      <c r="D1266" t="s">
        <v>18</v>
      </c>
      <c r="E1266" t="s">
        <v>17</v>
      </c>
      <c r="F1266" s="4" t="s">
        <v>30</v>
      </c>
      <c r="G1266" s="4" t="s">
        <v>35</v>
      </c>
      <c r="H1266" s="4">
        <v>4</v>
      </c>
      <c r="I1266" s="4">
        <v>8</v>
      </c>
      <c r="J1266" s="1">
        <v>45526</v>
      </c>
      <c r="K1266" s="2">
        <v>1.906597222222222E-2</v>
      </c>
      <c r="M1266" s="4" t="str">
        <f t="shared" si="57"/>
        <v>LOW</v>
      </c>
      <c r="N1266" s="4" t="str" cm="1">
        <f t="array" ref="N1266">_xlfn.IFS(C1266&gt;35,"HIGH",C1266&gt;25,"MIDDLE",TRUE,"LOW")</f>
        <v>LOW</v>
      </c>
      <c r="O1266" s="4" t="str">
        <f t="shared" si="58"/>
        <v>OTHERS</v>
      </c>
      <c r="P1266" s="4" t="str">
        <f t="shared" si="59"/>
        <v>OTHERS</v>
      </c>
    </row>
    <row r="1267" spans="1:16" x14ac:dyDescent="0.3">
      <c r="A1267" s="4">
        <v>7</v>
      </c>
      <c r="B1267" t="s">
        <v>11</v>
      </c>
      <c r="C1267" s="4">
        <v>32.82</v>
      </c>
      <c r="D1267" t="s">
        <v>12</v>
      </c>
      <c r="E1267" t="s">
        <v>13</v>
      </c>
      <c r="F1267" s="4" t="s">
        <v>14</v>
      </c>
      <c r="G1267" s="4" t="s">
        <v>35</v>
      </c>
      <c r="H1267" s="4">
        <v>5</v>
      </c>
      <c r="I1267" s="4">
        <v>8</v>
      </c>
      <c r="J1267" s="1">
        <v>45527</v>
      </c>
      <c r="K1267" s="2">
        <v>3.0047453703703701E-2</v>
      </c>
      <c r="M1267" s="4" t="str">
        <f t="shared" si="57"/>
        <v>LOW</v>
      </c>
      <c r="N1267" s="4" t="str" cm="1">
        <f t="array" ref="N1267">_xlfn.IFS(C1267&gt;35,"HIGH",C1267&gt;25,"MIDDLE",TRUE,"LOW")</f>
        <v>MIDDLE</v>
      </c>
      <c r="O1267" s="4" t="str">
        <f t="shared" si="58"/>
        <v>OTHERS</v>
      </c>
      <c r="P1267" s="4" t="str">
        <f t="shared" si="59"/>
        <v>PREMINUM MORNING</v>
      </c>
    </row>
    <row r="1268" spans="1:16" x14ac:dyDescent="0.3">
      <c r="A1268" s="4">
        <v>8</v>
      </c>
      <c r="B1268" t="s">
        <v>11</v>
      </c>
      <c r="C1268" s="4">
        <v>23.02</v>
      </c>
      <c r="D1268" t="s">
        <v>24</v>
      </c>
      <c r="E1268" t="s">
        <v>13</v>
      </c>
      <c r="F1268" s="4" t="s">
        <v>14</v>
      </c>
      <c r="G1268" s="4" t="s">
        <v>35</v>
      </c>
      <c r="H1268" s="4">
        <v>5</v>
      </c>
      <c r="I1268" s="4">
        <v>8</v>
      </c>
      <c r="J1268" s="1">
        <v>45527</v>
      </c>
      <c r="K1268" s="2">
        <v>1.5140046296296296E-2</v>
      </c>
      <c r="M1268" s="4" t="str">
        <f t="shared" si="57"/>
        <v>LOW</v>
      </c>
      <c r="N1268" s="4" t="str" cm="1">
        <f t="array" ref="N1268">_xlfn.IFS(C1268&gt;35,"HIGH",C1268&gt;25,"MIDDLE",TRUE,"LOW")</f>
        <v>LOW</v>
      </c>
      <c r="O1268" s="4" t="str">
        <f t="shared" si="58"/>
        <v>OTHERS</v>
      </c>
      <c r="P1268" s="4" t="str">
        <f t="shared" si="59"/>
        <v>PREMINUM MORNING</v>
      </c>
    </row>
    <row r="1269" spans="1:16" x14ac:dyDescent="0.3">
      <c r="A1269" s="4">
        <v>8</v>
      </c>
      <c r="B1269" t="s">
        <v>11</v>
      </c>
      <c r="C1269" s="4">
        <v>32.82</v>
      </c>
      <c r="D1269" t="s">
        <v>12</v>
      </c>
      <c r="E1269" t="s">
        <v>13</v>
      </c>
      <c r="F1269" s="4" t="s">
        <v>14</v>
      </c>
      <c r="G1269" s="4" t="s">
        <v>35</v>
      </c>
      <c r="H1269" s="4">
        <v>5</v>
      </c>
      <c r="I1269" s="4">
        <v>8</v>
      </c>
      <c r="J1269" s="1">
        <v>45527</v>
      </c>
      <c r="K1269" s="2">
        <v>1.5932870370370368E-2</v>
      </c>
      <c r="M1269" s="4" t="str">
        <f t="shared" si="57"/>
        <v>LOW</v>
      </c>
      <c r="N1269" s="4" t="str" cm="1">
        <f t="array" ref="N1269">_xlfn.IFS(C1269&gt;35,"HIGH",C1269&gt;25,"MIDDLE",TRUE,"LOW")</f>
        <v>MIDDLE</v>
      </c>
      <c r="O1269" s="4" t="str">
        <f t="shared" si="58"/>
        <v>OTHERS</v>
      </c>
      <c r="P1269" s="4" t="str">
        <f t="shared" si="59"/>
        <v>PREMINUM MORNING</v>
      </c>
    </row>
    <row r="1270" spans="1:16" x14ac:dyDescent="0.3">
      <c r="A1270" s="4">
        <v>8</v>
      </c>
      <c r="B1270" t="s">
        <v>11</v>
      </c>
      <c r="C1270" s="4">
        <v>23.02</v>
      </c>
      <c r="D1270" t="s">
        <v>18</v>
      </c>
      <c r="E1270" t="s">
        <v>13</v>
      </c>
      <c r="F1270" s="4" t="s">
        <v>14</v>
      </c>
      <c r="G1270" s="4" t="s">
        <v>35</v>
      </c>
      <c r="H1270" s="4">
        <v>5</v>
      </c>
      <c r="I1270" s="4">
        <v>8</v>
      </c>
      <c r="J1270" s="1">
        <v>45527</v>
      </c>
      <c r="K1270" s="2">
        <v>2.3364583333333334E-2</v>
      </c>
      <c r="M1270" s="4" t="str">
        <f t="shared" si="57"/>
        <v>LOW</v>
      </c>
      <c r="N1270" s="4" t="str" cm="1">
        <f t="array" ref="N1270">_xlfn.IFS(C1270&gt;35,"HIGH",C1270&gt;25,"MIDDLE",TRUE,"LOW")</f>
        <v>LOW</v>
      </c>
      <c r="O1270" s="4" t="str">
        <f t="shared" si="58"/>
        <v>OTHERS</v>
      </c>
      <c r="P1270" s="4" t="str">
        <f t="shared" si="59"/>
        <v>PREMINUM MORNING</v>
      </c>
    </row>
    <row r="1271" spans="1:16" x14ac:dyDescent="0.3">
      <c r="A1271" s="4">
        <v>8</v>
      </c>
      <c r="B1271" t="s">
        <v>11</v>
      </c>
      <c r="C1271" s="4">
        <v>23.02</v>
      </c>
      <c r="D1271" t="s">
        <v>18</v>
      </c>
      <c r="E1271" t="s">
        <v>13</v>
      </c>
      <c r="F1271" s="4" t="s">
        <v>14</v>
      </c>
      <c r="G1271" s="4" t="s">
        <v>35</v>
      </c>
      <c r="H1271" s="4">
        <v>5</v>
      </c>
      <c r="I1271" s="4">
        <v>8</v>
      </c>
      <c r="J1271" s="1">
        <v>45527</v>
      </c>
      <c r="K1271" s="2">
        <v>2.4016203703703703E-2</v>
      </c>
      <c r="M1271" s="4" t="str">
        <f t="shared" si="57"/>
        <v>LOW</v>
      </c>
      <c r="N1271" s="4" t="str" cm="1">
        <f t="array" ref="N1271">_xlfn.IFS(C1271&gt;35,"HIGH",C1271&gt;25,"MIDDLE",TRUE,"LOW")</f>
        <v>LOW</v>
      </c>
      <c r="O1271" s="4" t="str">
        <f t="shared" si="58"/>
        <v>OTHERS</v>
      </c>
      <c r="P1271" s="4" t="str">
        <f t="shared" si="59"/>
        <v>PREMINUM MORNING</v>
      </c>
    </row>
    <row r="1272" spans="1:16" x14ac:dyDescent="0.3">
      <c r="A1272" s="4">
        <v>9</v>
      </c>
      <c r="B1272" t="s">
        <v>11</v>
      </c>
      <c r="C1272" s="4">
        <v>27.92</v>
      </c>
      <c r="D1272" t="s">
        <v>19</v>
      </c>
      <c r="E1272" t="s">
        <v>13</v>
      </c>
      <c r="F1272" s="4" t="s">
        <v>14</v>
      </c>
      <c r="G1272" s="4" t="s">
        <v>35</v>
      </c>
      <c r="H1272" s="4">
        <v>5</v>
      </c>
      <c r="I1272" s="4">
        <v>8</v>
      </c>
      <c r="J1272" s="1">
        <v>45527</v>
      </c>
      <c r="K1272" s="2">
        <v>1.0324074074074074E-2</v>
      </c>
      <c r="M1272" s="4" t="str">
        <f t="shared" si="57"/>
        <v>LOW</v>
      </c>
      <c r="N1272" s="4" t="str" cm="1">
        <f t="array" ref="N1272">_xlfn.IFS(C1272&gt;35,"HIGH",C1272&gt;25,"MIDDLE",TRUE,"LOW")</f>
        <v>MIDDLE</v>
      </c>
      <c r="O1272" s="4" t="str">
        <f t="shared" si="58"/>
        <v>OTHERS</v>
      </c>
      <c r="P1272" s="4" t="str">
        <f t="shared" si="59"/>
        <v>PREMINUM MORNING</v>
      </c>
    </row>
    <row r="1273" spans="1:16" x14ac:dyDescent="0.3">
      <c r="A1273" s="4">
        <v>10</v>
      </c>
      <c r="B1273" t="s">
        <v>11</v>
      </c>
      <c r="C1273" s="4">
        <v>32.82</v>
      </c>
      <c r="D1273" t="s">
        <v>21</v>
      </c>
      <c r="E1273" t="s">
        <v>13</v>
      </c>
      <c r="F1273" s="4" t="s">
        <v>14</v>
      </c>
      <c r="G1273" s="4" t="s">
        <v>35</v>
      </c>
      <c r="H1273" s="4">
        <v>5</v>
      </c>
      <c r="I1273" s="4">
        <v>8</v>
      </c>
      <c r="J1273" s="1">
        <v>45527</v>
      </c>
      <c r="K1273" s="2">
        <v>7.6238425925925935E-3</v>
      </c>
      <c r="M1273" s="4" t="str">
        <f t="shared" si="57"/>
        <v>LOW</v>
      </c>
      <c r="N1273" s="4" t="str" cm="1">
        <f t="array" ref="N1273">_xlfn.IFS(C1273&gt;35,"HIGH",C1273&gt;25,"MIDDLE",TRUE,"LOW")</f>
        <v>MIDDLE</v>
      </c>
      <c r="O1273" s="4" t="str">
        <f t="shared" si="58"/>
        <v>OTHERS</v>
      </c>
      <c r="P1273" s="4" t="str">
        <f t="shared" si="59"/>
        <v>PREMINUM MORNING</v>
      </c>
    </row>
    <row r="1274" spans="1:16" x14ac:dyDescent="0.3">
      <c r="A1274" s="4">
        <v>10</v>
      </c>
      <c r="B1274" t="s">
        <v>11</v>
      </c>
      <c r="C1274" s="4">
        <v>23.02</v>
      </c>
      <c r="D1274" t="s">
        <v>18</v>
      </c>
      <c r="E1274" t="s">
        <v>13</v>
      </c>
      <c r="F1274" s="4" t="s">
        <v>14</v>
      </c>
      <c r="G1274" s="4" t="s">
        <v>35</v>
      </c>
      <c r="H1274" s="4">
        <v>5</v>
      </c>
      <c r="I1274" s="4">
        <v>8</v>
      </c>
      <c r="J1274" s="1">
        <v>45527</v>
      </c>
      <c r="K1274" s="2">
        <v>8.2812500000000004E-3</v>
      </c>
      <c r="M1274" s="4" t="str">
        <f t="shared" si="57"/>
        <v>LOW</v>
      </c>
      <c r="N1274" s="4" t="str" cm="1">
        <f t="array" ref="N1274">_xlfn.IFS(C1274&gt;35,"HIGH",C1274&gt;25,"MIDDLE",TRUE,"LOW")</f>
        <v>LOW</v>
      </c>
      <c r="O1274" s="4" t="str">
        <f t="shared" si="58"/>
        <v>OTHERS</v>
      </c>
      <c r="P1274" s="4" t="str">
        <f t="shared" si="59"/>
        <v>PREMINUM MORNING</v>
      </c>
    </row>
    <row r="1275" spans="1:16" x14ac:dyDescent="0.3">
      <c r="A1275" s="4">
        <v>10</v>
      </c>
      <c r="B1275" t="s">
        <v>11</v>
      </c>
      <c r="C1275" s="4">
        <v>23.02</v>
      </c>
      <c r="D1275" t="s">
        <v>24</v>
      </c>
      <c r="E1275" t="s">
        <v>13</v>
      </c>
      <c r="F1275" s="4" t="s">
        <v>14</v>
      </c>
      <c r="G1275" s="4" t="s">
        <v>35</v>
      </c>
      <c r="H1275" s="4">
        <v>5</v>
      </c>
      <c r="I1275" s="4">
        <v>8</v>
      </c>
      <c r="J1275" s="1">
        <v>45527</v>
      </c>
      <c r="K1275" s="2">
        <v>2.7225694444444448E-2</v>
      </c>
      <c r="M1275" s="4" t="str">
        <f t="shared" si="57"/>
        <v>LOW</v>
      </c>
      <c r="N1275" s="4" t="str" cm="1">
        <f t="array" ref="N1275">_xlfn.IFS(C1275&gt;35,"HIGH",C1275&gt;25,"MIDDLE",TRUE,"LOW")</f>
        <v>LOW</v>
      </c>
      <c r="O1275" s="4" t="str">
        <f t="shared" si="58"/>
        <v>OTHERS</v>
      </c>
      <c r="P1275" s="4" t="str">
        <f t="shared" si="59"/>
        <v>PREMINUM MORNING</v>
      </c>
    </row>
    <row r="1276" spans="1:16" x14ac:dyDescent="0.3">
      <c r="A1276" s="4">
        <v>11</v>
      </c>
      <c r="B1276" t="s">
        <v>11</v>
      </c>
      <c r="C1276" s="4">
        <v>32.82</v>
      </c>
      <c r="D1276" t="s">
        <v>16</v>
      </c>
      <c r="E1276" t="s">
        <v>13</v>
      </c>
      <c r="F1276" s="4" t="s">
        <v>14</v>
      </c>
      <c r="G1276" s="4" t="s">
        <v>35</v>
      </c>
      <c r="H1276" s="4">
        <v>5</v>
      </c>
      <c r="I1276" s="4">
        <v>8</v>
      </c>
      <c r="J1276" s="1">
        <v>45527</v>
      </c>
      <c r="K1276" s="2">
        <v>9.0208333333333338E-3</v>
      </c>
      <c r="M1276" s="4" t="str">
        <f t="shared" si="57"/>
        <v>LOW</v>
      </c>
      <c r="N1276" s="4" t="str" cm="1">
        <f t="array" ref="N1276">_xlfn.IFS(C1276&gt;35,"HIGH",C1276&gt;25,"MIDDLE",TRUE,"LOW")</f>
        <v>MIDDLE</v>
      </c>
      <c r="O1276" s="4" t="str">
        <f t="shared" si="58"/>
        <v>OTHERS</v>
      </c>
      <c r="P1276" s="4" t="str">
        <f t="shared" si="59"/>
        <v>PREMINUM MORNING</v>
      </c>
    </row>
    <row r="1277" spans="1:16" x14ac:dyDescent="0.3">
      <c r="A1277" s="4">
        <v>13</v>
      </c>
      <c r="B1277" t="s">
        <v>11</v>
      </c>
      <c r="C1277" s="4">
        <v>23.02</v>
      </c>
      <c r="D1277" t="s">
        <v>18</v>
      </c>
      <c r="E1277" t="s">
        <v>17</v>
      </c>
      <c r="F1277" s="4" t="s">
        <v>14</v>
      </c>
      <c r="G1277" s="4" t="s">
        <v>35</v>
      </c>
      <c r="H1277" s="4">
        <v>5</v>
      </c>
      <c r="I1277" s="4">
        <v>8</v>
      </c>
      <c r="J1277" s="1">
        <v>45527</v>
      </c>
      <c r="K1277" s="2">
        <v>1.729976851851852E-2</v>
      </c>
      <c r="M1277" s="4" t="str">
        <f t="shared" si="57"/>
        <v>LOW</v>
      </c>
      <c r="N1277" s="4" t="str" cm="1">
        <f t="array" ref="N1277">_xlfn.IFS(C1277&gt;35,"HIGH",C1277&gt;25,"MIDDLE",TRUE,"LOW")</f>
        <v>LOW</v>
      </c>
      <c r="O1277" s="4" t="str">
        <f t="shared" si="58"/>
        <v>OTHERS</v>
      </c>
      <c r="P1277" s="4" t="str">
        <f t="shared" si="59"/>
        <v>OTHERS</v>
      </c>
    </row>
    <row r="1278" spans="1:16" x14ac:dyDescent="0.3">
      <c r="A1278" s="4">
        <v>15</v>
      </c>
      <c r="B1278" t="s">
        <v>11</v>
      </c>
      <c r="C1278" s="4">
        <v>23.02</v>
      </c>
      <c r="D1278" t="s">
        <v>18</v>
      </c>
      <c r="E1278" t="s">
        <v>17</v>
      </c>
      <c r="F1278" s="4" t="s">
        <v>14</v>
      </c>
      <c r="G1278" s="4" t="s">
        <v>35</v>
      </c>
      <c r="H1278" s="4">
        <v>5</v>
      </c>
      <c r="I1278" s="4">
        <v>8</v>
      </c>
      <c r="J1278" s="1">
        <v>45527</v>
      </c>
      <c r="K1278" s="2">
        <v>2.0055555555555556E-2</v>
      </c>
      <c r="M1278" s="4" t="str">
        <f t="shared" si="57"/>
        <v>LOW</v>
      </c>
      <c r="N1278" s="4" t="str" cm="1">
        <f t="array" ref="N1278">_xlfn.IFS(C1278&gt;35,"HIGH",C1278&gt;25,"MIDDLE",TRUE,"LOW")</f>
        <v>LOW</v>
      </c>
      <c r="O1278" s="4" t="str">
        <f t="shared" si="58"/>
        <v>OTHERS</v>
      </c>
      <c r="P1278" s="4" t="str">
        <f t="shared" si="59"/>
        <v>OTHERS</v>
      </c>
    </row>
    <row r="1279" spans="1:16" x14ac:dyDescent="0.3">
      <c r="A1279" s="4">
        <v>19</v>
      </c>
      <c r="B1279" t="s">
        <v>11</v>
      </c>
      <c r="C1279" s="4">
        <v>32.82</v>
      </c>
      <c r="D1279" t="s">
        <v>12</v>
      </c>
      <c r="E1279" t="s">
        <v>20</v>
      </c>
      <c r="F1279" s="4" t="s">
        <v>14</v>
      </c>
      <c r="G1279" s="4" t="s">
        <v>35</v>
      </c>
      <c r="H1279" s="4">
        <v>5</v>
      </c>
      <c r="I1279" s="4">
        <v>8</v>
      </c>
      <c r="J1279" s="1">
        <v>45527</v>
      </c>
      <c r="K1279" s="2">
        <v>3.3365740740740744E-2</v>
      </c>
      <c r="M1279" s="4" t="str">
        <f t="shared" si="57"/>
        <v>LOW</v>
      </c>
      <c r="N1279" s="4" t="str" cm="1">
        <f t="array" ref="N1279">_xlfn.IFS(C1279&gt;35,"HIGH",C1279&gt;25,"MIDDLE",TRUE,"LOW")</f>
        <v>MIDDLE</v>
      </c>
      <c r="O1279" s="4" t="str">
        <f t="shared" si="58"/>
        <v>OTHERS</v>
      </c>
      <c r="P1279" s="4" t="str">
        <f t="shared" si="59"/>
        <v>OTHERS</v>
      </c>
    </row>
    <row r="1280" spans="1:16" x14ac:dyDescent="0.3">
      <c r="A1280" s="4">
        <v>8</v>
      </c>
      <c r="B1280" t="s">
        <v>11</v>
      </c>
      <c r="C1280" s="4">
        <v>23.02</v>
      </c>
      <c r="D1280" t="s">
        <v>24</v>
      </c>
      <c r="E1280" t="s">
        <v>13</v>
      </c>
      <c r="F1280" s="4" t="s">
        <v>22</v>
      </c>
      <c r="G1280" s="4" t="s">
        <v>35</v>
      </c>
      <c r="H1280" s="4">
        <v>6</v>
      </c>
      <c r="I1280" s="4">
        <v>8</v>
      </c>
      <c r="J1280" s="1">
        <v>45528</v>
      </c>
      <c r="K1280" s="2">
        <v>9.5173611111111101E-3</v>
      </c>
      <c r="M1280" s="4" t="str">
        <f t="shared" si="57"/>
        <v>LOW</v>
      </c>
      <c r="N1280" s="4" t="str" cm="1">
        <f t="array" ref="N1280">_xlfn.IFS(C1280&gt;35,"HIGH",C1280&gt;25,"MIDDLE",TRUE,"LOW")</f>
        <v>LOW</v>
      </c>
      <c r="O1280" s="4" t="str">
        <f t="shared" si="58"/>
        <v>OTHERS</v>
      </c>
      <c r="P1280" s="4" t="str">
        <f t="shared" si="59"/>
        <v>PREMINUM MORNING</v>
      </c>
    </row>
    <row r="1281" spans="1:16" x14ac:dyDescent="0.3">
      <c r="A1281" s="4">
        <v>8</v>
      </c>
      <c r="B1281" t="s">
        <v>11</v>
      </c>
      <c r="C1281" s="4">
        <v>23.02</v>
      </c>
      <c r="D1281" t="s">
        <v>24</v>
      </c>
      <c r="E1281" t="s">
        <v>13</v>
      </c>
      <c r="F1281" s="4" t="s">
        <v>22</v>
      </c>
      <c r="G1281" s="4" t="s">
        <v>35</v>
      </c>
      <c r="H1281" s="4">
        <v>6</v>
      </c>
      <c r="I1281" s="4">
        <v>8</v>
      </c>
      <c r="J1281" s="1">
        <v>45528</v>
      </c>
      <c r="K1281" s="2">
        <v>1.0273148148148148E-2</v>
      </c>
      <c r="M1281" s="4" t="str">
        <f t="shared" si="57"/>
        <v>LOW</v>
      </c>
      <c r="N1281" s="4" t="str" cm="1">
        <f t="array" ref="N1281">_xlfn.IFS(C1281&gt;35,"HIGH",C1281&gt;25,"MIDDLE",TRUE,"LOW")</f>
        <v>LOW</v>
      </c>
      <c r="O1281" s="4" t="str">
        <f t="shared" si="58"/>
        <v>OTHERS</v>
      </c>
      <c r="P1281" s="4" t="str">
        <f t="shared" si="59"/>
        <v>PREMINUM MORNING</v>
      </c>
    </row>
    <row r="1282" spans="1:16" x14ac:dyDescent="0.3">
      <c r="A1282" s="4">
        <v>8</v>
      </c>
      <c r="B1282" t="s">
        <v>11</v>
      </c>
      <c r="C1282" s="4">
        <v>23.02</v>
      </c>
      <c r="D1282" t="s">
        <v>24</v>
      </c>
      <c r="E1282" t="s">
        <v>13</v>
      </c>
      <c r="F1282" s="4" t="s">
        <v>22</v>
      </c>
      <c r="G1282" s="4" t="s">
        <v>35</v>
      </c>
      <c r="H1282" s="4">
        <v>6</v>
      </c>
      <c r="I1282" s="4">
        <v>8</v>
      </c>
      <c r="J1282" s="1">
        <v>45528</v>
      </c>
      <c r="K1282" s="2">
        <v>3.0689814814814812E-2</v>
      </c>
      <c r="M1282" s="4" t="str">
        <f t="shared" si="57"/>
        <v>LOW</v>
      </c>
      <c r="N1282" s="4" t="str" cm="1">
        <f t="array" ref="N1282">_xlfn.IFS(C1282&gt;35,"HIGH",C1282&gt;25,"MIDDLE",TRUE,"LOW")</f>
        <v>LOW</v>
      </c>
      <c r="O1282" s="4" t="str">
        <f t="shared" si="58"/>
        <v>OTHERS</v>
      </c>
      <c r="P1282" s="4" t="str">
        <f t="shared" si="59"/>
        <v>PREMINUM MORNING</v>
      </c>
    </row>
    <row r="1283" spans="1:16" x14ac:dyDescent="0.3">
      <c r="A1283" s="4">
        <v>10</v>
      </c>
      <c r="B1283" t="s">
        <v>11</v>
      </c>
      <c r="C1283" s="4">
        <v>18.12</v>
      </c>
      <c r="D1283" t="s">
        <v>26</v>
      </c>
      <c r="E1283" t="s">
        <v>13</v>
      </c>
      <c r="F1283" s="4" t="s">
        <v>22</v>
      </c>
      <c r="G1283" s="4" t="s">
        <v>35</v>
      </c>
      <c r="H1283" s="4">
        <v>6</v>
      </c>
      <c r="I1283" s="4">
        <v>8</v>
      </c>
      <c r="J1283" s="1">
        <v>45528</v>
      </c>
      <c r="K1283" s="2">
        <v>1.2609953703703703E-2</v>
      </c>
      <c r="M1283" s="4" t="str">
        <f t="shared" ref="M1283:M1346" si="60">IF(C1283&gt;35,"HIGH","LOW")</f>
        <v>LOW</v>
      </c>
      <c r="N1283" s="4" t="str" cm="1">
        <f t="array" ref="N1283">_xlfn.IFS(C1283&gt;35,"HIGH",C1283&gt;25,"MIDDLE",TRUE,"LOW")</f>
        <v>LOW</v>
      </c>
      <c r="O1283" s="4" t="str">
        <f t="shared" ref="O1283:O1346" si="61">IF(AND(C1283&gt;35,E1283="MORNING"),"PREMINUM MORNING","OTHERS")</f>
        <v>OTHERS</v>
      </c>
      <c r="P1283" s="4" t="str">
        <f t="shared" ref="P1283:P1346" si="62">IF(OR(C1283&gt;35,E1283="MORNING"),"PREMINUM MORNING","OTHERS")</f>
        <v>PREMINUM MORNING</v>
      </c>
    </row>
    <row r="1284" spans="1:16" x14ac:dyDescent="0.3">
      <c r="A1284" s="4">
        <v>10</v>
      </c>
      <c r="B1284" t="s">
        <v>11</v>
      </c>
      <c r="C1284" s="4">
        <v>18.12</v>
      </c>
      <c r="D1284" t="s">
        <v>26</v>
      </c>
      <c r="E1284" t="s">
        <v>13</v>
      </c>
      <c r="F1284" s="4" t="s">
        <v>22</v>
      </c>
      <c r="G1284" s="4" t="s">
        <v>35</v>
      </c>
      <c r="H1284" s="4">
        <v>6</v>
      </c>
      <c r="I1284" s="4">
        <v>8</v>
      </c>
      <c r="J1284" s="1">
        <v>45528</v>
      </c>
      <c r="K1284" s="2">
        <v>1.3105324074074073E-2</v>
      </c>
      <c r="M1284" s="4" t="str">
        <f t="shared" si="60"/>
        <v>LOW</v>
      </c>
      <c r="N1284" s="4" t="str" cm="1">
        <f t="array" ref="N1284">_xlfn.IFS(C1284&gt;35,"HIGH",C1284&gt;25,"MIDDLE",TRUE,"LOW")</f>
        <v>LOW</v>
      </c>
      <c r="O1284" s="4" t="str">
        <f t="shared" si="61"/>
        <v>OTHERS</v>
      </c>
      <c r="P1284" s="4" t="str">
        <f t="shared" si="62"/>
        <v>PREMINUM MORNING</v>
      </c>
    </row>
    <row r="1285" spans="1:16" x14ac:dyDescent="0.3">
      <c r="A1285" s="4">
        <v>10</v>
      </c>
      <c r="B1285" t="s">
        <v>11</v>
      </c>
      <c r="C1285" s="4">
        <v>23.02</v>
      </c>
      <c r="D1285" t="s">
        <v>18</v>
      </c>
      <c r="E1285" t="s">
        <v>13</v>
      </c>
      <c r="F1285" s="4" t="s">
        <v>22</v>
      </c>
      <c r="G1285" s="4" t="s">
        <v>35</v>
      </c>
      <c r="H1285" s="4">
        <v>6</v>
      </c>
      <c r="I1285" s="4">
        <v>8</v>
      </c>
      <c r="J1285" s="1">
        <v>45528</v>
      </c>
      <c r="K1285" s="2">
        <v>1.376388888888889E-2</v>
      </c>
      <c r="M1285" s="4" t="str">
        <f t="shared" si="60"/>
        <v>LOW</v>
      </c>
      <c r="N1285" s="4" t="str" cm="1">
        <f t="array" ref="N1285">_xlfn.IFS(C1285&gt;35,"HIGH",C1285&gt;25,"MIDDLE",TRUE,"LOW")</f>
        <v>LOW</v>
      </c>
      <c r="O1285" s="4" t="str">
        <f t="shared" si="61"/>
        <v>OTHERS</v>
      </c>
      <c r="P1285" s="4" t="str">
        <f t="shared" si="62"/>
        <v>PREMINUM MORNING</v>
      </c>
    </row>
    <row r="1286" spans="1:16" x14ac:dyDescent="0.3">
      <c r="A1286" s="4">
        <v>8</v>
      </c>
      <c r="B1286" t="s">
        <v>11</v>
      </c>
      <c r="C1286" s="4">
        <v>23.02</v>
      </c>
      <c r="D1286" t="s">
        <v>24</v>
      </c>
      <c r="E1286" t="s">
        <v>13</v>
      </c>
      <c r="F1286" s="4" t="s">
        <v>23</v>
      </c>
      <c r="G1286" s="4" t="s">
        <v>35</v>
      </c>
      <c r="H1286" s="4">
        <v>7</v>
      </c>
      <c r="I1286" s="4">
        <v>8</v>
      </c>
      <c r="J1286" s="1">
        <v>45529</v>
      </c>
      <c r="K1286" s="2">
        <v>1.0155092592592592E-2</v>
      </c>
      <c r="M1286" s="4" t="str">
        <f t="shared" si="60"/>
        <v>LOW</v>
      </c>
      <c r="N1286" s="4" t="str" cm="1">
        <f t="array" ref="N1286">_xlfn.IFS(C1286&gt;35,"HIGH",C1286&gt;25,"MIDDLE",TRUE,"LOW")</f>
        <v>LOW</v>
      </c>
      <c r="O1286" s="4" t="str">
        <f t="shared" si="61"/>
        <v>OTHERS</v>
      </c>
      <c r="P1286" s="4" t="str">
        <f t="shared" si="62"/>
        <v>PREMINUM MORNING</v>
      </c>
    </row>
    <row r="1287" spans="1:16" x14ac:dyDescent="0.3">
      <c r="A1287" s="4">
        <v>8</v>
      </c>
      <c r="B1287" t="s">
        <v>11</v>
      </c>
      <c r="C1287" s="4">
        <v>23.02</v>
      </c>
      <c r="D1287" t="s">
        <v>18</v>
      </c>
      <c r="E1287" t="s">
        <v>13</v>
      </c>
      <c r="F1287" s="4" t="s">
        <v>23</v>
      </c>
      <c r="G1287" s="4" t="s">
        <v>35</v>
      </c>
      <c r="H1287" s="4">
        <v>7</v>
      </c>
      <c r="I1287" s="4">
        <v>8</v>
      </c>
      <c r="J1287" s="1">
        <v>45529</v>
      </c>
      <c r="K1287" s="2">
        <v>1.8376157407407407E-2</v>
      </c>
      <c r="M1287" s="4" t="str">
        <f t="shared" si="60"/>
        <v>LOW</v>
      </c>
      <c r="N1287" s="4" t="str" cm="1">
        <f t="array" ref="N1287">_xlfn.IFS(C1287&gt;35,"HIGH",C1287&gt;25,"MIDDLE",TRUE,"LOW")</f>
        <v>LOW</v>
      </c>
      <c r="O1287" s="4" t="str">
        <f t="shared" si="61"/>
        <v>OTHERS</v>
      </c>
      <c r="P1287" s="4" t="str">
        <f t="shared" si="62"/>
        <v>PREMINUM MORNING</v>
      </c>
    </row>
    <row r="1288" spans="1:16" x14ac:dyDescent="0.3">
      <c r="A1288" s="4">
        <v>8</v>
      </c>
      <c r="B1288" t="s">
        <v>11</v>
      </c>
      <c r="C1288" s="4">
        <v>23.02</v>
      </c>
      <c r="D1288" t="s">
        <v>18</v>
      </c>
      <c r="E1288" t="s">
        <v>13</v>
      </c>
      <c r="F1288" s="4" t="s">
        <v>23</v>
      </c>
      <c r="G1288" s="4" t="s">
        <v>35</v>
      </c>
      <c r="H1288" s="4">
        <v>7</v>
      </c>
      <c r="I1288" s="4">
        <v>8</v>
      </c>
      <c r="J1288" s="1">
        <v>45529</v>
      </c>
      <c r="K1288" s="2">
        <v>1.9171296296296297E-2</v>
      </c>
      <c r="M1288" s="4" t="str">
        <f t="shared" si="60"/>
        <v>LOW</v>
      </c>
      <c r="N1288" s="4" t="str" cm="1">
        <f t="array" ref="N1288">_xlfn.IFS(C1288&gt;35,"HIGH",C1288&gt;25,"MIDDLE",TRUE,"LOW")</f>
        <v>LOW</v>
      </c>
      <c r="O1288" s="4" t="str">
        <f t="shared" si="61"/>
        <v>OTHERS</v>
      </c>
      <c r="P1288" s="4" t="str">
        <f t="shared" si="62"/>
        <v>PREMINUM MORNING</v>
      </c>
    </row>
    <row r="1289" spans="1:16" x14ac:dyDescent="0.3">
      <c r="A1289" s="4">
        <v>9</v>
      </c>
      <c r="B1289" t="s">
        <v>11</v>
      </c>
      <c r="C1289" s="4">
        <v>32.82</v>
      </c>
      <c r="D1289" t="s">
        <v>29</v>
      </c>
      <c r="E1289" t="s">
        <v>13</v>
      </c>
      <c r="F1289" s="4" t="s">
        <v>23</v>
      </c>
      <c r="G1289" s="4" t="s">
        <v>35</v>
      </c>
      <c r="H1289" s="4">
        <v>7</v>
      </c>
      <c r="I1289" s="4">
        <v>8</v>
      </c>
      <c r="J1289" s="1">
        <v>45529</v>
      </c>
      <c r="K1289" s="2">
        <v>1.692476851851852E-2</v>
      </c>
      <c r="M1289" s="4" t="str">
        <f t="shared" si="60"/>
        <v>LOW</v>
      </c>
      <c r="N1289" s="4" t="str" cm="1">
        <f t="array" ref="N1289">_xlfn.IFS(C1289&gt;35,"HIGH",C1289&gt;25,"MIDDLE",TRUE,"LOW")</f>
        <v>MIDDLE</v>
      </c>
      <c r="O1289" s="4" t="str">
        <f t="shared" si="61"/>
        <v>OTHERS</v>
      </c>
      <c r="P1289" s="4" t="str">
        <f t="shared" si="62"/>
        <v>PREMINUM MORNING</v>
      </c>
    </row>
    <row r="1290" spans="1:16" x14ac:dyDescent="0.3">
      <c r="A1290" s="4">
        <v>12</v>
      </c>
      <c r="B1290" t="s">
        <v>11</v>
      </c>
      <c r="C1290" s="4">
        <v>32.82</v>
      </c>
      <c r="D1290" t="s">
        <v>29</v>
      </c>
      <c r="E1290" t="s">
        <v>17</v>
      </c>
      <c r="F1290" s="4" t="s">
        <v>23</v>
      </c>
      <c r="G1290" s="4" t="s">
        <v>35</v>
      </c>
      <c r="H1290" s="4">
        <v>7</v>
      </c>
      <c r="I1290" s="4">
        <v>8</v>
      </c>
      <c r="J1290" s="1">
        <v>45529</v>
      </c>
      <c r="K1290" s="2">
        <v>2.8966435185185182E-2</v>
      </c>
      <c r="M1290" s="4" t="str">
        <f t="shared" si="60"/>
        <v>LOW</v>
      </c>
      <c r="N1290" s="4" t="str" cm="1">
        <f t="array" ref="N1290">_xlfn.IFS(C1290&gt;35,"HIGH",C1290&gt;25,"MIDDLE",TRUE,"LOW")</f>
        <v>MIDDLE</v>
      </c>
      <c r="O1290" s="4" t="str">
        <f t="shared" si="61"/>
        <v>OTHERS</v>
      </c>
      <c r="P1290" s="4" t="str">
        <f t="shared" si="62"/>
        <v>OTHERS</v>
      </c>
    </row>
    <row r="1291" spans="1:16" x14ac:dyDescent="0.3">
      <c r="A1291" s="4">
        <v>14</v>
      </c>
      <c r="B1291" t="s">
        <v>11</v>
      </c>
      <c r="C1291" s="4">
        <v>32.82</v>
      </c>
      <c r="D1291" t="s">
        <v>12</v>
      </c>
      <c r="E1291" t="s">
        <v>17</v>
      </c>
      <c r="F1291" s="4" t="s">
        <v>23</v>
      </c>
      <c r="G1291" s="4" t="s">
        <v>35</v>
      </c>
      <c r="H1291" s="4">
        <v>7</v>
      </c>
      <c r="I1291" s="4">
        <v>8</v>
      </c>
      <c r="J1291" s="1">
        <v>45529</v>
      </c>
      <c r="K1291" s="2">
        <v>3.6836805555555553E-2</v>
      </c>
      <c r="M1291" s="4" t="str">
        <f t="shared" si="60"/>
        <v>LOW</v>
      </c>
      <c r="N1291" s="4" t="str" cm="1">
        <f t="array" ref="N1291">_xlfn.IFS(C1291&gt;35,"HIGH",C1291&gt;25,"MIDDLE",TRUE,"LOW")</f>
        <v>MIDDLE</v>
      </c>
      <c r="O1291" s="4" t="str">
        <f t="shared" si="61"/>
        <v>OTHERS</v>
      </c>
      <c r="P1291" s="4" t="str">
        <f t="shared" si="62"/>
        <v>OTHERS</v>
      </c>
    </row>
    <row r="1292" spans="1:16" x14ac:dyDescent="0.3">
      <c r="A1292" s="4">
        <v>8</v>
      </c>
      <c r="B1292" t="s">
        <v>11</v>
      </c>
      <c r="C1292" s="4">
        <v>23.02</v>
      </c>
      <c r="D1292" t="s">
        <v>24</v>
      </c>
      <c r="E1292" t="s">
        <v>13</v>
      </c>
      <c r="F1292" s="4" t="s">
        <v>25</v>
      </c>
      <c r="G1292" s="4" t="s">
        <v>35</v>
      </c>
      <c r="H1292" s="4">
        <v>1</v>
      </c>
      <c r="I1292" s="4">
        <v>8</v>
      </c>
      <c r="J1292" s="1">
        <v>45530</v>
      </c>
      <c r="K1292" s="2">
        <v>8.1863425925925923E-3</v>
      </c>
      <c r="M1292" s="4" t="str">
        <f t="shared" si="60"/>
        <v>LOW</v>
      </c>
      <c r="N1292" s="4" t="str" cm="1">
        <f t="array" ref="N1292">_xlfn.IFS(C1292&gt;35,"HIGH",C1292&gt;25,"MIDDLE",TRUE,"LOW")</f>
        <v>LOW</v>
      </c>
      <c r="O1292" s="4" t="str">
        <f t="shared" si="61"/>
        <v>OTHERS</v>
      </c>
      <c r="P1292" s="4" t="str">
        <f t="shared" si="62"/>
        <v>PREMINUM MORNING</v>
      </c>
    </row>
    <row r="1293" spans="1:16" x14ac:dyDescent="0.3">
      <c r="A1293" s="4">
        <v>8</v>
      </c>
      <c r="B1293" t="s">
        <v>11</v>
      </c>
      <c r="C1293" s="4">
        <v>23.02</v>
      </c>
      <c r="D1293" t="s">
        <v>18</v>
      </c>
      <c r="E1293" t="s">
        <v>13</v>
      </c>
      <c r="F1293" s="4" t="s">
        <v>25</v>
      </c>
      <c r="G1293" s="4" t="s">
        <v>35</v>
      </c>
      <c r="H1293" s="4">
        <v>1</v>
      </c>
      <c r="I1293" s="4">
        <v>8</v>
      </c>
      <c r="J1293" s="1">
        <v>45530</v>
      </c>
      <c r="K1293" s="2">
        <v>1.1222222222222222E-2</v>
      </c>
      <c r="M1293" s="4" t="str">
        <f t="shared" si="60"/>
        <v>LOW</v>
      </c>
      <c r="N1293" s="4" t="str" cm="1">
        <f t="array" ref="N1293">_xlfn.IFS(C1293&gt;35,"HIGH",C1293&gt;25,"MIDDLE",TRUE,"LOW")</f>
        <v>LOW</v>
      </c>
      <c r="O1293" s="4" t="str">
        <f t="shared" si="61"/>
        <v>OTHERS</v>
      </c>
      <c r="P1293" s="4" t="str">
        <f t="shared" si="62"/>
        <v>PREMINUM MORNING</v>
      </c>
    </row>
    <row r="1294" spans="1:16" x14ac:dyDescent="0.3">
      <c r="A1294" s="4">
        <v>8</v>
      </c>
      <c r="B1294" t="s">
        <v>11</v>
      </c>
      <c r="C1294" s="4">
        <v>23.02</v>
      </c>
      <c r="D1294" t="s">
        <v>18</v>
      </c>
      <c r="E1294" t="s">
        <v>13</v>
      </c>
      <c r="F1294" s="4" t="s">
        <v>25</v>
      </c>
      <c r="G1294" s="4" t="s">
        <v>35</v>
      </c>
      <c r="H1294" s="4">
        <v>1</v>
      </c>
      <c r="I1294" s="4">
        <v>8</v>
      </c>
      <c r="J1294" s="1">
        <v>45530</v>
      </c>
      <c r="K1294" s="2">
        <v>1.2074074074074074E-2</v>
      </c>
      <c r="M1294" s="4" t="str">
        <f t="shared" si="60"/>
        <v>LOW</v>
      </c>
      <c r="N1294" s="4" t="str" cm="1">
        <f t="array" ref="N1294">_xlfn.IFS(C1294&gt;35,"HIGH",C1294&gt;25,"MIDDLE",TRUE,"LOW")</f>
        <v>LOW</v>
      </c>
      <c r="O1294" s="4" t="str">
        <f t="shared" si="61"/>
        <v>OTHERS</v>
      </c>
      <c r="P1294" s="4" t="str">
        <f t="shared" si="62"/>
        <v>PREMINUM MORNING</v>
      </c>
    </row>
    <row r="1295" spans="1:16" x14ac:dyDescent="0.3">
      <c r="A1295" s="4">
        <v>9</v>
      </c>
      <c r="B1295" t="s">
        <v>11</v>
      </c>
      <c r="C1295" s="4">
        <v>27.92</v>
      </c>
      <c r="D1295" t="s">
        <v>19</v>
      </c>
      <c r="E1295" t="s">
        <v>13</v>
      </c>
      <c r="F1295" s="4" t="s">
        <v>25</v>
      </c>
      <c r="G1295" s="4" t="s">
        <v>35</v>
      </c>
      <c r="H1295" s="4">
        <v>1</v>
      </c>
      <c r="I1295" s="4">
        <v>8</v>
      </c>
      <c r="J1295" s="1">
        <v>45530</v>
      </c>
      <c r="K1295" s="2">
        <v>1.5008101851851852E-2</v>
      </c>
      <c r="M1295" s="4" t="str">
        <f t="shared" si="60"/>
        <v>LOW</v>
      </c>
      <c r="N1295" s="4" t="str" cm="1">
        <f t="array" ref="N1295">_xlfn.IFS(C1295&gt;35,"HIGH",C1295&gt;25,"MIDDLE",TRUE,"LOW")</f>
        <v>MIDDLE</v>
      </c>
      <c r="O1295" s="4" t="str">
        <f t="shared" si="61"/>
        <v>OTHERS</v>
      </c>
      <c r="P1295" s="4" t="str">
        <f t="shared" si="62"/>
        <v>PREMINUM MORNING</v>
      </c>
    </row>
    <row r="1296" spans="1:16" x14ac:dyDescent="0.3">
      <c r="A1296" s="4">
        <v>10</v>
      </c>
      <c r="B1296" t="s">
        <v>11</v>
      </c>
      <c r="C1296" s="4">
        <v>32.82</v>
      </c>
      <c r="D1296" t="s">
        <v>12</v>
      </c>
      <c r="E1296" t="s">
        <v>13</v>
      </c>
      <c r="F1296" s="4" t="s">
        <v>25</v>
      </c>
      <c r="G1296" s="4" t="s">
        <v>35</v>
      </c>
      <c r="H1296" s="4">
        <v>1</v>
      </c>
      <c r="I1296" s="4">
        <v>8</v>
      </c>
      <c r="J1296" s="1">
        <v>45530</v>
      </c>
      <c r="K1296" s="2">
        <v>2.6209490740740742E-2</v>
      </c>
      <c r="M1296" s="4" t="str">
        <f t="shared" si="60"/>
        <v>LOW</v>
      </c>
      <c r="N1296" s="4" t="str" cm="1">
        <f t="array" ref="N1296">_xlfn.IFS(C1296&gt;35,"HIGH",C1296&gt;25,"MIDDLE",TRUE,"LOW")</f>
        <v>MIDDLE</v>
      </c>
      <c r="O1296" s="4" t="str">
        <f t="shared" si="61"/>
        <v>OTHERS</v>
      </c>
      <c r="P1296" s="4" t="str">
        <f t="shared" si="62"/>
        <v>PREMINUM MORNING</v>
      </c>
    </row>
    <row r="1297" spans="1:16" x14ac:dyDescent="0.3">
      <c r="A1297" s="4">
        <v>10</v>
      </c>
      <c r="B1297" t="s">
        <v>11</v>
      </c>
      <c r="C1297" s="4">
        <v>32.82</v>
      </c>
      <c r="D1297" t="s">
        <v>29</v>
      </c>
      <c r="E1297" t="s">
        <v>13</v>
      </c>
      <c r="F1297" s="4" t="s">
        <v>25</v>
      </c>
      <c r="G1297" s="4" t="s">
        <v>35</v>
      </c>
      <c r="H1297" s="4">
        <v>1</v>
      </c>
      <c r="I1297" s="4">
        <v>8</v>
      </c>
      <c r="J1297" s="1">
        <v>45530</v>
      </c>
      <c r="K1297" s="2">
        <v>2.6956018518518518E-2</v>
      </c>
      <c r="M1297" s="4" t="str">
        <f t="shared" si="60"/>
        <v>LOW</v>
      </c>
      <c r="N1297" s="4" t="str" cm="1">
        <f t="array" ref="N1297">_xlfn.IFS(C1297&gt;35,"HIGH",C1297&gt;25,"MIDDLE",TRUE,"LOW")</f>
        <v>MIDDLE</v>
      </c>
      <c r="O1297" s="4" t="str">
        <f t="shared" si="61"/>
        <v>OTHERS</v>
      </c>
      <c r="P1297" s="4" t="str">
        <f t="shared" si="62"/>
        <v>PREMINUM MORNING</v>
      </c>
    </row>
    <row r="1298" spans="1:16" x14ac:dyDescent="0.3">
      <c r="A1298" s="4">
        <v>12</v>
      </c>
      <c r="B1298" t="s">
        <v>11</v>
      </c>
      <c r="C1298" s="4">
        <v>23.02</v>
      </c>
      <c r="D1298" t="s">
        <v>18</v>
      </c>
      <c r="E1298" t="s">
        <v>17</v>
      </c>
      <c r="F1298" s="4" t="s">
        <v>25</v>
      </c>
      <c r="G1298" s="4" t="s">
        <v>35</v>
      </c>
      <c r="H1298" s="4">
        <v>1</v>
      </c>
      <c r="I1298" s="4">
        <v>8</v>
      </c>
      <c r="J1298" s="1">
        <v>45530</v>
      </c>
      <c r="K1298" s="2">
        <v>3.1402777777777773E-2</v>
      </c>
      <c r="M1298" s="4" t="str">
        <f t="shared" si="60"/>
        <v>LOW</v>
      </c>
      <c r="N1298" s="4" t="str" cm="1">
        <f t="array" ref="N1298">_xlfn.IFS(C1298&gt;35,"HIGH",C1298&gt;25,"MIDDLE",TRUE,"LOW")</f>
        <v>LOW</v>
      </c>
      <c r="O1298" s="4" t="str">
        <f t="shared" si="61"/>
        <v>OTHERS</v>
      </c>
      <c r="P1298" s="4" t="str">
        <f t="shared" si="62"/>
        <v>OTHERS</v>
      </c>
    </row>
    <row r="1299" spans="1:16" x14ac:dyDescent="0.3">
      <c r="A1299" s="4">
        <v>12</v>
      </c>
      <c r="B1299" t="s">
        <v>11</v>
      </c>
      <c r="C1299" s="4">
        <v>23.02</v>
      </c>
      <c r="D1299" t="s">
        <v>18</v>
      </c>
      <c r="E1299" t="s">
        <v>17</v>
      </c>
      <c r="F1299" s="4" t="s">
        <v>25</v>
      </c>
      <c r="G1299" s="4" t="s">
        <v>35</v>
      </c>
      <c r="H1299" s="4">
        <v>1</v>
      </c>
      <c r="I1299" s="4">
        <v>8</v>
      </c>
      <c r="J1299" s="1">
        <v>45530</v>
      </c>
      <c r="K1299" s="2">
        <v>3.2217592592592589E-2</v>
      </c>
      <c r="M1299" s="4" t="str">
        <f t="shared" si="60"/>
        <v>LOW</v>
      </c>
      <c r="N1299" s="4" t="str" cm="1">
        <f t="array" ref="N1299">_xlfn.IFS(C1299&gt;35,"HIGH",C1299&gt;25,"MIDDLE",TRUE,"LOW")</f>
        <v>LOW</v>
      </c>
      <c r="O1299" s="4" t="str">
        <f t="shared" si="61"/>
        <v>OTHERS</v>
      </c>
      <c r="P1299" s="4" t="str">
        <f t="shared" si="62"/>
        <v>OTHERS</v>
      </c>
    </row>
    <row r="1300" spans="1:16" x14ac:dyDescent="0.3">
      <c r="A1300" s="4">
        <v>18</v>
      </c>
      <c r="B1300" t="s">
        <v>11</v>
      </c>
      <c r="C1300" s="4">
        <v>27.92</v>
      </c>
      <c r="D1300" t="s">
        <v>19</v>
      </c>
      <c r="E1300" t="s">
        <v>20</v>
      </c>
      <c r="F1300" s="4" t="s">
        <v>25</v>
      </c>
      <c r="G1300" s="4" t="s">
        <v>35</v>
      </c>
      <c r="H1300" s="4">
        <v>1</v>
      </c>
      <c r="I1300" s="4">
        <v>8</v>
      </c>
      <c r="J1300" s="1">
        <v>45530</v>
      </c>
      <c r="K1300" s="2">
        <v>3.7127314814814814E-2</v>
      </c>
      <c r="M1300" s="4" t="str">
        <f t="shared" si="60"/>
        <v>LOW</v>
      </c>
      <c r="N1300" s="4" t="str" cm="1">
        <f t="array" ref="N1300">_xlfn.IFS(C1300&gt;35,"HIGH",C1300&gt;25,"MIDDLE",TRUE,"LOW")</f>
        <v>MIDDLE</v>
      </c>
      <c r="O1300" s="4" t="str">
        <f t="shared" si="61"/>
        <v>OTHERS</v>
      </c>
      <c r="P1300" s="4" t="str">
        <f t="shared" si="62"/>
        <v>OTHERS</v>
      </c>
    </row>
    <row r="1301" spans="1:16" x14ac:dyDescent="0.3">
      <c r="A1301" s="4">
        <v>18</v>
      </c>
      <c r="B1301" t="s">
        <v>11</v>
      </c>
      <c r="C1301" s="4">
        <v>32.82</v>
      </c>
      <c r="D1301" t="s">
        <v>12</v>
      </c>
      <c r="E1301" t="s">
        <v>20</v>
      </c>
      <c r="F1301" s="4" t="s">
        <v>25</v>
      </c>
      <c r="G1301" s="4" t="s">
        <v>35</v>
      </c>
      <c r="H1301" s="4">
        <v>1</v>
      </c>
      <c r="I1301" s="4">
        <v>8</v>
      </c>
      <c r="J1301" s="1">
        <v>45530</v>
      </c>
      <c r="K1301" s="2">
        <v>3.7862268518518517E-2</v>
      </c>
      <c r="M1301" s="4" t="str">
        <f t="shared" si="60"/>
        <v>LOW</v>
      </c>
      <c r="N1301" s="4" t="str" cm="1">
        <f t="array" ref="N1301">_xlfn.IFS(C1301&gt;35,"HIGH",C1301&gt;25,"MIDDLE",TRUE,"LOW")</f>
        <v>MIDDLE</v>
      </c>
      <c r="O1301" s="4" t="str">
        <f t="shared" si="61"/>
        <v>OTHERS</v>
      </c>
      <c r="P1301" s="4" t="str">
        <f t="shared" si="62"/>
        <v>OTHERS</v>
      </c>
    </row>
    <row r="1302" spans="1:16" x14ac:dyDescent="0.3">
      <c r="A1302" s="4">
        <v>22</v>
      </c>
      <c r="B1302" t="s">
        <v>11</v>
      </c>
      <c r="C1302" s="4">
        <v>27.92</v>
      </c>
      <c r="D1302" t="s">
        <v>19</v>
      </c>
      <c r="E1302" t="s">
        <v>20</v>
      </c>
      <c r="F1302" s="4" t="s">
        <v>25</v>
      </c>
      <c r="G1302" s="4" t="s">
        <v>35</v>
      </c>
      <c r="H1302" s="4">
        <v>1</v>
      </c>
      <c r="I1302" s="4">
        <v>8</v>
      </c>
      <c r="J1302" s="1">
        <v>45530</v>
      </c>
      <c r="K1302" s="2">
        <v>3.8656250000000003E-2</v>
      </c>
      <c r="M1302" s="4" t="str">
        <f t="shared" si="60"/>
        <v>LOW</v>
      </c>
      <c r="N1302" s="4" t="str" cm="1">
        <f t="array" ref="N1302">_xlfn.IFS(C1302&gt;35,"HIGH",C1302&gt;25,"MIDDLE",TRUE,"LOW")</f>
        <v>MIDDLE</v>
      </c>
      <c r="O1302" s="4" t="str">
        <f t="shared" si="61"/>
        <v>OTHERS</v>
      </c>
      <c r="P1302" s="4" t="str">
        <f t="shared" si="62"/>
        <v>OTHERS</v>
      </c>
    </row>
    <row r="1303" spans="1:16" x14ac:dyDescent="0.3">
      <c r="A1303" s="4">
        <v>10</v>
      </c>
      <c r="B1303" t="s">
        <v>11</v>
      </c>
      <c r="C1303" s="4">
        <v>32.82</v>
      </c>
      <c r="D1303" t="s">
        <v>12</v>
      </c>
      <c r="E1303" t="s">
        <v>13</v>
      </c>
      <c r="F1303" s="4" t="s">
        <v>27</v>
      </c>
      <c r="G1303" s="4" t="s">
        <v>35</v>
      </c>
      <c r="H1303" s="4">
        <v>2</v>
      </c>
      <c r="I1303" s="4">
        <v>8</v>
      </c>
      <c r="J1303" s="1">
        <v>45531</v>
      </c>
      <c r="K1303" s="2">
        <v>2.8310185185185183E-3</v>
      </c>
      <c r="M1303" s="4" t="str">
        <f t="shared" si="60"/>
        <v>LOW</v>
      </c>
      <c r="N1303" s="4" t="str" cm="1">
        <f t="array" ref="N1303">_xlfn.IFS(C1303&gt;35,"HIGH",C1303&gt;25,"MIDDLE",TRUE,"LOW")</f>
        <v>MIDDLE</v>
      </c>
      <c r="O1303" s="4" t="str">
        <f t="shared" si="61"/>
        <v>OTHERS</v>
      </c>
      <c r="P1303" s="4" t="str">
        <f t="shared" si="62"/>
        <v>PREMINUM MORNING</v>
      </c>
    </row>
    <row r="1304" spans="1:16" x14ac:dyDescent="0.3">
      <c r="A1304" s="4">
        <v>12</v>
      </c>
      <c r="B1304" t="s">
        <v>11</v>
      </c>
      <c r="C1304" s="4">
        <v>27.92</v>
      </c>
      <c r="D1304" t="s">
        <v>19</v>
      </c>
      <c r="E1304" t="s">
        <v>17</v>
      </c>
      <c r="F1304" s="4" t="s">
        <v>28</v>
      </c>
      <c r="G1304" s="4" t="s">
        <v>35</v>
      </c>
      <c r="H1304" s="4">
        <v>3</v>
      </c>
      <c r="I1304" s="4">
        <v>8</v>
      </c>
      <c r="J1304" s="1">
        <v>45532</v>
      </c>
      <c r="K1304" s="2">
        <v>5.7731481481481479E-3</v>
      </c>
      <c r="M1304" s="4" t="str">
        <f t="shared" si="60"/>
        <v>LOW</v>
      </c>
      <c r="N1304" s="4" t="str" cm="1">
        <f t="array" ref="N1304">_xlfn.IFS(C1304&gt;35,"HIGH",C1304&gt;25,"MIDDLE",TRUE,"LOW")</f>
        <v>MIDDLE</v>
      </c>
      <c r="O1304" s="4" t="str">
        <f t="shared" si="61"/>
        <v>OTHERS</v>
      </c>
      <c r="P1304" s="4" t="str">
        <f t="shared" si="62"/>
        <v>OTHERS</v>
      </c>
    </row>
    <row r="1305" spans="1:16" x14ac:dyDescent="0.3">
      <c r="A1305" s="4">
        <v>12</v>
      </c>
      <c r="B1305" t="s">
        <v>11</v>
      </c>
      <c r="C1305" s="4">
        <v>32.82</v>
      </c>
      <c r="D1305" t="s">
        <v>29</v>
      </c>
      <c r="E1305" t="s">
        <v>17</v>
      </c>
      <c r="F1305" s="4" t="s">
        <v>28</v>
      </c>
      <c r="G1305" s="4" t="s">
        <v>35</v>
      </c>
      <c r="H1305" s="4">
        <v>3</v>
      </c>
      <c r="I1305" s="4">
        <v>8</v>
      </c>
      <c r="J1305" s="1">
        <v>45532</v>
      </c>
      <c r="K1305" s="2">
        <v>6.9918981481481481E-3</v>
      </c>
      <c r="M1305" s="4" t="str">
        <f t="shared" si="60"/>
        <v>LOW</v>
      </c>
      <c r="N1305" s="4" t="str" cm="1">
        <f t="array" ref="N1305">_xlfn.IFS(C1305&gt;35,"HIGH",C1305&gt;25,"MIDDLE",TRUE,"LOW")</f>
        <v>MIDDLE</v>
      </c>
      <c r="O1305" s="4" t="str">
        <f t="shared" si="61"/>
        <v>OTHERS</v>
      </c>
      <c r="P1305" s="4" t="str">
        <f t="shared" si="62"/>
        <v>OTHERS</v>
      </c>
    </row>
    <row r="1306" spans="1:16" x14ac:dyDescent="0.3">
      <c r="A1306" s="4">
        <v>12</v>
      </c>
      <c r="B1306" t="s">
        <v>11</v>
      </c>
      <c r="C1306" s="4">
        <v>23.02</v>
      </c>
      <c r="D1306" t="s">
        <v>18</v>
      </c>
      <c r="E1306" t="s">
        <v>17</v>
      </c>
      <c r="F1306" s="4" t="s">
        <v>28</v>
      </c>
      <c r="G1306" s="4" t="s">
        <v>35</v>
      </c>
      <c r="H1306" s="4">
        <v>3</v>
      </c>
      <c r="I1306" s="4">
        <v>8</v>
      </c>
      <c r="J1306" s="1">
        <v>45532</v>
      </c>
      <c r="K1306" s="2">
        <v>2.4385416666666666E-2</v>
      </c>
      <c r="M1306" s="4" t="str">
        <f t="shared" si="60"/>
        <v>LOW</v>
      </c>
      <c r="N1306" s="4" t="str" cm="1">
        <f t="array" ref="N1306">_xlfn.IFS(C1306&gt;35,"HIGH",C1306&gt;25,"MIDDLE",TRUE,"LOW")</f>
        <v>LOW</v>
      </c>
      <c r="O1306" s="4" t="str">
        <f t="shared" si="61"/>
        <v>OTHERS</v>
      </c>
      <c r="P1306" s="4" t="str">
        <f t="shared" si="62"/>
        <v>OTHERS</v>
      </c>
    </row>
    <row r="1307" spans="1:16" x14ac:dyDescent="0.3">
      <c r="A1307" s="4">
        <v>13</v>
      </c>
      <c r="B1307" t="s">
        <v>11</v>
      </c>
      <c r="C1307" s="4">
        <v>27.92</v>
      </c>
      <c r="D1307" t="s">
        <v>19</v>
      </c>
      <c r="E1307" t="s">
        <v>17</v>
      </c>
      <c r="F1307" s="4" t="s">
        <v>28</v>
      </c>
      <c r="G1307" s="4" t="s">
        <v>35</v>
      </c>
      <c r="H1307" s="4">
        <v>3</v>
      </c>
      <c r="I1307" s="4">
        <v>8</v>
      </c>
      <c r="J1307" s="1">
        <v>45532</v>
      </c>
      <c r="K1307" s="2">
        <v>3.3740740740740738E-2</v>
      </c>
      <c r="M1307" s="4" t="str">
        <f t="shared" si="60"/>
        <v>LOW</v>
      </c>
      <c r="N1307" s="4" t="str" cm="1">
        <f t="array" ref="N1307">_xlfn.IFS(C1307&gt;35,"HIGH",C1307&gt;25,"MIDDLE",TRUE,"LOW")</f>
        <v>MIDDLE</v>
      </c>
      <c r="O1307" s="4" t="str">
        <f t="shared" si="61"/>
        <v>OTHERS</v>
      </c>
      <c r="P1307" s="4" t="str">
        <f t="shared" si="62"/>
        <v>OTHERS</v>
      </c>
    </row>
    <row r="1308" spans="1:16" x14ac:dyDescent="0.3">
      <c r="A1308" s="4">
        <v>7</v>
      </c>
      <c r="B1308" t="s">
        <v>11</v>
      </c>
      <c r="C1308" s="4">
        <v>23.02</v>
      </c>
      <c r="D1308" t="s">
        <v>18</v>
      </c>
      <c r="E1308" t="s">
        <v>13</v>
      </c>
      <c r="F1308" s="4" t="s">
        <v>30</v>
      </c>
      <c r="G1308" s="4" t="s">
        <v>35</v>
      </c>
      <c r="H1308" s="4">
        <v>4</v>
      </c>
      <c r="I1308" s="4">
        <v>8</v>
      </c>
      <c r="J1308" s="1">
        <v>45533</v>
      </c>
      <c r="K1308" s="2">
        <v>2.0489583333333332E-2</v>
      </c>
      <c r="M1308" s="4" t="str">
        <f t="shared" si="60"/>
        <v>LOW</v>
      </c>
      <c r="N1308" s="4" t="str" cm="1">
        <f t="array" ref="N1308">_xlfn.IFS(C1308&gt;35,"HIGH",C1308&gt;25,"MIDDLE",TRUE,"LOW")</f>
        <v>LOW</v>
      </c>
      <c r="O1308" s="4" t="str">
        <f t="shared" si="61"/>
        <v>OTHERS</v>
      </c>
      <c r="P1308" s="4" t="str">
        <f t="shared" si="62"/>
        <v>PREMINUM MORNING</v>
      </c>
    </row>
    <row r="1309" spans="1:16" x14ac:dyDescent="0.3">
      <c r="A1309" s="4">
        <v>17</v>
      </c>
      <c r="B1309" t="s">
        <v>11</v>
      </c>
      <c r="C1309" s="4">
        <v>32.82</v>
      </c>
      <c r="D1309" t="s">
        <v>12</v>
      </c>
      <c r="E1309" t="s">
        <v>20</v>
      </c>
      <c r="F1309" s="4" t="s">
        <v>14</v>
      </c>
      <c r="G1309" s="4" t="s">
        <v>35</v>
      </c>
      <c r="H1309" s="4">
        <v>5</v>
      </c>
      <c r="I1309" s="4">
        <v>8</v>
      </c>
      <c r="J1309" s="1">
        <v>45534</v>
      </c>
      <c r="K1309" s="2">
        <v>9.3807870370370364E-3</v>
      </c>
      <c r="M1309" s="4" t="str">
        <f t="shared" si="60"/>
        <v>LOW</v>
      </c>
      <c r="N1309" s="4" t="str" cm="1">
        <f t="array" ref="N1309">_xlfn.IFS(C1309&gt;35,"HIGH",C1309&gt;25,"MIDDLE",TRUE,"LOW")</f>
        <v>MIDDLE</v>
      </c>
      <c r="O1309" s="4" t="str">
        <f t="shared" si="61"/>
        <v>OTHERS</v>
      </c>
      <c r="P1309" s="4" t="str">
        <f t="shared" si="62"/>
        <v>OTHERS</v>
      </c>
    </row>
    <row r="1310" spans="1:16" x14ac:dyDescent="0.3">
      <c r="A1310" s="4">
        <v>17</v>
      </c>
      <c r="B1310" t="s">
        <v>11</v>
      </c>
      <c r="C1310" s="4">
        <v>27.92</v>
      </c>
      <c r="D1310" t="s">
        <v>19</v>
      </c>
      <c r="E1310" t="s">
        <v>20</v>
      </c>
      <c r="F1310" s="4" t="s">
        <v>14</v>
      </c>
      <c r="G1310" s="4" t="s">
        <v>35</v>
      </c>
      <c r="H1310" s="4">
        <v>5</v>
      </c>
      <c r="I1310" s="4">
        <v>8</v>
      </c>
      <c r="J1310" s="1">
        <v>45534</v>
      </c>
      <c r="K1310" s="2">
        <v>1.0101851851851851E-2</v>
      </c>
      <c r="M1310" s="4" t="str">
        <f t="shared" si="60"/>
        <v>LOW</v>
      </c>
      <c r="N1310" s="4" t="str" cm="1">
        <f t="array" ref="N1310">_xlfn.IFS(C1310&gt;35,"HIGH",C1310&gt;25,"MIDDLE",TRUE,"LOW")</f>
        <v>MIDDLE</v>
      </c>
      <c r="O1310" s="4" t="str">
        <f t="shared" si="61"/>
        <v>OTHERS</v>
      </c>
      <c r="P1310" s="4" t="str">
        <f t="shared" si="62"/>
        <v>OTHERS</v>
      </c>
    </row>
    <row r="1311" spans="1:16" x14ac:dyDescent="0.3">
      <c r="A1311" s="4">
        <v>17</v>
      </c>
      <c r="B1311" t="s">
        <v>11</v>
      </c>
      <c r="C1311" s="4">
        <v>27.92</v>
      </c>
      <c r="D1311" t="s">
        <v>19</v>
      </c>
      <c r="E1311" t="s">
        <v>20</v>
      </c>
      <c r="F1311" s="4" t="s">
        <v>14</v>
      </c>
      <c r="G1311" s="4" t="s">
        <v>35</v>
      </c>
      <c r="H1311" s="4">
        <v>5</v>
      </c>
      <c r="I1311" s="4">
        <v>8</v>
      </c>
      <c r="J1311" s="1">
        <v>45534</v>
      </c>
      <c r="K1311" s="2">
        <v>1.0826388888888889E-2</v>
      </c>
      <c r="M1311" s="4" t="str">
        <f t="shared" si="60"/>
        <v>LOW</v>
      </c>
      <c r="N1311" s="4" t="str" cm="1">
        <f t="array" ref="N1311">_xlfn.IFS(C1311&gt;35,"HIGH",C1311&gt;25,"MIDDLE",TRUE,"LOW")</f>
        <v>MIDDLE</v>
      </c>
      <c r="O1311" s="4" t="str">
        <f t="shared" si="61"/>
        <v>OTHERS</v>
      </c>
      <c r="P1311" s="4" t="str">
        <f t="shared" si="62"/>
        <v>OTHERS</v>
      </c>
    </row>
    <row r="1312" spans="1:16" x14ac:dyDescent="0.3">
      <c r="A1312" s="4">
        <v>9</v>
      </c>
      <c r="B1312" t="s">
        <v>11</v>
      </c>
      <c r="C1312" s="4">
        <v>23.02</v>
      </c>
      <c r="D1312" t="s">
        <v>24</v>
      </c>
      <c r="E1312" t="s">
        <v>13</v>
      </c>
      <c r="F1312" s="4" t="s">
        <v>22</v>
      </c>
      <c r="G1312" s="4" t="s">
        <v>35</v>
      </c>
      <c r="H1312" s="4">
        <v>6</v>
      </c>
      <c r="I1312" s="4">
        <v>8</v>
      </c>
      <c r="J1312" s="1">
        <v>45535</v>
      </c>
      <c r="K1312" s="2">
        <v>5.9317129629629633E-3</v>
      </c>
      <c r="M1312" s="4" t="str">
        <f t="shared" si="60"/>
        <v>LOW</v>
      </c>
      <c r="N1312" s="4" t="str" cm="1">
        <f t="array" ref="N1312">_xlfn.IFS(C1312&gt;35,"HIGH",C1312&gt;25,"MIDDLE",TRUE,"LOW")</f>
        <v>LOW</v>
      </c>
      <c r="O1312" s="4" t="str">
        <f t="shared" si="61"/>
        <v>OTHERS</v>
      </c>
      <c r="P1312" s="4" t="str">
        <f t="shared" si="62"/>
        <v>PREMINUM MORNING</v>
      </c>
    </row>
    <row r="1313" spans="1:16" x14ac:dyDescent="0.3">
      <c r="A1313" s="4">
        <v>10</v>
      </c>
      <c r="B1313" t="s">
        <v>11</v>
      </c>
      <c r="C1313" s="4">
        <v>27.92</v>
      </c>
      <c r="D1313" t="s">
        <v>19</v>
      </c>
      <c r="E1313" t="s">
        <v>13</v>
      </c>
      <c r="F1313" s="4" t="s">
        <v>22</v>
      </c>
      <c r="G1313" s="4" t="s">
        <v>35</v>
      </c>
      <c r="H1313" s="4">
        <v>6</v>
      </c>
      <c r="I1313" s="4">
        <v>8</v>
      </c>
      <c r="J1313" s="1">
        <v>45535</v>
      </c>
      <c r="K1313" s="2">
        <v>1.4837962962962962E-3</v>
      </c>
      <c r="M1313" s="4" t="str">
        <f t="shared" si="60"/>
        <v>LOW</v>
      </c>
      <c r="N1313" s="4" t="str" cm="1">
        <f t="array" ref="N1313">_xlfn.IFS(C1313&gt;35,"HIGH",C1313&gt;25,"MIDDLE",TRUE,"LOW")</f>
        <v>MIDDLE</v>
      </c>
      <c r="O1313" s="4" t="str">
        <f t="shared" si="61"/>
        <v>OTHERS</v>
      </c>
      <c r="P1313" s="4" t="str">
        <f t="shared" si="62"/>
        <v>PREMINUM MORNING</v>
      </c>
    </row>
    <row r="1314" spans="1:16" x14ac:dyDescent="0.3">
      <c r="A1314" s="4">
        <v>10</v>
      </c>
      <c r="B1314" t="s">
        <v>11</v>
      </c>
      <c r="C1314" s="4">
        <v>18.12</v>
      </c>
      <c r="D1314" t="s">
        <v>26</v>
      </c>
      <c r="E1314" t="s">
        <v>13</v>
      </c>
      <c r="F1314" s="4" t="s">
        <v>22</v>
      </c>
      <c r="G1314" s="4" t="s">
        <v>35</v>
      </c>
      <c r="H1314" s="4">
        <v>6</v>
      </c>
      <c r="I1314" s="4">
        <v>8</v>
      </c>
      <c r="J1314" s="1">
        <v>45535</v>
      </c>
      <c r="K1314" s="2">
        <v>1.5589120370370371E-2</v>
      </c>
      <c r="M1314" s="4" t="str">
        <f t="shared" si="60"/>
        <v>LOW</v>
      </c>
      <c r="N1314" s="4" t="str" cm="1">
        <f t="array" ref="N1314">_xlfn.IFS(C1314&gt;35,"HIGH",C1314&gt;25,"MIDDLE",TRUE,"LOW")</f>
        <v>LOW</v>
      </c>
      <c r="O1314" s="4" t="str">
        <f t="shared" si="61"/>
        <v>OTHERS</v>
      </c>
      <c r="P1314" s="4" t="str">
        <f t="shared" si="62"/>
        <v>PREMINUM MORNING</v>
      </c>
    </row>
    <row r="1315" spans="1:16" x14ac:dyDescent="0.3">
      <c r="A1315" s="4">
        <v>11</v>
      </c>
      <c r="B1315" t="s">
        <v>11</v>
      </c>
      <c r="C1315" s="4">
        <v>27.92</v>
      </c>
      <c r="D1315" t="s">
        <v>19</v>
      </c>
      <c r="E1315" t="s">
        <v>13</v>
      </c>
      <c r="F1315" s="4" t="s">
        <v>22</v>
      </c>
      <c r="G1315" s="4" t="s">
        <v>35</v>
      </c>
      <c r="H1315" s="4">
        <v>6</v>
      </c>
      <c r="I1315" s="4">
        <v>8</v>
      </c>
      <c r="J1315" s="1">
        <v>45535</v>
      </c>
      <c r="K1315" s="2">
        <v>2.0770833333333332E-2</v>
      </c>
      <c r="M1315" s="4" t="str">
        <f t="shared" si="60"/>
        <v>LOW</v>
      </c>
      <c r="N1315" s="4" t="str" cm="1">
        <f t="array" ref="N1315">_xlfn.IFS(C1315&gt;35,"HIGH",C1315&gt;25,"MIDDLE",TRUE,"LOW")</f>
        <v>MIDDLE</v>
      </c>
      <c r="O1315" s="4" t="str">
        <f t="shared" si="61"/>
        <v>OTHERS</v>
      </c>
      <c r="P1315" s="4" t="str">
        <f t="shared" si="62"/>
        <v>PREMINUM MORNING</v>
      </c>
    </row>
    <row r="1316" spans="1:16" x14ac:dyDescent="0.3">
      <c r="A1316" s="4">
        <v>11</v>
      </c>
      <c r="B1316" t="s">
        <v>11</v>
      </c>
      <c r="C1316" s="4">
        <v>23.02</v>
      </c>
      <c r="D1316" t="s">
        <v>24</v>
      </c>
      <c r="E1316" t="s">
        <v>13</v>
      </c>
      <c r="F1316" s="4" t="s">
        <v>22</v>
      </c>
      <c r="G1316" s="4" t="s">
        <v>35</v>
      </c>
      <c r="H1316" s="4">
        <v>6</v>
      </c>
      <c r="I1316" s="4">
        <v>8</v>
      </c>
      <c r="J1316" s="1">
        <v>45535</v>
      </c>
      <c r="K1316" s="2">
        <v>2.3378472222222224E-2</v>
      </c>
      <c r="M1316" s="4" t="str">
        <f t="shared" si="60"/>
        <v>LOW</v>
      </c>
      <c r="N1316" s="4" t="str" cm="1">
        <f t="array" ref="N1316">_xlfn.IFS(C1316&gt;35,"HIGH",C1316&gt;25,"MIDDLE",TRUE,"LOW")</f>
        <v>LOW</v>
      </c>
      <c r="O1316" s="4" t="str">
        <f t="shared" si="61"/>
        <v>OTHERS</v>
      </c>
      <c r="P1316" s="4" t="str">
        <f t="shared" si="62"/>
        <v>PREMINUM MORNING</v>
      </c>
    </row>
    <row r="1317" spans="1:16" x14ac:dyDescent="0.3">
      <c r="A1317" s="4">
        <v>11</v>
      </c>
      <c r="B1317" t="s">
        <v>11</v>
      </c>
      <c r="C1317" s="4">
        <v>23.02</v>
      </c>
      <c r="D1317" t="s">
        <v>24</v>
      </c>
      <c r="E1317" t="s">
        <v>13</v>
      </c>
      <c r="F1317" s="4" t="s">
        <v>22</v>
      </c>
      <c r="G1317" s="4" t="s">
        <v>35</v>
      </c>
      <c r="H1317" s="4">
        <v>6</v>
      </c>
      <c r="I1317" s="4">
        <v>8</v>
      </c>
      <c r="J1317" s="1">
        <v>45535</v>
      </c>
      <c r="K1317" s="2">
        <v>2.3991898148148148E-2</v>
      </c>
      <c r="M1317" s="4" t="str">
        <f t="shared" si="60"/>
        <v>LOW</v>
      </c>
      <c r="N1317" s="4" t="str" cm="1">
        <f t="array" ref="N1317">_xlfn.IFS(C1317&gt;35,"HIGH",C1317&gt;25,"MIDDLE",TRUE,"LOW")</f>
        <v>LOW</v>
      </c>
      <c r="O1317" s="4" t="str">
        <f t="shared" si="61"/>
        <v>OTHERS</v>
      </c>
      <c r="P1317" s="4" t="str">
        <f t="shared" si="62"/>
        <v>PREMINUM MORNING</v>
      </c>
    </row>
    <row r="1318" spans="1:16" x14ac:dyDescent="0.3">
      <c r="A1318" s="4">
        <v>9</v>
      </c>
      <c r="B1318" t="s">
        <v>11</v>
      </c>
      <c r="C1318" s="4">
        <v>23.02</v>
      </c>
      <c r="D1318" t="s">
        <v>24</v>
      </c>
      <c r="E1318" t="s">
        <v>13</v>
      </c>
      <c r="F1318" s="4" t="s">
        <v>23</v>
      </c>
      <c r="G1318" s="4" t="s">
        <v>36</v>
      </c>
      <c r="H1318" s="4">
        <v>7</v>
      </c>
      <c r="I1318" s="4">
        <v>9</v>
      </c>
      <c r="J1318" s="1">
        <v>45536</v>
      </c>
      <c r="K1318" s="2">
        <v>2.3787037037037034E-2</v>
      </c>
      <c r="M1318" s="4" t="str">
        <f t="shared" si="60"/>
        <v>LOW</v>
      </c>
      <c r="N1318" s="4" t="str" cm="1">
        <f t="array" ref="N1318">_xlfn.IFS(C1318&gt;35,"HIGH",C1318&gt;25,"MIDDLE",TRUE,"LOW")</f>
        <v>LOW</v>
      </c>
      <c r="O1318" s="4" t="str">
        <f t="shared" si="61"/>
        <v>OTHERS</v>
      </c>
      <c r="P1318" s="4" t="str">
        <f t="shared" si="62"/>
        <v>PREMINUM MORNING</v>
      </c>
    </row>
    <row r="1319" spans="1:16" x14ac:dyDescent="0.3">
      <c r="A1319" s="4">
        <v>12</v>
      </c>
      <c r="B1319" t="s">
        <v>11</v>
      </c>
      <c r="C1319" s="4">
        <v>32.82</v>
      </c>
      <c r="D1319" t="s">
        <v>29</v>
      </c>
      <c r="E1319" t="s">
        <v>17</v>
      </c>
      <c r="F1319" s="4" t="s">
        <v>23</v>
      </c>
      <c r="G1319" s="4" t="s">
        <v>36</v>
      </c>
      <c r="H1319" s="4">
        <v>7</v>
      </c>
      <c r="I1319" s="4">
        <v>9</v>
      </c>
      <c r="J1319" s="1">
        <v>45536</v>
      </c>
      <c r="K1319" s="2">
        <v>7.9247685185185185E-3</v>
      </c>
      <c r="M1319" s="4" t="str">
        <f t="shared" si="60"/>
        <v>LOW</v>
      </c>
      <c r="N1319" s="4" t="str" cm="1">
        <f t="array" ref="N1319">_xlfn.IFS(C1319&gt;35,"HIGH",C1319&gt;25,"MIDDLE",TRUE,"LOW")</f>
        <v>MIDDLE</v>
      </c>
      <c r="O1319" s="4" t="str">
        <f t="shared" si="61"/>
        <v>OTHERS</v>
      </c>
      <c r="P1319" s="4" t="str">
        <f t="shared" si="62"/>
        <v>OTHERS</v>
      </c>
    </row>
    <row r="1320" spans="1:16" x14ac:dyDescent="0.3">
      <c r="A1320" s="4">
        <v>12</v>
      </c>
      <c r="B1320" t="s">
        <v>11</v>
      </c>
      <c r="C1320" s="4">
        <v>27.92</v>
      </c>
      <c r="D1320" t="s">
        <v>19</v>
      </c>
      <c r="E1320" t="s">
        <v>17</v>
      </c>
      <c r="F1320" s="4" t="s">
        <v>23</v>
      </c>
      <c r="G1320" s="4" t="s">
        <v>36</v>
      </c>
      <c r="H1320" s="4">
        <v>7</v>
      </c>
      <c r="I1320" s="4">
        <v>9</v>
      </c>
      <c r="J1320" s="1">
        <v>45536</v>
      </c>
      <c r="K1320" s="2">
        <v>2.0932870370370369E-2</v>
      </c>
      <c r="M1320" s="4" t="str">
        <f t="shared" si="60"/>
        <v>LOW</v>
      </c>
      <c r="N1320" s="4" t="str" cm="1">
        <f t="array" ref="N1320">_xlfn.IFS(C1320&gt;35,"HIGH",C1320&gt;25,"MIDDLE",TRUE,"LOW")</f>
        <v>MIDDLE</v>
      </c>
      <c r="O1320" s="4" t="str">
        <f t="shared" si="61"/>
        <v>OTHERS</v>
      </c>
      <c r="P1320" s="4" t="str">
        <f t="shared" si="62"/>
        <v>OTHERS</v>
      </c>
    </row>
    <row r="1321" spans="1:16" x14ac:dyDescent="0.3">
      <c r="A1321" s="4">
        <v>12</v>
      </c>
      <c r="B1321" t="s">
        <v>11</v>
      </c>
      <c r="C1321" s="4">
        <v>23.02</v>
      </c>
      <c r="D1321" t="s">
        <v>18</v>
      </c>
      <c r="E1321" t="s">
        <v>17</v>
      </c>
      <c r="F1321" s="4" t="s">
        <v>23</v>
      </c>
      <c r="G1321" s="4" t="s">
        <v>36</v>
      </c>
      <c r="H1321" s="4">
        <v>7</v>
      </c>
      <c r="I1321" s="4">
        <v>9</v>
      </c>
      <c r="J1321" s="1">
        <v>45536</v>
      </c>
      <c r="K1321" s="2">
        <v>2.2476851851851852E-2</v>
      </c>
      <c r="M1321" s="4" t="str">
        <f t="shared" si="60"/>
        <v>LOW</v>
      </c>
      <c r="N1321" s="4" t="str" cm="1">
        <f t="array" ref="N1321">_xlfn.IFS(C1321&gt;35,"HIGH",C1321&gt;25,"MIDDLE",TRUE,"LOW")</f>
        <v>LOW</v>
      </c>
      <c r="O1321" s="4" t="str">
        <f t="shared" si="61"/>
        <v>OTHERS</v>
      </c>
      <c r="P1321" s="4" t="str">
        <f t="shared" si="62"/>
        <v>OTHERS</v>
      </c>
    </row>
    <row r="1322" spans="1:16" x14ac:dyDescent="0.3">
      <c r="A1322" s="4">
        <v>12</v>
      </c>
      <c r="B1322" t="s">
        <v>11</v>
      </c>
      <c r="C1322" s="4">
        <v>27.92</v>
      </c>
      <c r="D1322" t="s">
        <v>19</v>
      </c>
      <c r="E1322" t="s">
        <v>17</v>
      </c>
      <c r="F1322" s="4" t="s">
        <v>23</v>
      </c>
      <c r="G1322" s="4" t="s">
        <v>36</v>
      </c>
      <c r="H1322" s="4">
        <v>7</v>
      </c>
      <c r="I1322" s="4">
        <v>9</v>
      </c>
      <c r="J1322" s="1">
        <v>45536</v>
      </c>
      <c r="K1322" s="2">
        <v>3.4923611111111114E-2</v>
      </c>
      <c r="M1322" s="4" t="str">
        <f t="shared" si="60"/>
        <v>LOW</v>
      </c>
      <c r="N1322" s="4" t="str" cm="1">
        <f t="array" ref="N1322">_xlfn.IFS(C1322&gt;35,"HIGH",C1322&gt;25,"MIDDLE",TRUE,"LOW")</f>
        <v>MIDDLE</v>
      </c>
      <c r="O1322" s="4" t="str">
        <f t="shared" si="61"/>
        <v>OTHERS</v>
      </c>
      <c r="P1322" s="4" t="str">
        <f t="shared" si="62"/>
        <v>OTHERS</v>
      </c>
    </row>
    <row r="1323" spans="1:16" x14ac:dyDescent="0.3">
      <c r="A1323" s="4">
        <v>13</v>
      </c>
      <c r="B1323" t="s">
        <v>11</v>
      </c>
      <c r="C1323" s="4">
        <v>32.82</v>
      </c>
      <c r="D1323" t="s">
        <v>12</v>
      </c>
      <c r="E1323" t="s">
        <v>17</v>
      </c>
      <c r="F1323" s="4" t="s">
        <v>23</v>
      </c>
      <c r="G1323" s="4" t="s">
        <v>36</v>
      </c>
      <c r="H1323" s="4">
        <v>7</v>
      </c>
      <c r="I1323" s="4">
        <v>9</v>
      </c>
      <c r="J1323" s="1">
        <v>45536</v>
      </c>
      <c r="K1323" s="2">
        <v>3.9975694444444446E-2</v>
      </c>
      <c r="M1323" s="4" t="str">
        <f t="shared" si="60"/>
        <v>LOW</v>
      </c>
      <c r="N1323" s="4" t="str" cm="1">
        <f t="array" ref="N1323">_xlfn.IFS(C1323&gt;35,"HIGH",C1323&gt;25,"MIDDLE",TRUE,"LOW")</f>
        <v>MIDDLE</v>
      </c>
      <c r="O1323" s="4" t="str">
        <f t="shared" si="61"/>
        <v>OTHERS</v>
      </c>
      <c r="P1323" s="4" t="str">
        <f t="shared" si="62"/>
        <v>OTHERS</v>
      </c>
    </row>
    <row r="1324" spans="1:16" x14ac:dyDescent="0.3">
      <c r="A1324" s="4">
        <v>14</v>
      </c>
      <c r="B1324" t="s">
        <v>11</v>
      </c>
      <c r="C1324" s="4">
        <v>27.92</v>
      </c>
      <c r="D1324" t="s">
        <v>19</v>
      </c>
      <c r="E1324" t="s">
        <v>17</v>
      </c>
      <c r="F1324" s="4" t="s">
        <v>23</v>
      </c>
      <c r="G1324" s="4" t="s">
        <v>36</v>
      </c>
      <c r="H1324" s="4">
        <v>7</v>
      </c>
      <c r="I1324" s="4">
        <v>9</v>
      </c>
      <c r="J1324" s="1">
        <v>45536</v>
      </c>
      <c r="K1324" s="2">
        <v>3.0601851851851852E-2</v>
      </c>
      <c r="M1324" s="4" t="str">
        <f t="shared" si="60"/>
        <v>LOW</v>
      </c>
      <c r="N1324" s="4" t="str" cm="1">
        <f t="array" ref="N1324">_xlfn.IFS(C1324&gt;35,"HIGH",C1324&gt;25,"MIDDLE",TRUE,"LOW")</f>
        <v>MIDDLE</v>
      </c>
      <c r="O1324" s="4" t="str">
        <f t="shared" si="61"/>
        <v>OTHERS</v>
      </c>
      <c r="P1324" s="4" t="str">
        <f t="shared" si="62"/>
        <v>OTHERS</v>
      </c>
    </row>
    <row r="1325" spans="1:16" x14ac:dyDescent="0.3">
      <c r="A1325" s="4">
        <v>17</v>
      </c>
      <c r="B1325" t="s">
        <v>11</v>
      </c>
      <c r="C1325" s="4">
        <v>32.82</v>
      </c>
      <c r="D1325" t="s">
        <v>12</v>
      </c>
      <c r="E1325" t="s">
        <v>20</v>
      </c>
      <c r="F1325" s="4" t="s">
        <v>23</v>
      </c>
      <c r="G1325" s="4" t="s">
        <v>36</v>
      </c>
      <c r="H1325" s="4">
        <v>7</v>
      </c>
      <c r="I1325" s="4">
        <v>9</v>
      </c>
      <c r="J1325" s="1">
        <v>45536</v>
      </c>
      <c r="K1325" s="2">
        <v>1.4424768518518517E-2</v>
      </c>
      <c r="M1325" s="4" t="str">
        <f t="shared" si="60"/>
        <v>LOW</v>
      </c>
      <c r="N1325" s="4" t="str" cm="1">
        <f t="array" ref="N1325">_xlfn.IFS(C1325&gt;35,"HIGH",C1325&gt;25,"MIDDLE",TRUE,"LOW")</f>
        <v>MIDDLE</v>
      </c>
      <c r="O1325" s="4" t="str">
        <f t="shared" si="61"/>
        <v>OTHERS</v>
      </c>
      <c r="P1325" s="4" t="str">
        <f t="shared" si="62"/>
        <v>OTHERS</v>
      </c>
    </row>
    <row r="1326" spans="1:16" x14ac:dyDescent="0.3">
      <c r="A1326" s="4">
        <v>17</v>
      </c>
      <c r="B1326" t="s">
        <v>11</v>
      </c>
      <c r="C1326" s="4">
        <v>32.82</v>
      </c>
      <c r="D1326" t="s">
        <v>12</v>
      </c>
      <c r="E1326" t="s">
        <v>20</v>
      </c>
      <c r="F1326" s="4" t="s">
        <v>23</v>
      </c>
      <c r="G1326" s="4" t="s">
        <v>36</v>
      </c>
      <c r="H1326" s="4">
        <v>7</v>
      </c>
      <c r="I1326" s="4">
        <v>9</v>
      </c>
      <c r="J1326" s="1">
        <v>45536</v>
      </c>
      <c r="K1326" s="2">
        <v>1.6133101851851853E-2</v>
      </c>
      <c r="M1326" s="4" t="str">
        <f t="shared" si="60"/>
        <v>LOW</v>
      </c>
      <c r="N1326" s="4" t="str" cm="1">
        <f t="array" ref="N1326">_xlfn.IFS(C1326&gt;35,"HIGH",C1326&gt;25,"MIDDLE",TRUE,"LOW")</f>
        <v>MIDDLE</v>
      </c>
      <c r="O1326" s="4" t="str">
        <f t="shared" si="61"/>
        <v>OTHERS</v>
      </c>
      <c r="P1326" s="4" t="str">
        <f t="shared" si="62"/>
        <v>OTHERS</v>
      </c>
    </row>
    <row r="1327" spans="1:16" x14ac:dyDescent="0.3">
      <c r="A1327" s="4">
        <v>17</v>
      </c>
      <c r="B1327" t="s">
        <v>11</v>
      </c>
      <c r="C1327" s="4">
        <v>32.82</v>
      </c>
      <c r="D1327" t="s">
        <v>12</v>
      </c>
      <c r="E1327" t="s">
        <v>20</v>
      </c>
      <c r="F1327" s="4" t="s">
        <v>23</v>
      </c>
      <c r="G1327" s="4" t="s">
        <v>36</v>
      </c>
      <c r="H1327" s="4">
        <v>7</v>
      </c>
      <c r="I1327" s="4">
        <v>9</v>
      </c>
      <c r="J1327" s="1">
        <v>45536</v>
      </c>
      <c r="K1327" s="2">
        <v>1.7241898148148149E-2</v>
      </c>
      <c r="M1327" s="4" t="str">
        <f t="shared" si="60"/>
        <v>LOW</v>
      </c>
      <c r="N1327" s="4" t="str" cm="1">
        <f t="array" ref="N1327">_xlfn.IFS(C1327&gt;35,"HIGH",C1327&gt;25,"MIDDLE",TRUE,"LOW")</f>
        <v>MIDDLE</v>
      </c>
      <c r="O1327" s="4" t="str">
        <f t="shared" si="61"/>
        <v>OTHERS</v>
      </c>
      <c r="P1327" s="4" t="str">
        <f t="shared" si="62"/>
        <v>OTHERS</v>
      </c>
    </row>
    <row r="1328" spans="1:16" x14ac:dyDescent="0.3">
      <c r="A1328" s="4">
        <v>8</v>
      </c>
      <c r="B1328" t="s">
        <v>11</v>
      </c>
      <c r="C1328" s="4">
        <v>32.82</v>
      </c>
      <c r="D1328" t="s">
        <v>12</v>
      </c>
      <c r="E1328" t="s">
        <v>13</v>
      </c>
      <c r="F1328" s="4" t="s">
        <v>25</v>
      </c>
      <c r="G1328" s="4" t="s">
        <v>36</v>
      </c>
      <c r="H1328" s="4">
        <v>1</v>
      </c>
      <c r="I1328" s="4">
        <v>9</v>
      </c>
      <c r="J1328" s="1">
        <v>45537</v>
      </c>
      <c r="K1328" s="2">
        <v>1.7127314814814814E-2</v>
      </c>
      <c r="M1328" s="4" t="str">
        <f t="shared" si="60"/>
        <v>LOW</v>
      </c>
      <c r="N1328" s="4" t="str" cm="1">
        <f t="array" ref="N1328">_xlfn.IFS(C1328&gt;35,"HIGH",C1328&gt;25,"MIDDLE",TRUE,"LOW")</f>
        <v>MIDDLE</v>
      </c>
      <c r="O1328" s="4" t="str">
        <f t="shared" si="61"/>
        <v>OTHERS</v>
      </c>
      <c r="P1328" s="4" t="str">
        <f t="shared" si="62"/>
        <v>PREMINUM MORNING</v>
      </c>
    </row>
    <row r="1329" spans="1:16" x14ac:dyDescent="0.3">
      <c r="A1329" s="4">
        <v>8</v>
      </c>
      <c r="B1329" t="s">
        <v>11</v>
      </c>
      <c r="C1329" s="4">
        <v>27.92</v>
      </c>
      <c r="D1329" t="s">
        <v>19</v>
      </c>
      <c r="E1329" t="s">
        <v>13</v>
      </c>
      <c r="F1329" s="4" t="s">
        <v>25</v>
      </c>
      <c r="G1329" s="4" t="s">
        <v>36</v>
      </c>
      <c r="H1329" s="4">
        <v>1</v>
      </c>
      <c r="I1329" s="4">
        <v>9</v>
      </c>
      <c r="J1329" s="1">
        <v>45537</v>
      </c>
      <c r="K1329" s="2">
        <v>3.4925925925925923E-2</v>
      </c>
      <c r="M1329" s="4" t="str">
        <f t="shared" si="60"/>
        <v>LOW</v>
      </c>
      <c r="N1329" s="4" t="str" cm="1">
        <f t="array" ref="N1329">_xlfn.IFS(C1329&gt;35,"HIGH",C1329&gt;25,"MIDDLE",TRUE,"LOW")</f>
        <v>MIDDLE</v>
      </c>
      <c r="O1329" s="4" t="str">
        <f t="shared" si="61"/>
        <v>OTHERS</v>
      </c>
      <c r="P1329" s="4" t="str">
        <f t="shared" si="62"/>
        <v>PREMINUM MORNING</v>
      </c>
    </row>
    <row r="1330" spans="1:16" x14ac:dyDescent="0.3">
      <c r="A1330" s="4">
        <v>8</v>
      </c>
      <c r="B1330" t="s">
        <v>11</v>
      </c>
      <c r="C1330" s="4">
        <v>32.82</v>
      </c>
      <c r="D1330" t="s">
        <v>12</v>
      </c>
      <c r="E1330" t="s">
        <v>13</v>
      </c>
      <c r="F1330" s="4" t="s">
        <v>25</v>
      </c>
      <c r="G1330" s="4" t="s">
        <v>36</v>
      </c>
      <c r="H1330" s="4">
        <v>1</v>
      </c>
      <c r="I1330" s="4">
        <v>9</v>
      </c>
      <c r="J1330" s="1">
        <v>45537</v>
      </c>
      <c r="K1330" s="2">
        <v>3.5799768518518515E-2</v>
      </c>
      <c r="M1330" s="4" t="str">
        <f t="shared" si="60"/>
        <v>LOW</v>
      </c>
      <c r="N1330" s="4" t="str" cm="1">
        <f t="array" ref="N1330">_xlfn.IFS(C1330&gt;35,"HIGH",C1330&gt;25,"MIDDLE",TRUE,"LOW")</f>
        <v>MIDDLE</v>
      </c>
      <c r="O1330" s="4" t="str">
        <f t="shared" si="61"/>
        <v>OTHERS</v>
      </c>
      <c r="P1330" s="4" t="str">
        <f t="shared" si="62"/>
        <v>PREMINUM MORNING</v>
      </c>
    </row>
    <row r="1331" spans="1:16" x14ac:dyDescent="0.3">
      <c r="A1331" s="4">
        <v>14</v>
      </c>
      <c r="B1331" t="s">
        <v>11</v>
      </c>
      <c r="C1331" s="4">
        <v>27.92</v>
      </c>
      <c r="D1331" t="s">
        <v>19</v>
      </c>
      <c r="E1331" t="s">
        <v>17</v>
      </c>
      <c r="F1331" s="4" t="s">
        <v>25</v>
      </c>
      <c r="G1331" s="4" t="s">
        <v>36</v>
      </c>
      <c r="H1331" s="4">
        <v>1</v>
      </c>
      <c r="I1331" s="4">
        <v>9</v>
      </c>
      <c r="J1331" s="1">
        <v>45537</v>
      </c>
      <c r="K1331" s="2">
        <v>4.0822916666666667E-2</v>
      </c>
      <c r="M1331" s="4" t="str">
        <f t="shared" si="60"/>
        <v>LOW</v>
      </c>
      <c r="N1331" s="4" t="str" cm="1">
        <f t="array" ref="N1331">_xlfn.IFS(C1331&gt;35,"HIGH",C1331&gt;25,"MIDDLE",TRUE,"LOW")</f>
        <v>MIDDLE</v>
      </c>
      <c r="O1331" s="4" t="str">
        <f t="shared" si="61"/>
        <v>OTHERS</v>
      </c>
      <c r="P1331" s="4" t="str">
        <f t="shared" si="62"/>
        <v>OTHERS</v>
      </c>
    </row>
    <row r="1332" spans="1:16" x14ac:dyDescent="0.3">
      <c r="A1332" s="4">
        <v>20</v>
      </c>
      <c r="B1332" t="s">
        <v>11</v>
      </c>
      <c r="C1332" s="4">
        <v>32.82</v>
      </c>
      <c r="D1332" t="s">
        <v>29</v>
      </c>
      <c r="E1332" t="s">
        <v>20</v>
      </c>
      <c r="F1332" s="4" t="s">
        <v>25</v>
      </c>
      <c r="G1332" s="4" t="s">
        <v>36</v>
      </c>
      <c r="H1332" s="4">
        <v>1</v>
      </c>
      <c r="I1332" s="4">
        <v>9</v>
      </c>
      <c r="J1332" s="1">
        <v>45537</v>
      </c>
      <c r="K1332" s="2">
        <v>6.7581018518518519E-3</v>
      </c>
      <c r="M1332" s="4" t="str">
        <f t="shared" si="60"/>
        <v>LOW</v>
      </c>
      <c r="N1332" s="4" t="str" cm="1">
        <f t="array" ref="N1332">_xlfn.IFS(C1332&gt;35,"HIGH",C1332&gt;25,"MIDDLE",TRUE,"LOW")</f>
        <v>MIDDLE</v>
      </c>
      <c r="O1332" s="4" t="str">
        <f t="shared" si="61"/>
        <v>OTHERS</v>
      </c>
      <c r="P1332" s="4" t="str">
        <f t="shared" si="62"/>
        <v>OTHERS</v>
      </c>
    </row>
    <row r="1333" spans="1:16" x14ac:dyDescent="0.3">
      <c r="A1333" s="4">
        <v>20</v>
      </c>
      <c r="B1333" t="s">
        <v>11</v>
      </c>
      <c r="C1333" s="4">
        <v>32.82</v>
      </c>
      <c r="D1333" t="s">
        <v>21</v>
      </c>
      <c r="E1333" t="s">
        <v>20</v>
      </c>
      <c r="F1333" s="4" t="s">
        <v>25</v>
      </c>
      <c r="G1333" s="4" t="s">
        <v>36</v>
      </c>
      <c r="H1333" s="4">
        <v>1</v>
      </c>
      <c r="I1333" s="4">
        <v>9</v>
      </c>
      <c r="J1333" s="1">
        <v>45537</v>
      </c>
      <c r="K1333" s="2">
        <v>7.8460648148148144E-3</v>
      </c>
      <c r="M1333" s="4" t="str">
        <f t="shared" si="60"/>
        <v>LOW</v>
      </c>
      <c r="N1333" s="4" t="str" cm="1">
        <f t="array" ref="N1333">_xlfn.IFS(C1333&gt;35,"HIGH",C1333&gt;25,"MIDDLE",TRUE,"LOW")</f>
        <v>MIDDLE</v>
      </c>
      <c r="O1333" s="4" t="str">
        <f t="shared" si="61"/>
        <v>OTHERS</v>
      </c>
      <c r="P1333" s="4" t="str">
        <f t="shared" si="62"/>
        <v>OTHERS</v>
      </c>
    </row>
    <row r="1334" spans="1:16" x14ac:dyDescent="0.3">
      <c r="A1334" s="4">
        <v>20</v>
      </c>
      <c r="B1334" t="s">
        <v>11</v>
      </c>
      <c r="C1334" s="4">
        <v>23.02</v>
      </c>
      <c r="D1334" t="s">
        <v>18</v>
      </c>
      <c r="E1334" t="s">
        <v>20</v>
      </c>
      <c r="F1334" s="4" t="s">
        <v>25</v>
      </c>
      <c r="G1334" s="4" t="s">
        <v>36</v>
      </c>
      <c r="H1334" s="4">
        <v>1</v>
      </c>
      <c r="I1334" s="4">
        <v>9</v>
      </c>
      <c r="J1334" s="1">
        <v>45537</v>
      </c>
      <c r="K1334" s="2">
        <v>3.6481481481481483E-2</v>
      </c>
      <c r="M1334" s="4" t="str">
        <f t="shared" si="60"/>
        <v>LOW</v>
      </c>
      <c r="N1334" s="4" t="str" cm="1">
        <f t="array" ref="N1334">_xlfn.IFS(C1334&gt;35,"HIGH",C1334&gt;25,"MIDDLE",TRUE,"LOW")</f>
        <v>LOW</v>
      </c>
      <c r="O1334" s="4" t="str">
        <f t="shared" si="61"/>
        <v>OTHERS</v>
      </c>
      <c r="P1334" s="4" t="str">
        <f t="shared" si="62"/>
        <v>OTHERS</v>
      </c>
    </row>
    <row r="1335" spans="1:16" x14ac:dyDescent="0.3">
      <c r="A1335" s="4">
        <v>20</v>
      </c>
      <c r="B1335" t="s">
        <v>11</v>
      </c>
      <c r="C1335" s="4">
        <v>23.02</v>
      </c>
      <c r="D1335" t="s">
        <v>18</v>
      </c>
      <c r="E1335" t="s">
        <v>20</v>
      </c>
      <c r="F1335" s="4" t="s">
        <v>25</v>
      </c>
      <c r="G1335" s="4" t="s">
        <v>36</v>
      </c>
      <c r="H1335" s="4">
        <v>1</v>
      </c>
      <c r="I1335" s="4">
        <v>9</v>
      </c>
      <c r="J1335" s="1">
        <v>45537</v>
      </c>
      <c r="K1335" s="2">
        <v>3.7142361111111112E-2</v>
      </c>
      <c r="M1335" s="4" t="str">
        <f t="shared" si="60"/>
        <v>LOW</v>
      </c>
      <c r="N1335" s="4" t="str" cm="1">
        <f t="array" ref="N1335">_xlfn.IFS(C1335&gt;35,"HIGH",C1335&gt;25,"MIDDLE",TRUE,"LOW")</f>
        <v>LOW</v>
      </c>
      <c r="O1335" s="4" t="str">
        <f t="shared" si="61"/>
        <v>OTHERS</v>
      </c>
      <c r="P1335" s="4" t="str">
        <f t="shared" si="62"/>
        <v>OTHERS</v>
      </c>
    </row>
    <row r="1336" spans="1:16" x14ac:dyDescent="0.3">
      <c r="A1336" s="4">
        <v>8</v>
      </c>
      <c r="B1336" t="s">
        <v>11</v>
      </c>
      <c r="C1336" s="4">
        <v>32.82</v>
      </c>
      <c r="D1336" t="s">
        <v>21</v>
      </c>
      <c r="E1336" t="s">
        <v>13</v>
      </c>
      <c r="F1336" s="4" t="s">
        <v>27</v>
      </c>
      <c r="G1336" s="4" t="s">
        <v>36</v>
      </c>
      <c r="H1336" s="4">
        <v>2</v>
      </c>
      <c r="I1336" s="4">
        <v>9</v>
      </c>
      <c r="J1336" s="1">
        <v>45538</v>
      </c>
      <c r="K1336" s="2">
        <v>1.545601851851852E-2</v>
      </c>
      <c r="M1336" s="4" t="str">
        <f t="shared" si="60"/>
        <v>LOW</v>
      </c>
      <c r="N1336" s="4" t="str" cm="1">
        <f t="array" ref="N1336">_xlfn.IFS(C1336&gt;35,"HIGH",C1336&gt;25,"MIDDLE",TRUE,"LOW")</f>
        <v>MIDDLE</v>
      </c>
      <c r="O1336" s="4" t="str">
        <f t="shared" si="61"/>
        <v>OTHERS</v>
      </c>
      <c r="P1336" s="4" t="str">
        <f t="shared" si="62"/>
        <v>PREMINUM MORNING</v>
      </c>
    </row>
    <row r="1337" spans="1:16" x14ac:dyDescent="0.3">
      <c r="A1337" s="4">
        <v>8</v>
      </c>
      <c r="B1337" t="s">
        <v>11</v>
      </c>
      <c r="C1337" s="4">
        <v>32.82</v>
      </c>
      <c r="D1337" t="s">
        <v>29</v>
      </c>
      <c r="E1337" t="s">
        <v>13</v>
      </c>
      <c r="F1337" s="4" t="s">
        <v>27</v>
      </c>
      <c r="G1337" s="4" t="s">
        <v>36</v>
      </c>
      <c r="H1337" s="4">
        <v>2</v>
      </c>
      <c r="I1337" s="4">
        <v>9</v>
      </c>
      <c r="J1337" s="1">
        <v>45538</v>
      </c>
      <c r="K1337" s="2">
        <v>1.9587962962962963E-2</v>
      </c>
      <c r="M1337" s="4" t="str">
        <f t="shared" si="60"/>
        <v>LOW</v>
      </c>
      <c r="N1337" s="4" t="str" cm="1">
        <f t="array" ref="N1337">_xlfn.IFS(C1337&gt;35,"HIGH",C1337&gt;25,"MIDDLE",TRUE,"LOW")</f>
        <v>MIDDLE</v>
      </c>
      <c r="O1337" s="4" t="str">
        <f t="shared" si="61"/>
        <v>OTHERS</v>
      </c>
      <c r="P1337" s="4" t="str">
        <f t="shared" si="62"/>
        <v>PREMINUM MORNING</v>
      </c>
    </row>
    <row r="1338" spans="1:16" x14ac:dyDescent="0.3">
      <c r="A1338" s="4">
        <v>8</v>
      </c>
      <c r="B1338" t="s">
        <v>11</v>
      </c>
      <c r="C1338" s="4">
        <v>32.82</v>
      </c>
      <c r="D1338" t="s">
        <v>12</v>
      </c>
      <c r="E1338" t="s">
        <v>13</v>
      </c>
      <c r="F1338" s="4" t="s">
        <v>27</v>
      </c>
      <c r="G1338" s="4" t="s">
        <v>36</v>
      </c>
      <c r="H1338" s="4">
        <v>2</v>
      </c>
      <c r="I1338" s="4">
        <v>9</v>
      </c>
      <c r="J1338" s="1">
        <v>45538</v>
      </c>
      <c r="K1338" s="2">
        <v>2.8607638888888887E-2</v>
      </c>
      <c r="M1338" s="4" t="str">
        <f t="shared" si="60"/>
        <v>LOW</v>
      </c>
      <c r="N1338" s="4" t="str" cm="1">
        <f t="array" ref="N1338">_xlfn.IFS(C1338&gt;35,"HIGH",C1338&gt;25,"MIDDLE",TRUE,"LOW")</f>
        <v>MIDDLE</v>
      </c>
      <c r="O1338" s="4" t="str">
        <f t="shared" si="61"/>
        <v>OTHERS</v>
      </c>
      <c r="P1338" s="4" t="str">
        <f t="shared" si="62"/>
        <v>PREMINUM MORNING</v>
      </c>
    </row>
    <row r="1339" spans="1:16" x14ac:dyDescent="0.3">
      <c r="A1339" s="4">
        <v>9</v>
      </c>
      <c r="B1339" t="s">
        <v>11</v>
      </c>
      <c r="C1339" s="4">
        <v>27.92</v>
      </c>
      <c r="D1339" t="s">
        <v>19</v>
      </c>
      <c r="E1339" t="s">
        <v>13</v>
      </c>
      <c r="F1339" s="4" t="s">
        <v>27</v>
      </c>
      <c r="G1339" s="4" t="s">
        <v>36</v>
      </c>
      <c r="H1339" s="4">
        <v>2</v>
      </c>
      <c r="I1339" s="4">
        <v>9</v>
      </c>
      <c r="J1339" s="1">
        <v>45538</v>
      </c>
      <c r="K1339" s="2">
        <v>2.2280092592592594E-3</v>
      </c>
      <c r="M1339" s="4" t="str">
        <f t="shared" si="60"/>
        <v>LOW</v>
      </c>
      <c r="N1339" s="4" t="str" cm="1">
        <f t="array" ref="N1339">_xlfn.IFS(C1339&gt;35,"HIGH",C1339&gt;25,"MIDDLE",TRUE,"LOW")</f>
        <v>MIDDLE</v>
      </c>
      <c r="O1339" s="4" t="str">
        <f t="shared" si="61"/>
        <v>OTHERS</v>
      </c>
      <c r="P1339" s="4" t="str">
        <f t="shared" si="62"/>
        <v>PREMINUM MORNING</v>
      </c>
    </row>
    <row r="1340" spans="1:16" x14ac:dyDescent="0.3">
      <c r="A1340" s="4">
        <v>9</v>
      </c>
      <c r="B1340" t="s">
        <v>11</v>
      </c>
      <c r="C1340" s="4">
        <v>32.82</v>
      </c>
      <c r="D1340" t="s">
        <v>29</v>
      </c>
      <c r="E1340" t="s">
        <v>13</v>
      </c>
      <c r="F1340" s="4" t="s">
        <v>27</v>
      </c>
      <c r="G1340" s="4" t="s">
        <v>36</v>
      </c>
      <c r="H1340" s="4">
        <v>2</v>
      </c>
      <c r="I1340" s="4">
        <v>9</v>
      </c>
      <c r="J1340" s="1">
        <v>45538</v>
      </c>
      <c r="K1340" s="2">
        <v>2.914351851851852E-3</v>
      </c>
      <c r="M1340" s="4" t="str">
        <f t="shared" si="60"/>
        <v>LOW</v>
      </c>
      <c r="N1340" s="4" t="str" cm="1">
        <f t="array" ref="N1340">_xlfn.IFS(C1340&gt;35,"HIGH",C1340&gt;25,"MIDDLE",TRUE,"LOW")</f>
        <v>MIDDLE</v>
      </c>
      <c r="O1340" s="4" t="str">
        <f t="shared" si="61"/>
        <v>OTHERS</v>
      </c>
      <c r="P1340" s="4" t="str">
        <f t="shared" si="62"/>
        <v>PREMINUM MORNING</v>
      </c>
    </row>
    <row r="1341" spans="1:16" x14ac:dyDescent="0.3">
      <c r="A1341" s="4">
        <v>9</v>
      </c>
      <c r="B1341" t="s">
        <v>11</v>
      </c>
      <c r="C1341" s="4">
        <v>32.82</v>
      </c>
      <c r="D1341" t="s">
        <v>21</v>
      </c>
      <c r="E1341" t="s">
        <v>13</v>
      </c>
      <c r="F1341" s="4" t="s">
        <v>27</v>
      </c>
      <c r="G1341" s="4" t="s">
        <v>36</v>
      </c>
      <c r="H1341" s="4">
        <v>2</v>
      </c>
      <c r="I1341" s="4">
        <v>9</v>
      </c>
      <c r="J1341" s="1">
        <v>45538</v>
      </c>
      <c r="K1341" s="2">
        <v>8.891203703703705E-3</v>
      </c>
      <c r="M1341" s="4" t="str">
        <f t="shared" si="60"/>
        <v>LOW</v>
      </c>
      <c r="N1341" s="4" t="str" cm="1">
        <f t="array" ref="N1341">_xlfn.IFS(C1341&gt;35,"HIGH",C1341&gt;25,"MIDDLE",TRUE,"LOW")</f>
        <v>MIDDLE</v>
      </c>
      <c r="O1341" s="4" t="str">
        <f t="shared" si="61"/>
        <v>OTHERS</v>
      </c>
      <c r="P1341" s="4" t="str">
        <f t="shared" si="62"/>
        <v>PREMINUM MORNING</v>
      </c>
    </row>
    <row r="1342" spans="1:16" x14ac:dyDescent="0.3">
      <c r="A1342" s="4">
        <v>9</v>
      </c>
      <c r="B1342" t="s">
        <v>11</v>
      </c>
      <c r="C1342" s="4">
        <v>32.82</v>
      </c>
      <c r="D1342" t="s">
        <v>21</v>
      </c>
      <c r="E1342" t="s">
        <v>13</v>
      </c>
      <c r="F1342" s="4" t="s">
        <v>27</v>
      </c>
      <c r="G1342" s="4" t="s">
        <v>36</v>
      </c>
      <c r="H1342" s="4">
        <v>2</v>
      </c>
      <c r="I1342" s="4">
        <v>9</v>
      </c>
      <c r="J1342" s="1">
        <v>45538</v>
      </c>
      <c r="K1342" s="2">
        <v>9.417824074074075E-3</v>
      </c>
      <c r="M1342" s="4" t="str">
        <f t="shared" si="60"/>
        <v>LOW</v>
      </c>
      <c r="N1342" s="4" t="str" cm="1">
        <f t="array" ref="N1342">_xlfn.IFS(C1342&gt;35,"HIGH",C1342&gt;25,"MIDDLE",TRUE,"LOW")</f>
        <v>MIDDLE</v>
      </c>
      <c r="O1342" s="4" t="str">
        <f t="shared" si="61"/>
        <v>OTHERS</v>
      </c>
      <c r="P1342" s="4" t="str">
        <f t="shared" si="62"/>
        <v>PREMINUM MORNING</v>
      </c>
    </row>
    <row r="1343" spans="1:16" x14ac:dyDescent="0.3">
      <c r="A1343" s="4">
        <v>9</v>
      </c>
      <c r="B1343" t="s">
        <v>11</v>
      </c>
      <c r="C1343" s="4">
        <v>27.92</v>
      </c>
      <c r="D1343" t="s">
        <v>19</v>
      </c>
      <c r="E1343" t="s">
        <v>13</v>
      </c>
      <c r="F1343" s="4" t="s">
        <v>27</v>
      </c>
      <c r="G1343" s="4" t="s">
        <v>36</v>
      </c>
      <c r="H1343" s="4">
        <v>2</v>
      </c>
      <c r="I1343" s="4">
        <v>9</v>
      </c>
      <c r="J1343" s="1">
        <v>45538</v>
      </c>
      <c r="K1343" s="2">
        <v>1.1831018518518518E-2</v>
      </c>
      <c r="M1343" s="4" t="str">
        <f t="shared" si="60"/>
        <v>LOW</v>
      </c>
      <c r="N1343" s="4" t="str" cm="1">
        <f t="array" ref="N1343">_xlfn.IFS(C1343&gt;35,"HIGH",C1343&gt;25,"MIDDLE",TRUE,"LOW")</f>
        <v>MIDDLE</v>
      </c>
      <c r="O1343" s="4" t="str">
        <f t="shared" si="61"/>
        <v>OTHERS</v>
      </c>
      <c r="P1343" s="4" t="str">
        <f t="shared" si="62"/>
        <v>PREMINUM MORNING</v>
      </c>
    </row>
    <row r="1344" spans="1:16" x14ac:dyDescent="0.3">
      <c r="A1344" s="4">
        <v>9</v>
      </c>
      <c r="B1344" t="s">
        <v>11</v>
      </c>
      <c r="C1344" s="4">
        <v>27.92</v>
      </c>
      <c r="D1344" t="s">
        <v>19</v>
      </c>
      <c r="E1344" t="s">
        <v>13</v>
      </c>
      <c r="F1344" s="4" t="s">
        <v>27</v>
      </c>
      <c r="G1344" s="4" t="s">
        <v>36</v>
      </c>
      <c r="H1344" s="4">
        <v>2</v>
      </c>
      <c r="I1344" s="4">
        <v>9</v>
      </c>
      <c r="J1344" s="1">
        <v>45538</v>
      </c>
      <c r="K1344" s="2">
        <v>1.4087962962962964E-2</v>
      </c>
      <c r="M1344" s="4" t="str">
        <f t="shared" si="60"/>
        <v>LOW</v>
      </c>
      <c r="N1344" s="4" t="str" cm="1">
        <f t="array" ref="N1344">_xlfn.IFS(C1344&gt;35,"HIGH",C1344&gt;25,"MIDDLE",TRUE,"LOW")</f>
        <v>MIDDLE</v>
      </c>
      <c r="O1344" s="4" t="str">
        <f t="shared" si="61"/>
        <v>OTHERS</v>
      </c>
      <c r="P1344" s="4" t="str">
        <f t="shared" si="62"/>
        <v>PREMINUM MORNING</v>
      </c>
    </row>
    <row r="1345" spans="1:16" x14ac:dyDescent="0.3">
      <c r="A1345" s="4">
        <v>9</v>
      </c>
      <c r="B1345" t="s">
        <v>11</v>
      </c>
      <c r="C1345" s="4">
        <v>32.82</v>
      </c>
      <c r="D1345" t="s">
        <v>12</v>
      </c>
      <c r="E1345" t="s">
        <v>13</v>
      </c>
      <c r="F1345" s="4" t="s">
        <v>27</v>
      </c>
      <c r="G1345" s="4" t="s">
        <v>36</v>
      </c>
      <c r="H1345" s="4">
        <v>2</v>
      </c>
      <c r="I1345" s="4">
        <v>9</v>
      </c>
      <c r="J1345" s="1">
        <v>45538</v>
      </c>
      <c r="K1345" s="2">
        <v>2.6299768518518521E-2</v>
      </c>
      <c r="M1345" s="4" t="str">
        <f t="shared" si="60"/>
        <v>LOW</v>
      </c>
      <c r="N1345" s="4" t="str" cm="1">
        <f t="array" ref="N1345">_xlfn.IFS(C1345&gt;35,"HIGH",C1345&gt;25,"MIDDLE",TRUE,"LOW")</f>
        <v>MIDDLE</v>
      </c>
      <c r="O1345" s="4" t="str">
        <f t="shared" si="61"/>
        <v>OTHERS</v>
      </c>
      <c r="P1345" s="4" t="str">
        <f t="shared" si="62"/>
        <v>PREMINUM MORNING</v>
      </c>
    </row>
    <row r="1346" spans="1:16" x14ac:dyDescent="0.3">
      <c r="A1346" s="4">
        <v>9</v>
      </c>
      <c r="B1346" t="s">
        <v>11</v>
      </c>
      <c r="C1346" s="4">
        <v>32.82</v>
      </c>
      <c r="D1346" t="s">
        <v>21</v>
      </c>
      <c r="E1346" t="s">
        <v>13</v>
      </c>
      <c r="F1346" s="4" t="s">
        <v>27</v>
      </c>
      <c r="G1346" s="4" t="s">
        <v>36</v>
      </c>
      <c r="H1346" s="4">
        <v>2</v>
      </c>
      <c r="I1346" s="4">
        <v>9</v>
      </c>
      <c r="J1346" s="1">
        <v>45538</v>
      </c>
      <c r="K1346" s="2">
        <v>2.7041666666666669E-2</v>
      </c>
      <c r="M1346" s="4" t="str">
        <f t="shared" si="60"/>
        <v>LOW</v>
      </c>
      <c r="N1346" s="4" t="str" cm="1">
        <f t="array" ref="N1346">_xlfn.IFS(C1346&gt;35,"HIGH",C1346&gt;25,"MIDDLE",TRUE,"LOW")</f>
        <v>MIDDLE</v>
      </c>
      <c r="O1346" s="4" t="str">
        <f t="shared" si="61"/>
        <v>OTHERS</v>
      </c>
      <c r="P1346" s="4" t="str">
        <f t="shared" si="62"/>
        <v>PREMINUM MORNING</v>
      </c>
    </row>
    <row r="1347" spans="1:16" x14ac:dyDescent="0.3">
      <c r="A1347" s="4">
        <v>12</v>
      </c>
      <c r="B1347" t="s">
        <v>11</v>
      </c>
      <c r="C1347" s="4">
        <v>23.02</v>
      </c>
      <c r="D1347" t="s">
        <v>24</v>
      </c>
      <c r="E1347" t="s">
        <v>17</v>
      </c>
      <c r="F1347" s="4" t="s">
        <v>27</v>
      </c>
      <c r="G1347" s="4" t="s">
        <v>36</v>
      </c>
      <c r="H1347" s="4">
        <v>2</v>
      </c>
      <c r="I1347" s="4">
        <v>9</v>
      </c>
      <c r="J1347" s="1">
        <v>45538</v>
      </c>
      <c r="K1347" s="2">
        <v>3.9506944444444449E-2</v>
      </c>
      <c r="M1347" s="4" t="str">
        <f t="shared" ref="M1347:M1410" si="63">IF(C1347&gt;35,"HIGH","LOW")</f>
        <v>LOW</v>
      </c>
      <c r="N1347" s="4" t="str" cm="1">
        <f t="array" ref="N1347">_xlfn.IFS(C1347&gt;35,"HIGH",C1347&gt;25,"MIDDLE",TRUE,"LOW")</f>
        <v>LOW</v>
      </c>
      <c r="O1347" s="4" t="str">
        <f t="shared" ref="O1347:O1410" si="64">IF(AND(C1347&gt;35,E1347="MORNING"),"PREMINUM MORNING","OTHERS")</f>
        <v>OTHERS</v>
      </c>
      <c r="P1347" s="4" t="str">
        <f t="shared" ref="P1347:P1410" si="65">IF(OR(C1347&gt;35,E1347="MORNING"),"PREMINUM MORNING","OTHERS")</f>
        <v>OTHERS</v>
      </c>
    </row>
    <row r="1348" spans="1:16" x14ac:dyDescent="0.3">
      <c r="A1348" s="4">
        <v>14</v>
      </c>
      <c r="B1348" t="s">
        <v>11</v>
      </c>
      <c r="C1348" s="4">
        <v>27.92</v>
      </c>
      <c r="D1348" t="s">
        <v>19</v>
      </c>
      <c r="E1348" t="s">
        <v>17</v>
      </c>
      <c r="F1348" s="4" t="s">
        <v>27</v>
      </c>
      <c r="G1348" s="4" t="s">
        <v>36</v>
      </c>
      <c r="H1348" s="4">
        <v>2</v>
      </c>
      <c r="I1348" s="4">
        <v>9</v>
      </c>
      <c r="J1348" s="1">
        <v>45538</v>
      </c>
      <c r="K1348" s="2">
        <v>1.0320601851851852E-2</v>
      </c>
      <c r="M1348" s="4" t="str">
        <f t="shared" si="63"/>
        <v>LOW</v>
      </c>
      <c r="N1348" s="4" t="str" cm="1">
        <f t="array" ref="N1348">_xlfn.IFS(C1348&gt;35,"HIGH",C1348&gt;25,"MIDDLE",TRUE,"LOW")</f>
        <v>MIDDLE</v>
      </c>
      <c r="O1348" s="4" t="str">
        <f t="shared" si="64"/>
        <v>OTHERS</v>
      </c>
      <c r="P1348" s="4" t="str">
        <f t="shared" si="65"/>
        <v>OTHERS</v>
      </c>
    </row>
    <row r="1349" spans="1:16" x14ac:dyDescent="0.3">
      <c r="A1349" s="4">
        <v>14</v>
      </c>
      <c r="B1349" t="s">
        <v>11</v>
      </c>
      <c r="C1349" s="4">
        <v>27.92</v>
      </c>
      <c r="D1349" t="s">
        <v>19</v>
      </c>
      <c r="E1349" t="s">
        <v>17</v>
      </c>
      <c r="F1349" s="4" t="s">
        <v>27</v>
      </c>
      <c r="G1349" s="4" t="s">
        <v>36</v>
      </c>
      <c r="H1349" s="4">
        <v>2</v>
      </c>
      <c r="I1349" s="4">
        <v>9</v>
      </c>
      <c r="J1349" s="1">
        <v>45538</v>
      </c>
      <c r="K1349" s="2">
        <v>1.1311342592592592E-2</v>
      </c>
      <c r="M1349" s="4" t="str">
        <f t="shared" si="63"/>
        <v>LOW</v>
      </c>
      <c r="N1349" s="4" t="str" cm="1">
        <f t="array" ref="N1349">_xlfn.IFS(C1349&gt;35,"HIGH",C1349&gt;25,"MIDDLE",TRUE,"LOW")</f>
        <v>MIDDLE</v>
      </c>
      <c r="O1349" s="4" t="str">
        <f t="shared" si="64"/>
        <v>OTHERS</v>
      </c>
      <c r="P1349" s="4" t="str">
        <f t="shared" si="65"/>
        <v>OTHERS</v>
      </c>
    </row>
    <row r="1350" spans="1:16" x14ac:dyDescent="0.3">
      <c r="A1350" s="4">
        <v>18</v>
      </c>
      <c r="B1350" t="s">
        <v>11</v>
      </c>
      <c r="C1350" s="4">
        <v>27.92</v>
      </c>
      <c r="D1350" t="s">
        <v>19</v>
      </c>
      <c r="E1350" t="s">
        <v>20</v>
      </c>
      <c r="F1350" s="4" t="s">
        <v>27</v>
      </c>
      <c r="G1350" s="4" t="s">
        <v>36</v>
      </c>
      <c r="H1350" s="4">
        <v>2</v>
      </c>
      <c r="I1350" s="4">
        <v>9</v>
      </c>
      <c r="J1350" s="1">
        <v>45538</v>
      </c>
      <c r="K1350" s="2">
        <v>3.3734953703703704E-2</v>
      </c>
      <c r="M1350" s="4" t="str">
        <f t="shared" si="63"/>
        <v>LOW</v>
      </c>
      <c r="N1350" s="4" t="str" cm="1">
        <f t="array" ref="N1350">_xlfn.IFS(C1350&gt;35,"HIGH",C1350&gt;25,"MIDDLE",TRUE,"LOW")</f>
        <v>MIDDLE</v>
      </c>
      <c r="O1350" s="4" t="str">
        <f t="shared" si="64"/>
        <v>OTHERS</v>
      </c>
      <c r="P1350" s="4" t="str">
        <f t="shared" si="65"/>
        <v>OTHERS</v>
      </c>
    </row>
    <row r="1351" spans="1:16" x14ac:dyDescent="0.3">
      <c r="A1351" s="4">
        <v>19</v>
      </c>
      <c r="B1351" t="s">
        <v>11</v>
      </c>
      <c r="C1351" s="4">
        <v>32.82</v>
      </c>
      <c r="D1351" t="s">
        <v>12</v>
      </c>
      <c r="E1351" t="s">
        <v>20</v>
      </c>
      <c r="F1351" s="4" t="s">
        <v>27</v>
      </c>
      <c r="G1351" s="4" t="s">
        <v>36</v>
      </c>
      <c r="H1351" s="4">
        <v>2</v>
      </c>
      <c r="I1351" s="4">
        <v>9</v>
      </c>
      <c r="J1351" s="1">
        <v>45538</v>
      </c>
      <c r="K1351" s="2">
        <v>7.7812499999999991E-3</v>
      </c>
      <c r="M1351" s="4" t="str">
        <f t="shared" si="63"/>
        <v>LOW</v>
      </c>
      <c r="N1351" s="4" t="str" cm="1">
        <f t="array" ref="N1351">_xlfn.IFS(C1351&gt;35,"HIGH",C1351&gt;25,"MIDDLE",TRUE,"LOW")</f>
        <v>MIDDLE</v>
      </c>
      <c r="O1351" s="4" t="str">
        <f t="shared" si="64"/>
        <v>OTHERS</v>
      </c>
      <c r="P1351" s="4" t="str">
        <f t="shared" si="65"/>
        <v>OTHERS</v>
      </c>
    </row>
    <row r="1352" spans="1:16" x14ac:dyDescent="0.3">
      <c r="A1352" s="4">
        <v>19</v>
      </c>
      <c r="B1352" t="s">
        <v>11</v>
      </c>
      <c r="C1352" s="4">
        <v>27.92</v>
      </c>
      <c r="D1352" t="s">
        <v>19</v>
      </c>
      <c r="E1352" t="s">
        <v>20</v>
      </c>
      <c r="F1352" s="4" t="s">
        <v>27</v>
      </c>
      <c r="G1352" s="4" t="s">
        <v>36</v>
      </c>
      <c r="H1352" s="4">
        <v>2</v>
      </c>
      <c r="I1352" s="4">
        <v>9</v>
      </c>
      <c r="J1352" s="1">
        <v>45538</v>
      </c>
      <c r="K1352" s="2">
        <v>1.1965277777777778E-2</v>
      </c>
      <c r="M1352" s="4" t="str">
        <f t="shared" si="63"/>
        <v>LOW</v>
      </c>
      <c r="N1352" s="4" t="str" cm="1">
        <f t="array" ref="N1352">_xlfn.IFS(C1352&gt;35,"HIGH",C1352&gt;25,"MIDDLE",TRUE,"LOW")</f>
        <v>MIDDLE</v>
      </c>
      <c r="O1352" s="4" t="str">
        <f t="shared" si="64"/>
        <v>OTHERS</v>
      </c>
      <c r="P1352" s="4" t="str">
        <f t="shared" si="65"/>
        <v>OTHERS</v>
      </c>
    </row>
    <row r="1353" spans="1:16" x14ac:dyDescent="0.3">
      <c r="A1353" s="4">
        <v>11</v>
      </c>
      <c r="B1353" t="s">
        <v>11</v>
      </c>
      <c r="C1353" s="4">
        <v>27.92</v>
      </c>
      <c r="D1353" t="s">
        <v>19</v>
      </c>
      <c r="E1353" t="s">
        <v>13</v>
      </c>
      <c r="F1353" s="4" t="s">
        <v>28</v>
      </c>
      <c r="G1353" s="4" t="s">
        <v>36</v>
      </c>
      <c r="H1353" s="4">
        <v>3</v>
      </c>
      <c r="I1353" s="4">
        <v>9</v>
      </c>
      <c r="J1353" s="1">
        <v>45539</v>
      </c>
      <c r="K1353" s="2">
        <v>7.8888888888888897E-3</v>
      </c>
      <c r="M1353" s="4" t="str">
        <f t="shared" si="63"/>
        <v>LOW</v>
      </c>
      <c r="N1353" s="4" t="str" cm="1">
        <f t="array" ref="N1353">_xlfn.IFS(C1353&gt;35,"HIGH",C1353&gt;25,"MIDDLE",TRUE,"LOW")</f>
        <v>MIDDLE</v>
      </c>
      <c r="O1353" s="4" t="str">
        <f t="shared" si="64"/>
        <v>OTHERS</v>
      </c>
      <c r="P1353" s="4" t="str">
        <f t="shared" si="65"/>
        <v>PREMINUM MORNING</v>
      </c>
    </row>
    <row r="1354" spans="1:16" x14ac:dyDescent="0.3">
      <c r="A1354" s="4">
        <v>11</v>
      </c>
      <c r="B1354" t="s">
        <v>11</v>
      </c>
      <c r="C1354" s="4">
        <v>32.82</v>
      </c>
      <c r="D1354" t="s">
        <v>12</v>
      </c>
      <c r="E1354" t="s">
        <v>13</v>
      </c>
      <c r="F1354" s="4" t="s">
        <v>28</v>
      </c>
      <c r="G1354" s="4" t="s">
        <v>36</v>
      </c>
      <c r="H1354" s="4">
        <v>3</v>
      </c>
      <c r="I1354" s="4">
        <v>9</v>
      </c>
      <c r="J1354" s="1">
        <v>45539</v>
      </c>
      <c r="K1354" s="2">
        <v>2.3340277777777776E-2</v>
      </c>
      <c r="M1354" s="4" t="str">
        <f t="shared" si="63"/>
        <v>LOW</v>
      </c>
      <c r="N1354" s="4" t="str" cm="1">
        <f t="array" ref="N1354">_xlfn.IFS(C1354&gt;35,"HIGH",C1354&gt;25,"MIDDLE",TRUE,"LOW")</f>
        <v>MIDDLE</v>
      </c>
      <c r="O1354" s="4" t="str">
        <f t="shared" si="64"/>
        <v>OTHERS</v>
      </c>
      <c r="P1354" s="4" t="str">
        <f t="shared" si="65"/>
        <v>PREMINUM MORNING</v>
      </c>
    </row>
    <row r="1355" spans="1:16" x14ac:dyDescent="0.3">
      <c r="A1355" s="4">
        <v>11</v>
      </c>
      <c r="B1355" t="s">
        <v>11</v>
      </c>
      <c r="C1355" s="4">
        <v>23.02</v>
      </c>
      <c r="D1355" t="s">
        <v>18</v>
      </c>
      <c r="E1355" t="s">
        <v>13</v>
      </c>
      <c r="F1355" s="4" t="s">
        <v>28</v>
      </c>
      <c r="G1355" s="4" t="s">
        <v>36</v>
      </c>
      <c r="H1355" s="4">
        <v>3</v>
      </c>
      <c r="I1355" s="4">
        <v>9</v>
      </c>
      <c r="J1355" s="1">
        <v>45539</v>
      </c>
      <c r="K1355" s="2">
        <v>3.3373842592592594E-2</v>
      </c>
      <c r="M1355" s="4" t="str">
        <f t="shared" si="63"/>
        <v>LOW</v>
      </c>
      <c r="N1355" s="4" t="str" cm="1">
        <f t="array" ref="N1355">_xlfn.IFS(C1355&gt;35,"HIGH",C1355&gt;25,"MIDDLE",TRUE,"LOW")</f>
        <v>LOW</v>
      </c>
      <c r="O1355" s="4" t="str">
        <f t="shared" si="64"/>
        <v>OTHERS</v>
      </c>
      <c r="P1355" s="4" t="str">
        <f t="shared" si="65"/>
        <v>PREMINUM MORNING</v>
      </c>
    </row>
    <row r="1356" spans="1:16" x14ac:dyDescent="0.3">
      <c r="A1356" s="4">
        <v>11</v>
      </c>
      <c r="B1356" t="s">
        <v>11</v>
      </c>
      <c r="C1356" s="4">
        <v>27.92</v>
      </c>
      <c r="D1356" t="s">
        <v>19</v>
      </c>
      <c r="E1356" t="s">
        <v>13</v>
      </c>
      <c r="F1356" s="4" t="s">
        <v>28</v>
      </c>
      <c r="G1356" s="4" t="s">
        <v>36</v>
      </c>
      <c r="H1356" s="4">
        <v>3</v>
      </c>
      <c r="I1356" s="4">
        <v>9</v>
      </c>
      <c r="J1356" s="1">
        <v>45539</v>
      </c>
      <c r="K1356" s="2">
        <v>3.8593750000000003E-2</v>
      </c>
      <c r="M1356" s="4" t="str">
        <f t="shared" si="63"/>
        <v>LOW</v>
      </c>
      <c r="N1356" s="4" t="str" cm="1">
        <f t="array" ref="N1356">_xlfn.IFS(C1356&gt;35,"HIGH",C1356&gt;25,"MIDDLE",TRUE,"LOW")</f>
        <v>MIDDLE</v>
      </c>
      <c r="O1356" s="4" t="str">
        <f t="shared" si="64"/>
        <v>OTHERS</v>
      </c>
      <c r="P1356" s="4" t="str">
        <f t="shared" si="65"/>
        <v>PREMINUM MORNING</v>
      </c>
    </row>
    <row r="1357" spans="1:16" x14ac:dyDescent="0.3">
      <c r="A1357" s="4">
        <v>12</v>
      </c>
      <c r="B1357" t="s">
        <v>11</v>
      </c>
      <c r="C1357" s="4">
        <v>32.82</v>
      </c>
      <c r="D1357" t="s">
        <v>12</v>
      </c>
      <c r="E1357" t="s">
        <v>17</v>
      </c>
      <c r="F1357" s="4" t="s">
        <v>28</v>
      </c>
      <c r="G1357" s="4" t="s">
        <v>36</v>
      </c>
      <c r="H1357" s="4">
        <v>3</v>
      </c>
      <c r="I1357" s="4">
        <v>9</v>
      </c>
      <c r="J1357" s="1">
        <v>45539</v>
      </c>
      <c r="K1357" s="2">
        <v>3.7167824074074075E-2</v>
      </c>
      <c r="M1357" s="4" t="str">
        <f t="shared" si="63"/>
        <v>LOW</v>
      </c>
      <c r="N1357" s="4" t="str" cm="1">
        <f t="array" ref="N1357">_xlfn.IFS(C1357&gt;35,"HIGH",C1357&gt;25,"MIDDLE",TRUE,"LOW")</f>
        <v>MIDDLE</v>
      </c>
      <c r="O1357" s="4" t="str">
        <f t="shared" si="64"/>
        <v>OTHERS</v>
      </c>
      <c r="P1357" s="4" t="str">
        <f t="shared" si="65"/>
        <v>OTHERS</v>
      </c>
    </row>
    <row r="1358" spans="1:16" x14ac:dyDescent="0.3">
      <c r="A1358" s="4">
        <v>13</v>
      </c>
      <c r="B1358" t="s">
        <v>11</v>
      </c>
      <c r="C1358" s="4">
        <v>32.82</v>
      </c>
      <c r="D1358" t="s">
        <v>12</v>
      </c>
      <c r="E1358" t="s">
        <v>17</v>
      </c>
      <c r="F1358" s="4" t="s">
        <v>28</v>
      </c>
      <c r="G1358" s="4" t="s">
        <v>36</v>
      </c>
      <c r="H1358" s="4">
        <v>3</v>
      </c>
      <c r="I1358" s="4">
        <v>9</v>
      </c>
      <c r="J1358" s="1">
        <v>45539</v>
      </c>
      <c r="K1358" s="2">
        <v>2.6689814814814814E-3</v>
      </c>
      <c r="M1358" s="4" t="str">
        <f t="shared" si="63"/>
        <v>LOW</v>
      </c>
      <c r="N1358" s="4" t="str" cm="1">
        <f t="array" ref="N1358">_xlfn.IFS(C1358&gt;35,"HIGH",C1358&gt;25,"MIDDLE",TRUE,"LOW")</f>
        <v>MIDDLE</v>
      </c>
      <c r="O1358" s="4" t="str">
        <f t="shared" si="64"/>
        <v>OTHERS</v>
      </c>
      <c r="P1358" s="4" t="str">
        <f t="shared" si="65"/>
        <v>OTHERS</v>
      </c>
    </row>
    <row r="1359" spans="1:16" x14ac:dyDescent="0.3">
      <c r="A1359" s="4">
        <v>13</v>
      </c>
      <c r="B1359" t="s">
        <v>11</v>
      </c>
      <c r="C1359" s="4">
        <v>27.92</v>
      </c>
      <c r="D1359" t="s">
        <v>19</v>
      </c>
      <c r="E1359" t="s">
        <v>17</v>
      </c>
      <c r="F1359" s="4" t="s">
        <v>28</v>
      </c>
      <c r="G1359" s="4" t="s">
        <v>36</v>
      </c>
      <c r="H1359" s="4">
        <v>3</v>
      </c>
      <c r="I1359" s="4">
        <v>9</v>
      </c>
      <c r="J1359" s="1">
        <v>45539</v>
      </c>
      <c r="K1359" s="2">
        <v>3.658564814814815E-3</v>
      </c>
      <c r="M1359" s="4" t="str">
        <f t="shared" si="63"/>
        <v>LOW</v>
      </c>
      <c r="N1359" s="4" t="str" cm="1">
        <f t="array" ref="N1359">_xlfn.IFS(C1359&gt;35,"HIGH",C1359&gt;25,"MIDDLE",TRUE,"LOW")</f>
        <v>MIDDLE</v>
      </c>
      <c r="O1359" s="4" t="str">
        <f t="shared" si="64"/>
        <v>OTHERS</v>
      </c>
      <c r="P1359" s="4" t="str">
        <f t="shared" si="65"/>
        <v>OTHERS</v>
      </c>
    </row>
    <row r="1360" spans="1:16" x14ac:dyDescent="0.3">
      <c r="A1360" s="4">
        <v>18</v>
      </c>
      <c r="B1360" t="s">
        <v>11</v>
      </c>
      <c r="C1360" s="4">
        <v>32.82</v>
      </c>
      <c r="D1360" t="s">
        <v>29</v>
      </c>
      <c r="E1360" t="s">
        <v>20</v>
      </c>
      <c r="F1360" s="4" t="s">
        <v>28</v>
      </c>
      <c r="G1360" s="4" t="s">
        <v>36</v>
      </c>
      <c r="H1360" s="4">
        <v>3</v>
      </c>
      <c r="I1360" s="4">
        <v>9</v>
      </c>
      <c r="J1360" s="1">
        <v>45539</v>
      </c>
      <c r="K1360" s="2">
        <v>2.6261574074074073E-3</v>
      </c>
      <c r="M1360" s="4" t="str">
        <f t="shared" si="63"/>
        <v>LOW</v>
      </c>
      <c r="N1360" s="4" t="str" cm="1">
        <f t="array" ref="N1360">_xlfn.IFS(C1360&gt;35,"HIGH",C1360&gt;25,"MIDDLE",TRUE,"LOW")</f>
        <v>MIDDLE</v>
      </c>
      <c r="O1360" s="4" t="str">
        <f t="shared" si="64"/>
        <v>OTHERS</v>
      </c>
      <c r="P1360" s="4" t="str">
        <f t="shared" si="65"/>
        <v>OTHERS</v>
      </c>
    </row>
    <row r="1361" spans="1:16" x14ac:dyDescent="0.3">
      <c r="A1361" s="4">
        <v>19</v>
      </c>
      <c r="B1361" t="s">
        <v>11</v>
      </c>
      <c r="C1361" s="4">
        <v>27.92</v>
      </c>
      <c r="D1361" t="s">
        <v>19</v>
      </c>
      <c r="E1361" t="s">
        <v>20</v>
      </c>
      <c r="F1361" s="4" t="s">
        <v>28</v>
      </c>
      <c r="G1361" s="4" t="s">
        <v>36</v>
      </c>
      <c r="H1361" s="4">
        <v>3</v>
      </c>
      <c r="I1361" s="4">
        <v>9</v>
      </c>
      <c r="J1361" s="1">
        <v>45539</v>
      </c>
      <c r="K1361" s="2">
        <v>2.8958333333333332E-2</v>
      </c>
      <c r="M1361" s="4" t="str">
        <f t="shared" si="63"/>
        <v>LOW</v>
      </c>
      <c r="N1361" s="4" t="str" cm="1">
        <f t="array" ref="N1361">_xlfn.IFS(C1361&gt;35,"HIGH",C1361&gt;25,"MIDDLE",TRUE,"LOW")</f>
        <v>MIDDLE</v>
      </c>
      <c r="O1361" s="4" t="str">
        <f t="shared" si="64"/>
        <v>OTHERS</v>
      </c>
      <c r="P1361" s="4" t="str">
        <f t="shared" si="65"/>
        <v>OTHERS</v>
      </c>
    </row>
    <row r="1362" spans="1:16" x14ac:dyDescent="0.3">
      <c r="A1362" s="4">
        <v>21</v>
      </c>
      <c r="B1362" t="s">
        <v>11</v>
      </c>
      <c r="C1362" s="4">
        <v>32.82</v>
      </c>
      <c r="D1362" t="s">
        <v>12</v>
      </c>
      <c r="E1362" t="s">
        <v>20</v>
      </c>
      <c r="F1362" s="4" t="s">
        <v>28</v>
      </c>
      <c r="G1362" s="4" t="s">
        <v>36</v>
      </c>
      <c r="H1362" s="4">
        <v>3</v>
      </c>
      <c r="I1362" s="4">
        <v>9</v>
      </c>
      <c r="J1362" s="1">
        <v>45539</v>
      </c>
      <c r="K1362" s="2">
        <v>1.360648148148148E-2</v>
      </c>
      <c r="M1362" s="4" t="str">
        <f t="shared" si="63"/>
        <v>LOW</v>
      </c>
      <c r="N1362" s="4" t="str" cm="1">
        <f t="array" ref="N1362">_xlfn.IFS(C1362&gt;35,"HIGH",C1362&gt;25,"MIDDLE",TRUE,"LOW")</f>
        <v>MIDDLE</v>
      </c>
      <c r="O1362" s="4" t="str">
        <f t="shared" si="64"/>
        <v>OTHERS</v>
      </c>
      <c r="P1362" s="4" t="str">
        <f t="shared" si="65"/>
        <v>OTHERS</v>
      </c>
    </row>
    <row r="1363" spans="1:16" x14ac:dyDescent="0.3">
      <c r="A1363" s="4">
        <v>9</v>
      </c>
      <c r="B1363" t="s">
        <v>11</v>
      </c>
      <c r="C1363" s="4">
        <v>27.92</v>
      </c>
      <c r="D1363" t="s">
        <v>19</v>
      </c>
      <c r="E1363" t="s">
        <v>13</v>
      </c>
      <c r="F1363" s="4" t="s">
        <v>30</v>
      </c>
      <c r="G1363" s="4" t="s">
        <v>36</v>
      </c>
      <c r="H1363" s="4">
        <v>4</v>
      </c>
      <c r="I1363" s="4">
        <v>9</v>
      </c>
      <c r="J1363" s="1">
        <v>45540</v>
      </c>
      <c r="K1363" s="2">
        <v>2.1724537037037039E-2</v>
      </c>
      <c r="M1363" s="4" t="str">
        <f t="shared" si="63"/>
        <v>LOW</v>
      </c>
      <c r="N1363" s="4" t="str" cm="1">
        <f t="array" ref="N1363">_xlfn.IFS(C1363&gt;35,"HIGH",C1363&gt;25,"MIDDLE",TRUE,"LOW")</f>
        <v>MIDDLE</v>
      </c>
      <c r="O1363" s="4" t="str">
        <f t="shared" si="64"/>
        <v>OTHERS</v>
      </c>
      <c r="P1363" s="4" t="str">
        <f t="shared" si="65"/>
        <v>PREMINUM MORNING</v>
      </c>
    </row>
    <row r="1364" spans="1:16" x14ac:dyDescent="0.3">
      <c r="A1364" s="4">
        <v>10</v>
      </c>
      <c r="B1364" t="s">
        <v>11</v>
      </c>
      <c r="C1364" s="4">
        <v>27.92</v>
      </c>
      <c r="D1364" t="s">
        <v>19</v>
      </c>
      <c r="E1364" t="s">
        <v>13</v>
      </c>
      <c r="F1364" s="4" t="s">
        <v>30</v>
      </c>
      <c r="G1364" s="4" t="s">
        <v>36</v>
      </c>
      <c r="H1364" s="4">
        <v>4</v>
      </c>
      <c r="I1364" s="4">
        <v>9</v>
      </c>
      <c r="J1364" s="1">
        <v>45540</v>
      </c>
      <c r="K1364" s="2">
        <v>2.0094907407407409E-2</v>
      </c>
      <c r="M1364" s="4" t="str">
        <f t="shared" si="63"/>
        <v>LOW</v>
      </c>
      <c r="N1364" s="4" t="str" cm="1">
        <f t="array" ref="N1364">_xlfn.IFS(C1364&gt;35,"HIGH",C1364&gt;25,"MIDDLE",TRUE,"LOW")</f>
        <v>MIDDLE</v>
      </c>
      <c r="O1364" s="4" t="str">
        <f t="shared" si="64"/>
        <v>OTHERS</v>
      </c>
      <c r="P1364" s="4" t="str">
        <f t="shared" si="65"/>
        <v>PREMINUM MORNING</v>
      </c>
    </row>
    <row r="1365" spans="1:16" x14ac:dyDescent="0.3">
      <c r="A1365" s="4">
        <v>11</v>
      </c>
      <c r="B1365" t="s">
        <v>11</v>
      </c>
      <c r="C1365" s="4">
        <v>23.02</v>
      </c>
      <c r="D1365" t="s">
        <v>18</v>
      </c>
      <c r="E1365" t="s">
        <v>13</v>
      </c>
      <c r="F1365" s="4" t="s">
        <v>30</v>
      </c>
      <c r="G1365" s="4" t="s">
        <v>36</v>
      </c>
      <c r="H1365" s="4">
        <v>4</v>
      </c>
      <c r="I1365" s="4">
        <v>9</v>
      </c>
      <c r="J1365" s="1">
        <v>45540</v>
      </c>
      <c r="K1365" s="2">
        <v>4.5208333333333333E-3</v>
      </c>
      <c r="M1365" s="4" t="str">
        <f t="shared" si="63"/>
        <v>LOW</v>
      </c>
      <c r="N1365" s="4" t="str" cm="1">
        <f t="array" ref="N1365">_xlfn.IFS(C1365&gt;35,"HIGH",C1365&gt;25,"MIDDLE",TRUE,"LOW")</f>
        <v>LOW</v>
      </c>
      <c r="O1365" s="4" t="str">
        <f t="shared" si="64"/>
        <v>OTHERS</v>
      </c>
      <c r="P1365" s="4" t="str">
        <f t="shared" si="65"/>
        <v>PREMINUM MORNING</v>
      </c>
    </row>
    <row r="1366" spans="1:16" x14ac:dyDescent="0.3">
      <c r="A1366" s="4">
        <v>14</v>
      </c>
      <c r="B1366" t="s">
        <v>11</v>
      </c>
      <c r="C1366" s="4">
        <v>32.82</v>
      </c>
      <c r="D1366" t="s">
        <v>12</v>
      </c>
      <c r="E1366" t="s">
        <v>17</v>
      </c>
      <c r="F1366" s="4" t="s">
        <v>30</v>
      </c>
      <c r="G1366" s="4" t="s">
        <v>36</v>
      </c>
      <c r="H1366" s="4">
        <v>4</v>
      </c>
      <c r="I1366" s="4">
        <v>9</v>
      </c>
      <c r="J1366" s="1">
        <v>45540</v>
      </c>
      <c r="K1366" s="2">
        <v>3.2060185185185186E-4</v>
      </c>
      <c r="M1366" s="4" t="str">
        <f t="shared" si="63"/>
        <v>LOW</v>
      </c>
      <c r="N1366" s="4" t="str" cm="1">
        <f t="array" ref="N1366">_xlfn.IFS(C1366&gt;35,"HIGH",C1366&gt;25,"MIDDLE",TRUE,"LOW")</f>
        <v>MIDDLE</v>
      </c>
      <c r="O1366" s="4" t="str">
        <f t="shared" si="64"/>
        <v>OTHERS</v>
      </c>
      <c r="P1366" s="4" t="str">
        <f t="shared" si="65"/>
        <v>OTHERS</v>
      </c>
    </row>
    <row r="1367" spans="1:16" x14ac:dyDescent="0.3">
      <c r="A1367" s="4">
        <v>15</v>
      </c>
      <c r="B1367" t="s">
        <v>11</v>
      </c>
      <c r="C1367" s="4">
        <v>32.82</v>
      </c>
      <c r="D1367" t="s">
        <v>12</v>
      </c>
      <c r="E1367" t="s">
        <v>17</v>
      </c>
      <c r="F1367" s="4" t="s">
        <v>30</v>
      </c>
      <c r="G1367" s="4" t="s">
        <v>36</v>
      </c>
      <c r="H1367" s="4">
        <v>4</v>
      </c>
      <c r="I1367" s="4">
        <v>9</v>
      </c>
      <c r="J1367" s="1">
        <v>45540</v>
      </c>
      <c r="K1367" s="2">
        <v>1.7503472222222222E-2</v>
      </c>
      <c r="M1367" s="4" t="str">
        <f t="shared" si="63"/>
        <v>LOW</v>
      </c>
      <c r="N1367" s="4" t="str" cm="1">
        <f t="array" ref="N1367">_xlfn.IFS(C1367&gt;35,"HIGH",C1367&gt;25,"MIDDLE",TRUE,"LOW")</f>
        <v>MIDDLE</v>
      </c>
      <c r="O1367" s="4" t="str">
        <f t="shared" si="64"/>
        <v>OTHERS</v>
      </c>
      <c r="P1367" s="4" t="str">
        <f t="shared" si="65"/>
        <v>OTHERS</v>
      </c>
    </row>
    <row r="1368" spans="1:16" x14ac:dyDescent="0.3">
      <c r="A1368" s="4">
        <v>16</v>
      </c>
      <c r="B1368" t="s">
        <v>11</v>
      </c>
      <c r="C1368" s="4">
        <v>23.02</v>
      </c>
      <c r="D1368" t="s">
        <v>18</v>
      </c>
      <c r="E1368" t="s">
        <v>17</v>
      </c>
      <c r="F1368" s="4" t="s">
        <v>30</v>
      </c>
      <c r="G1368" s="4" t="s">
        <v>36</v>
      </c>
      <c r="H1368" s="4">
        <v>4</v>
      </c>
      <c r="I1368" s="4">
        <v>9</v>
      </c>
      <c r="J1368" s="1">
        <v>45540</v>
      </c>
      <c r="K1368" s="2">
        <v>2.6972222222222224E-2</v>
      </c>
      <c r="M1368" s="4" t="str">
        <f t="shared" si="63"/>
        <v>LOW</v>
      </c>
      <c r="N1368" s="4" t="str" cm="1">
        <f t="array" ref="N1368">_xlfn.IFS(C1368&gt;35,"HIGH",C1368&gt;25,"MIDDLE",TRUE,"LOW")</f>
        <v>LOW</v>
      </c>
      <c r="O1368" s="4" t="str">
        <f t="shared" si="64"/>
        <v>OTHERS</v>
      </c>
      <c r="P1368" s="4" t="str">
        <f t="shared" si="65"/>
        <v>OTHERS</v>
      </c>
    </row>
    <row r="1369" spans="1:16" x14ac:dyDescent="0.3">
      <c r="A1369" s="4">
        <v>16</v>
      </c>
      <c r="B1369" t="s">
        <v>11</v>
      </c>
      <c r="C1369" s="4">
        <v>27.92</v>
      </c>
      <c r="D1369" t="s">
        <v>19</v>
      </c>
      <c r="E1369" t="s">
        <v>17</v>
      </c>
      <c r="F1369" s="4" t="s">
        <v>30</v>
      </c>
      <c r="G1369" s="4" t="s">
        <v>36</v>
      </c>
      <c r="H1369" s="4">
        <v>4</v>
      </c>
      <c r="I1369" s="4">
        <v>9</v>
      </c>
      <c r="J1369" s="1">
        <v>45540</v>
      </c>
      <c r="K1369" s="2">
        <v>2.7773148148148148E-2</v>
      </c>
      <c r="M1369" s="4" t="str">
        <f t="shared" si="63"/>
        <v>LOW</v>
      </c>
      <c r="N1369" s="4" t="str" cm="1">
        <f t="array" ref="N1369">_xlfn.IFS(C1369&gt;35,"HIGH",C1369&gt;25,"MIDDLE",TRUE,"LOW")</f>
        <v>MIDDLE</v>
      </c>
      <c r="O1369" s="4" t="str">
        <f t="shared" si="64"/>
        <v>OTHERS</v>
      </c>
      <c r="P1369" s="4" t="str">
        <f t="shared" si="65"/>
        <v>OTHERS</v>
      </c>
    </row>
    <row r="1370" spans="1:16" x14ac:dyDescent="0.3">
      <c r="A1370" s="4">
        <v>17</v>
      </c>
      <c r="B1370" t="s">
        <v>11</v>
      </c>
      <c r="C1370" s="4">
        <v>32.82</v>
      </c>
      <c r="D1370" t="s">
        <v>29</v>
      </c>
      <c r="E1370" t="s">
        <v>20</v>
      </c>
      <c r="F1370" s="4" t="s">
        <v>30</v>
      </c>
      <c r="G1370" s="4" t="s">
        <v>36</v>
      </c>
      <c r="H1370" s="4">
        <v>4</v>
      </c>
      <c r="I1370" s="4">
        <v>9</v>
      </c>
      <c r="J1370" s="1">
        <v>45540</v>
      </c>
      <c r="K1370" s="2">
        <v>3.1122685185185181E-3</v>
      </c>
      <c r="M1370" s="4" t="str">
        <f t="shared" si="63"/>
        <v>LOW</v>
      </c>
      <c r="N1370" s="4" t="str" cm="1">
        <f t="array" ref="N1370">_xlfn.IFS(C1370&gt;35,"HIGH",C1370&gt;25,"MIDDLE",TRUE,"LOW")</f>
        <v>MIDDLE</v>
      </c>
      <c r="O1370" s="4" t="str">
        <f t="shared" si="64"/>
        <v>OTHERS</v>
      </c>
      <c r="P1370" s="4" t="str">
        <f t="shared" si="65"/>
        <v>OTHERS</v>
      </c>
    </row>
    <row r="1371" spans="1:16" x14ac:dyDescent="0.3">
      <c r="A1371" s="4">
        <v>17</v>
      </c>
      <c r="B1371" t="s">
        <v>11</v>
      </c>
      <c r="C1371" s="4">
        <v>32.82</v>
      </c>
      <c r="D1371" t="s">
        <v>29</v>
      </c>
      <c r="E1371" t="s">
        <v>20</v>
      </c>
      <c r="F1371" s="4" t="s">
        <v>30</v>
      </c>
      <c r="G1371" s="4" t="s">
        <v>36</v>
      </c>
      <c r="H1371" s="4">
        <v>4</v>
      </c>
      <c r="I1371" s="4">
        <v>9</v>
      </c>
      <c r="J1371" s="1">
        <v>45540</v>
      </c>
      <c r="K1371" s="2">
        <v>3.8391203703703703E-3</v>
      </c>
      <c r="M1371" s="4" t="str">
        <f t="shared" si="63"/>
        <v>LOW</v>
      </c>
      <c r="N1371" s="4" t="str" cm="1">
        <f t="array" ref="N1371">_xlfn.IFS(C1371&gt;35,"HIGH",C1371&gt;25,"MIDDLE",TRUE,"LOW")</f>
        <v>MIDDLE</v>
      </c>
      <c r="O1371" s="4" t="str">
        <f t="shared" si="64"/>
        <v>OTHERS</v>
      </c>
      <c r="P1371" s="4" t="str">
        <f t="shared" si="65"/>
        <v>OTHERS</v>
      </c>
    </row>
    <row r="1372" spans="1:16" x14ac:dyDescent="0.3">
      <c r="A1372" s="4">
        <v>20</v>
      </c>
      <c r="B1372" t="s">
        <v>11</v>
      </c>
      <c r="C1372" s="4">
        <v>32.82</v>
      </c>
      <c r="D1372" t="s">
        <v>29</v>
      </c>
      <c r="E1372" t="s">
        <v>20</v>
      </c>
      <c r="F1372" s="4" t="s">
        <v>30</v>
      </c>
      <c r="G1372" s="4" t="s">
        <v>36</v>
      </c>
      <c r="H1372" s="4">
        <v>4</v>
      </c>
      <c r="I1372" s="4">
        <v>9</v>
      </c>
      <c r="J1372" s="1">
        <v>45540</v>
      </c>
      <c r="K1372" s="2">
        <v>2.1006944444444446E-2</v>
      </c>
      <c r="M1372" s="4" t="str">
        <f t="shared" si="63"/>
        <v>LOW</v>
      </c>
      <c r="N1372" s="4" t="str" cm="1">
        <f t="array" ref="N1372">_xlfn.IFS(C1372&gt;35,"HIGH",C1372&gt;25,"MIDDLE",TRUE,"LOW")</f>
        <v>MIDDLE</v>
      </c>
      <c r="O1372" s="4" t="str">
        <f t="shared" si="64"/>
        <v>OTHERS</v>
      </c>
      <c r="P1372" s="4" t="str">
        <f t="shared" si="65"/>
        <v>OTHERS</v>
      </c>
    </row>
    <row r="1373" spans="1:16" x14ac:dyDescent="0.3">
      <c r="A1373" s="4">
        <v>20</v>
      </c>
      <c r="B1373" t="s">
        <v>11</v>
      </c>
      <c r="C1373" s="4">
        <v>23.02</v>
      </c>
      <c r="D1373" t="s">
        <v>18</v>
      </c>
      <c r="E1373" t="s">
        <v>20</v>
      </c>
      <c r="F1373" s="4" t="s">
        <v>30</v>
      </c>
      <c r="G1373" s="4" t="s">
        <v>36</v>
      </c>
      <c r="H1373" s="4">
        <v>4</v>
      </c>
      <c r="I1373" s="4">
        <v>9</v>
      </c>
      <c r="J1373" s="1">
        <v>45540</v>
      </c>
      <c r="K1373" s="2">
        <v>3.778240740740741E-2</v>
      </c>
      <c r="M1373" s="4" t="str">
        <f t="shared" si="63"/>
        <v>LOW</v>
      </c>
      <c r="N1373" s="4" t="str" cm="1">
        <f t="array" ref="N1373">_xlfn.IFS(C1373&gt;35,"HIGH",C1373&gt;25,"MIDDLE",TRUE,"LOW")</f>
        <v>LOW</v>
      </c>
      <c r="O1373" s="4" t="str">
        <f t="shared" si="64"/>
        <v>OTHERS</v>
      </c>
      <c r="P1373" s="4" t="str">
        <f t="shared" si="65"/>
        <v>OTHERS</v>
      </c>
    </row>
    <row r="1374" spans="1:16" x14ac:dyDescent="0.3">
      <c r="A1374" s="4">
        <v>20</v>
      </c>
      <c r="B1374" t="s">
        <v>11</v>
      </c>
      <c r="C1374" s="4">
        <v>32.82</v>
      </c>
      <c r="D1374" t="s">
        <v>29</v>
      </c>
      <c r="E1374" t="s">
        <v>20</v>
      </c>
      <c r="F1374" s="4" t="s">
        <v>30</v>
      </c>
      <c r="G1374" s="4" t="s">
        <v>36</v>
      </c>
      <c r="H1374" s="4">
        <v>4</v>
      </c>
      <c r="I1374" s="4">
        <v>9</v>
      </c>
      <c r="J1374" s="1">
        <v>45540</v>
      </c>
      <c r="K1374" s="2">
        <v>3.8557870370370374E-2</v>
      </c>
      <c r="M1374" s="4" t="str">
        <f t="shared" si="63"/>
        <v>LOW</v>
      </c>
      <c r="N1374" s="4" t="str" cm="1">
        <f t="array" ref="N1374">_xlfn.IFS(C1374&gt;35,"HIGH",C1374&gt;25,"MIDDLE",TRUE,"LOW")</f>
        <v>MIDDLE</v>
      </c>
      <c r="O1374" s="4" t="str">
        <f t="shared" si="64"/>
        <v>OTHERS</v>
      </c>
      <c r="P1374" s="4" t="str">
        <f t="shared" si="65"/>
        <v>OTHERS</v>
      </c>
    </row>
    <row r="1375" spans="1:16" x14ac:dyDescent="0.3">
      <c r="A1375" s="4">
        <v>21</v>
      </c>
      <c r="B1375" t="s">
        <v>11</v>
      </c>
      <c r="C1375" s="4">
        <v>27.92</v>
      </c>
      <c r="D1375" t="s">
        <v>19</v>
      </c>
      <c r="E1375" t="s">
        <v>20</v>
      </c>
      <c r="F1375" s="4" t="s">
        <v>30</v>
      </c>
      <c r="G1375" s="4" t="s">
        <v>36</v>
      </c>
      <c r="H1375" s="4">
        <v>4</v>
      </c>
      <c r="I1375" s="4">
        <v>9</v>
      </c>
      <c r="J1375" s="1">
        <v>45540</v>
      </c>
      <c r="K1375" s="2">
        <v>1.8388888888888889E-2</v>
      </c>
      <c r="M1375" s="4" t="str">
        <f t="shared" si="63"/>
        <v>LOW</v>
      </c>
      <c r="N1375" s="4" t="str" cm="1">
        <f t="array" ref="N1375">_xlfn.IFS(C1375&gt;35,"HIGH",C1375&gt;25,"MIDDLE",TRUE,"LOW")</f>
        <v>MIDDLE</v>
      </c>
      <c r="O1375" s="4" t="str">
        <f t="shared" si="64"/>
        <v>OTHERS</v>
      </c>
      <c r="P1375" s="4" t="str">
        <f t="shared" si="65"/>
        <v>OTHERS</v>
      </c>
    </row>
    <row r="1376" spans="1:16" x14ac:dyDescent="0.3">
      <c r="A1376" s="4">
        <v>21</v>
      </c>
      <c r="B1376" t="s">
        <v>11</v>
      </c>
      <c r="C1376" s="4">
        <v>27.92</v>
      </c>
      <c r="D1376" t="s">
        <v>19</v>
      </c>
      <c r="E1376" t="s">
        <v>20</v>
      </c>
      <c r="F1376" s="4" t="s">
        <v>30</v>
      </c>
      <c r="G1376" s="4" t="s">
        <v>36</v>
      </c>
      <c r="H1376" s="4">
        <v>4</v>
      </c>
      <c r="I1376" s="4">
        <v>9</v>
      </c>
      <c r="J1376" s="1">
        <v>45540</v>
      </c>
      <c r="K1376" s="2">
        <v>1.9097222222222224E-2</v>
      </c>
      <c r="M1376" s="4" t="str">
        <f t="shared" si="63"/>
        <v>LOW</v>
      </c>
      <c r="N1376" s="4" t="str" cm="1">
        <f t="array" ref="N1376">_xlfn.IFS(C1376&gt;35,"HIGH",C1376&gt;25,"MIDDLE",TRUE,"LOW")</f>
        <v>MIDDLE</v>
      </c>
      <c r="O1376" s="4" t="str">
        <f t="shared" si="64"/>
        <v>OTHERS</v>
      </c>
      <c r="P1376" s="4" t="str">
        <f t="shared" si="65"/>
        <v>OTHERS</v>
      </c>
    </row>
    <row r="1377" spans="1:16" x14ac:dyDescent="0.3">
      <c r="A1377" s="4">
        <v>8</v>
      </c>
      <c r="B1377" t="s">
        <v>11</v>
      </c>
      <c r="C1377" s="4">
        <v>32.82</v>
      </c>
      <c r="D1377" t="s">
        <v>29</v>
      </c>
      <c r="E1377" t="s">
        <v>13</v>
      </c>
      <c r="F1377" s="4" t="s">
        <v>14</v>
      </c>
      <c r="G1377" s="4" t="s">
        <v>36</v>
      </c>
      <c r="H1377" s="4">
        <v>5</v>
      </c>
      <c r="I1377" s="4">
        <v>9</v>
      </c>
      <c r="J1377" s="1">
        <v>45541</v>
      </c>
      <c r="K1377" s="2">
        <v>1.7753472222222223E-2</v>
      </c>
      <c r="M1377" s="4" t="str">
        <f t="shared" si="63"/>
        <v>LOW</v>
      </c>
      <c r="N1377" s="4" t="str" cm="1">
        <f t="array" ref="N1377">_xlfn.IFS(C1377&gt;35,"HIGH",C1377&gt;25,"MIDDLE",TRUE,"LOW")</f>
        <v>MIDDLE</v>
      </c>
      <c r="O1377" s="4" t="str">
        <f t="shared" si="64"/>
        <v>OTHERS</v>
      </c>
      <c r="P1377" s="4" t="str">
        <f t="shared" si="65"/>
        <v>PREMINUM MORNING</v>
      </c>
    </row>
    <row r="1378" spans="1:16" x14ac:dyDescent="0.3">
      <c r="A1378" s="4">
        <v>8</v>
      </c>
      <c r="B1378" t="s">
        <v>11</v>
      </c>
      <c r="C1378" s="4">
        <v>32.82</v>
      </c>
      <c r="D1378" t="s">
        <v>12</v>
      </c>
      <c r="E1378" t="s">
        <v>13</v>
      </c>
      <c r="F1378" s="4" t="s">
        <v>14</v>
      </c>
      <c r="G1378" s="4" t="s">
        <v>36</v>
      </c>
      <c r="H1378" s="4">
        <v>5</v>
      </c>
      <c r="I1378" s="4">
        <v>9</v>
      </c>
      <c r="J1378" s="1">
        <v>45541</v>
      </c>
      <c r="K1378" s="2">
        <v>2.415277777777778E-2</v>
      </c>
      <c r="M1378" s="4" t="str">
        <f t="shared" si="63"/>
        <v>LOW</v>
      </c>
      <c r="N1378" s="4" t="str" cm="1">
        <f t="array" ref="N1378">_xlfn.IFS(C1378&gt;35,"HIGH",C1378&gt;25,"MIDDLE",TRUE,"LOW")</f>
        <v>MIDDLE</v>
      </c>
      <c r="O1378" s="4" t="str">
        <f t="shared" si="64"/>
        <v>OTHERS</v>
      </c>
      <c r="P1378" s="4" t="str">
        <f t="shared" si="65"/>
        <v>PREMINUM MORNING</v>
      </c>
    </row>
    <row r="1379" spans="1:16" x14ac:dyDescent="0.3">
      <c r="A1379" s="4">
        <v>8</v>
      </c>
      <c r="B1379" t="s">
        <v>11</v>
      </c>
      <c r="C1379" s="4">
        <v>23.02</v>
      </c>
      <c r="D1379" t="s">
        <v>18</v>
      </c>
      <c r="E1379" t="s">
        <v>13</v>
      </c>
      <c r="F1379" s="4" t="s">
        <v>14</v>
      </c>
      <c r="G1379" s="4" t="s">
        <v>36</v>
      </c>
      <c r="H1379" s="4">
        <v>5</v>
      </c>
      <c r="I1379" s="4">
        <v>9</v>
      </c>
      <c r="J1379" s="1">
        <v>45541</v>
      </c>
      <c r="K1379" s="2">
        <v>3.7984953703703701E-2</v>
      </c>
      <c r="M1379" s="4" t="str">
        <f t="shared" si="63"/>
        <v>LOW</v>
      </c>
      <c r="N1379" s="4" t="str" cm="1">
        <f t="array" ref="N1379">_xlfn.IFS(C1379&gt;35,"HIGH",C1379&gt;25,"MIDDLE",TRUE,"LOW")</f>
        <v>LOW</v>
      </c>
      <c r="O1379" s="4" t="str">
        <f t="shared" si="64"/>
        <v>OTHERS</v>
      </c>
      <c r="P1379" s="4" t="str">
        <f t="shared" si="65"/>
        <v>PREMINUM MORNING</v>
      </c>
    </row>
    <row r="1380" spans="1:16" x14ac:dyDescent="0.3">
      <c r="A1380" s="4">
        <v>9</v>
      </c>
      <c r="B1380" t="s">
        <v>11</v>
      </c>
      <c r="C1380" s="4">
        <v>18.12</v>
      </c>
      <c r="D1380" t="s">
        <v>26</v>
      </c>
      <c r="E1380" t="s">
        <v>13</v>
      </c>
      <c r="F1380" s="4" t="s">
        <v>14</v>
      </c>
      <c r="G1380" s="4" t="s">
        <v>36</v>
      </c>
      <c r="H1380" s="4">
        <v>5</v>
      </c>
      <c r="I1380" s="4">
        <v>9</v>
      </c>
      <c r="J1380" s="1">
        <v>45541</v>
      </c>
      <c r="K1380" s="2">
        <v>3.5184027777777779E-2</v>
      </c>
      <c r="M1380" s="4" t="str">
        <f t="shared" si="63"/>
        <v>LOW</v>
      </c>
      <c r="N1380" s="4" t="str" cm="1">
        <f t="array" ref="N1380">_xlfn.IFS(C1380&gt;35,"HIGH",C1380&gt;25,"MIDDLE",TRUE,"LOW")</f>
        <v>LOW</v>
      </c>
      <c r="O1380" s="4" t="str">
        <f t="shared" si="64"/>
        <v>OTHERS</v>
      </c>
      <c r="P1380" s="4" t="str">
        <f t="shared" si="65"/>
        <v>PREMINUM MORNING</v>
      </c>
    </row>
    <row r="1381" spans="1:16" x14ac:dyDescent="0.3">
      <c r="A1381" s="4">
        <v>9</v>
      </c>
      <c r="B1381" t="s">
        <v>11</v>
      </c>
      <c r="C1381" s="4">
        <v>32.82</v>
      </c>
      <c r="D1381" t="s">
        <v>12</v>
      </c>
      <c r="E1381" t="s">
        <v>13</v>
      </c>
      <c r="F1381" s="4" t="s">
        <v>14</v>
      </c>
      <c r="G1381" s="4" t="s">
        <v>36</v>
      </c>
      <c r="H1381" s="4">
        <v>5</v>
      </c>
      <c r="I1381" s="4">
        <v>9</v>
      </c>
      <c r="J1381" s="1">
        <v>45541</v>
      </c>
      <c r="K1381" s="2">
        <v>3.6020833333333328E-2</v>
      </c>
      <c r="M1381" s="4" t="str">
        <f t="shared" si="63"/>
        <v>LOW</v>
      </c>
      <c r="N1381" s="4" t="str" cm="1">
        <f t="array" ref="N1381">_xlfn.IFS(C1381&gt;35,"HIGH",C1381&gt;25,"MIDDLE",TRUE,"LOW")</f>
        <v>MIDDLE</v>
      </c>
      <c r="O1381" s="4" t="str">
        <f t="shared" si="64"/>
        <v>OTHERS</v>
      </c>
      <c r="P1381" s="4" t="str">
        <f t="shared" si="65"/>
        <v>PREMINUM MORNING</v>
      </c>
    </row>
    <row r="1382" spans="1:16" x14ac:dyDescent="0.3">
      <c r="A1382" s="4">
        <v>10</v>
      </c>
      <c r="B1382" t="s">
        <v>11</v>
      </c>
      <c r="C1382" s="4">
        <v>32.82</v>
      </c>
      <c r="D1382" t="s">
        <v>16</v>
      </c>
      <c r="E1382" t="s">
        <v>13</v>
      </c>
      <c r="F1382" s="4" t="s">
        <v>14</v>
      </c>
      <c r="G1382" s="4" t="s">
        <v>36</v>
      </c>
      <c r="H1382" s="4">
        <v>5</v>
      </c>
      <c r="I1382" s="4">
        <v>9</v>
      </c>
      <c r="J1382" s="1">
        <v>45541</v>
      </c>
      <c r="K1382" s="2">
        <v>2.0902777777777777E-2</v>
      </c>
      <c r="M1382" s="4" t="str">
        <f t="shared" si="63"/>
        <v>LOW</v>
      </c>
      <c r="N1382" s="4" t="str" cm="1">
        <f t="array" ref="N1382">_xlfn.IFS(C1382&gt;35,"HIGH",C1382&gt;25,"MIDDLE",TRUE,"LOW")</f>
        <v>MIDDLE</v>
      </c>
      <c r="O1382" s="4" t="str">
        <f t="shared" si="64"/>
        <v>OTHERS</v>
      </c>
      <c r="P1382" s="4" t="str">
        <f t="shared" si="65"/>
        <v>PREMINUM MORNING</v>
      </c>
    </row>
    <row r="1383" spans="1:16" x14ac:dyDescent="0.3">
      <c r="A1383" s="4">
        <v>11</v>
      </c>
      <c r="B1383" t="s">
        <v>11</v>
      </c>
      <c r="C1383" s="4">
        <v>18.12</v>
      </c>
      <c r="D1383" t="s">
        <v>26</v>
      </c>
      <c r="E1383" t="s">
        <v>13</v>
      </c>
      <c r="F1383" s="4" t="s">
        <v>14</v>
      </c>
      <c r="G1383" s="4" t="s">
        <v>36</v>
      </c>
      <c r="H1383" s="4">
        <v>5</v>
      </c>
      <c r="I1383" s="4">
        <v>9</v>
      </c>
      <c r="J1383" s="1">
        <v>45541</v>
      </c>
      <c r="K1383" s="2">
        <v>1.6266203703703706E-2</v>
      </c>
      <c r="M1383" s="4" t="str">
        <f t="shared" si="63"/>
        <v>LOW</v>
      </c>
      <c r="N1383" s="4" t="str" cm="1">
        <f t="array" ref="N1383">_xlfn.IFS(C1383&gt;35,"HIGH",C1383&gt;25,"MIDDLE",TRUE,"LOW")</f>
        <v>LOW</v>
      </c>
      <c r="O1383" s="4" t="str">
        <f t="shared" si="64"/>
        <v>OTHERS</v>
      </c>
      <c r="P1383" s="4" t="str">
        <f t="shared" si="65"/>
        <v>PREMINUM MORNING</v>
      </c>
    </row>
    <row r="1384" spans="1:16" x14ac:dyDescent="0.3">
      <c r="A1384" s="4">
        <v>11</v>
      </c>
      <c r="B1384" t="s">
        <v>11</v>
      </c>
      <c r="C1384" s="4">
        <v>18.12</v>
      </c>
      <c r="D1384" t="s">
        <v>26</v>
      </c>
      <c r="E1384" t="s">
        <v>13</v>
      </c>
      <c r="F1384" s="4" t="s">
        <v>14</v>
      </c>
      <c r="G1384" s="4" t="s">
        <v>36</v>
      </c>
      <c r="H1384" s="4">
        <v>5</v>
      </c>
      <c r="I1384" s="4">
        <v>9</v>
      </c>
      <c r="J1384" s="1">
        <v>45541</v>
      </c>
      <c r="K1384" s="2">
        <v>1.7005787037037038E-2</v>
      </c>
      <c r="M1384" s="4" t="str">
        <f t="shared" si="63"/>
        <v>LOW</v>
      </c>
      <c r="N1384" s="4" t="str" cm="1">
        <f t="array" ref="N1384">_xlfn.IFS(C1384&gt;35,"HIGH",C1384&gt;25,"MIDDLE",TRUE,"LOW")</f>
        <v>LOW</v>
      </c>
      <c r="O1384" s="4" t="str">
        <f t="shared" si="64"/>
        <v>OTHERS</v>
      </c>
      <c r="P1384" s="4" t="str">
        <f t="shared" si="65"/>
        <v>PREMINUM MORNING</v>
      </c>
    </row>
    <row r="1385" spans="1:16" x14ac:dyDescent="0.3">
      <c r="A1385" s="4">
        <v>20</v>
      </c>
      <c r="B1385" t="s">
        <v>11</v>
      </c>
      <c r="C1385" s="4">
        <v>32.82</v>
      </c>
      <c r="D1385" t="s">
        <v>12</v>
      </c>
      <c r="E1385" t="s">
        <v>20</v>
      </c>
      <c r="F1385" s="4" t="s">
        <v>14</v>
      </c>
      <c r="G1385" s="4" t="s">
        <v>36</v>
      </c>
      <c r="H1385" s="4">
        <v>5</v>
      </c>
      <c r="I1385" s="4">
        <v>9</v>
      </c>
      <c r="J1385" s="1">
        <v>45541</v>
      </c>
      <c r="K1385" s="2">
        <v>1.3888888888888889E-4</v>
      </c>
      <c r="M1385" s="4" t="str">
        <f t="shared" si="63"/>
        <v>LOW</v>
      </c>
      <c r="N1385" s="4" t="str" cm="1">
        <f t="array" ref="N1385">_xlfn.IFS(C1385&gt;35,"HIGH",C1385&gt;25,"MIDDLE",TRUE,"LOW")</f>
        <v>MIDDLE</v>
      </c>
      <c r="O1385" s="4" t="str">
        <f t="shared" si="64"/>
        <v>OTHERS</v>
      </c>
      <c r="P1385" s="4" t="str">
        <f t="shared" si="65"/>
        <v>OTHERS</v>
      </c>
    </row>
    <row r="1386" spans="1:16" x14ac:dyDescent="0.3">
      <c r="A1386" s="4">
        <v>21</v>
      </c>
      <c r="B1386" t="s">
        <v>11</v>
      </c>
      <c r="C1386" s="4">
        <v>32.82</v>
      </c>
      <c r="D1386" t="s">
        <v>12</v>
      </c>
      <c r="E1386" t="s">
        <v>20</v>
      </c>
      <c r="F1386" s="4" t="s">
        <v>14</v>
      </c>
      <c r="G1386" s="4" t="s">
        <v>36</v>
      </c>
      <c r="H1386" s="4">
        <v>5</v>
      </c>
      <c r="I1386" s="4">
        <v>9</v>
      </c>
      <c r="J1386" s="1">
        <v>45541</v>
      </c>
      <c r="K1386" s="2">
        <v>6.6111111111111119E-3</v>
      </c>
      <c r="M1386" s="4" t="str">
        <f t="shared" si="63"/>
        <v>LOW</v>
      </c>
      <c r="N1386" s="4" t="str" cm="1">
        <f t="array" ref="N1386">_xlfn.IFS(C1386&gt;35,"HIGH",C1386&gt;25,"MIDDLE",TRUE,"LOW")</f>
        <v>MIDDLE</v>
      </c>
      <c r="O1386" s="4" t="str">
        <f t="shared" si="64"/>
        <v>OTHERS</v>
      </c>
      <c r="P1386" s="4" t="str">
        <f t="shared" si="65"/>
        <v>OTHERS</v>
      </c>
    </row>
    <row r="1387" spans="1:16" x14ac:dyDescent="0.3">
      <c r="A1387" s="4">
        <v>8</v>
      </c>
      <c r="B1387" t="s">
        <v>11</v>
      </c>
      <c r="C1387" s="4">
        <v>32.82</v>
      </c>
      <c r="D1387" t="s">
        <v>12</v>
      </c>
      <c r="E1387" t="s">
        <v>13</v>
      </c>
      <c r="F1387" s="4" t="s">
        <v>22</v>
      </c>
      <c r="G1387" s="4" t="s">
        <v>36</v>
      </c>
      <c r="H1387" s="4">
        <v>6</v>
      </c>
      <c r="I1387" s="4">
        <v>9</v>
      </c>
      <c r="J1387" s="1">
        <v>45542</v>
      </c>
      <c r="K1387" s="2">
        <v>3.3993055555555554E-2</v>
      </c>
      <c r="M1387" s="4" t="str">
        <f t="shared" si="63"/>
        <v>LOW</v>
      </c>
      <c r="N1387" s="4" t="str" cm="1">
        <f t="array" ref="N1387">_xlfn.IFS(C1387&gt;35,"HIGH",C1387&gt;25,"MIDDLE",TRUE,"LOW")</f>
        <v>MIDDLE</v>
      </c>
      <c r="O1387" s="4" t="str">
        <f t="shared" si="64"/>
        <v>OTHERS</v>
      </c>
      <c r="P1387" s="4" t="str">
        <f t="shared" si="65"/>
        <v>PREMINUM MORNING</v>
      </c>
    </row>
    <row r="1388" spans="1:16" x14ac:dyDescent="0.3">
      <c r="A1388" s="4">
        <v>9</v>
      </c>
      <c r="B1388" t="s">
        <v>11</v>
      </c>
      <c r="C1388" s="4">
        <v>23.02</v>
      </c>
      <c r="D1388" t="s">
        <v>24</v>
      </c>
      <c r="E1388" t="s">
        <v>13</v>
      </c>
      <c r="F1388" s="4" t="s">
        <v>22</v>
      </c>
      <c r="G1388" s="4" t="s">
        <v>36</v>
      </c>
      <c r="H1388" s="4">
        <v>6</v>
      </c>
      <c r="I1388" s="4">
        <v>9</v>
      </c>
      <c r="J1388" s="1">
        <v>45542</v>
      </c>
      <c r="K1388" s="2">
        <v>3.6145833333333335E-2</v>
      </c>
      <c r="M1388" s="4" t="str">
        <f t="shared" si="63"/>
        <v>LOW</v>
      </c>
      <c r="N1388" s="4" t="str" cm="1">
        <f t="array" ref="N1388">_xlfn.IFS(C1388&gt;35,"HIGH",C1388&gt;25,"MIDDLE",TRUE,"LOW")</f>
        <v>LOW</v>
      </c>
      <c r="O1388" s="4" t="str">
        <f t="shared" si="64"/>
        <v>OTHERS</v>
      </c>
      <c r="P1388" s="4" t="str">
        <f t="shared" si="65"/>
        <v>PREMINUM MORNING</v>
      </c>
    </row>
    <row r="1389" spans="1:16" x14ac:dyDescent="0.3">
      <c r="A1389" s="4">
        <v>9</v>
      </c>
      <c r="B1389" t="s">
        <v>11</v>
      </c>
      <c r="C1389" s="4">
        <v>23.02</v>
      </c>
      <c r="D1389" t="s">
        <v>24</v>
      </c>
      <c r="E1389" t="s">
        <v>13</v>
      </c>
      <c r="F1389" s="4" t="s">
        <v>22</v>
      </c>
      <c r="G1389" s="4" t="s">
        <v>36</v>
      </c>
      <c r="H1389" s="4">
        <v>6</v>
      </c>
      <c r="I1389" s="4">
        <v>9</v>
      </c>
      <c r="J1389" s="1">
        <v>45542</v>
      </c>
      <c r="K1389" s="2">
        <v>3.6847222222222219E-2</v>
      </c>
      <c r="M1389" s="4" t="str">
        <f t="shared" si="63"/>
        <v>LOW</v>
      </c>
      <c r="N1389" s="4" t="str" cm="1">
        <f t="array" ref="N1389">_xlfn.IFS(C1389&gt;35,"HIGH",C1389&gt;25,"MIDDLE",TRUE,"LOW")</f>
        <v>LOW</v>
      </c>
      <c r="O1389" s="4" t="str">
        <f t="shared" si="64"/>
        <v>OTHERS</v>
      </c>
      <c r="P1389" s="4" t="str">
        <f t="shared" si="65"/>
        <v>PREMINUM MORNING</v>
      </c>
    </row>
    <row r="1390" spans="1:16" x14ac:dyDescent="0.3">
      <c r="A1390" s="4">
        <v>9</v>
      </c>
      <c r="B1390" t="s">
        <v>11</v>
      </c>
      <c r="C1390" s="4">
        <v>23.02</v>
      </c>
      <c r="D1390" t="s">
        <v>24</v>
      </c>
      <c r="E1390" t="s">
        <v>13</v>
      </c>
      <c r="F1390" s="4" t="s">
        <v>22</v>
      </c>
      <c r="G1390" s="4" t="s">
        <v>36</v>
      </c>
      <c r="H1390" s="4">
        <v>6</v>
      </c>
      <c r="I1390" s="4">
        <v>9</v>
      </c>
      <c r="J1390" s="1">
        <v>45542</v>
      </c>
      <c r="K1390" s="2">
        <v>3.7981481481481477E-2</v>
      </c>
      <c r="M1390" s="4" t="str">
        <f t="shared" si="63"/>
        <v>LOW</v>
      </c>
      <c r="N1390" s="4" t="str" cm="1">
        <f t="array" ref="N1390">_xlfn.IFS(C1390&gt;35,"HIGH",C1390&gt;25,"MIDDLE",TRUE,"LOW")</f>
        <v>LOW</v>
      </c>
      <c r="O1390" s="4" t="str">
        <f t="shared" si="64"/>
        <v>OTHERS</v>
      </c>
      <c r="P1390" s="4" t="str">
        <f t="shared" si="65"/>
        <v>PREMINUM MORNING</v>
      </c>
    </row>
    <row r="1391" spans="1:16" x14ac:dyDescent="0.3">
      <c r="A1391" s="4">
        <v>9</v>
      </c>
      <c r="B1391" t="s">
        <v>11</v>
      </c>
      <c r="C1391" s="4">
        <v>27.92</v>
      </c>
      <c r="D1391" t="s">
        <v>19</v>
      </c>
      <c r="E1391" t="s">
        <v>13</v>
      </c>
      <c r="F1391" s="4" t="s">
        <v>22</v>
      </c>
      <c r="G1391" s="4" t="s">
        <v>36</v>
      </c>
      <c r="H1391" s="4">
        <v>6</v>
      </c>
      <c r="I1391" s="4">
        <v>9</v>
      </c>
      <c r="J1391" s="1">
        <v>45542</v>
      </c>
      <c r="K1391" s="2">
        <v>4.0135416666666666E-2</v>
      </c>
      <c r="M1391" s="4" t="str">
        <f t="shared" si="63"/>
        <v>LOW</v>
      </c>
      <c r="N1391" s="4" t="str" cm="1">
        <f t="array" ref="N1391">_xlfn.IFS(C1391&gt;35,"HIGH",C1391&gt;25,"MIDDLE",TRUE,"LOW")</f>
        <v>MIDDLE</v>
      </c>
      <c r="O1391" s="4" t="str">
        <f t="shared" si="64"/>
        <v>OTHERS</v>
      </c>
      <c r="P1391" s="4" t="str">
        <f t="shared" si="65"/>
        <v>PREMINUM MORNING</v>
      </c>
    </row>
    <row r="1392" spans="1:16" x14ac:dyDescent="0.3">
      <c r="A1392" s="4">
        <v>9</v>
      </c>
      <c r="B1392" t="s">
        <v>11</v>
      </c>
      <c r="C1392" s="4">
        <v>27.92</v>
      </c>
      <c r="D1392" t="s">
        <v>19</v>
      </c>
      <c r="E1392" t="s">
        <v>13</v>
      </c>
      <c r="F1392" s="4" t="s">
        <v>22</v>
      </c>
      <c r="G1392" s="4" t="s">
        <v>36</v>
      </c>
      <c r="H1392" s="4">
        <v>6</v>
      </c>
      <c r="I1392" s="4">
        <v>9</v>
      </c>
      <c r="J1392" s="1">
        <v>45542</v>
      </c>
      <c r="K1392" s="2">
        <v>4.0998842592592594E-2</v>
      </c>
      <c r="M1392" s="4" t="str">
        <f t="shared" si="63"/>
        <v>LOW</v>
      </c>
      <c r="N1392" s="4" t="str" cm="1">
        <f t="array" ref="N1392">_xlfn.IFS(C1392&gt;35,"HIGH",C1392&gt;25,"MIDDLE",TRUE,"LOW")</f>
        <v>MIDDLE</v>
      </c>
      <c r="O1392" s="4" t="str">
        <f t="shared" si="64"/>
        <v>OTHERS</v>
      </c>
      <c r="P1392" s="4" t="str">
        <f t="shared" si="65"/>
        <v>PREMINUM MORNING</v>
      </c>
    </row>
    <row r="1393" spans="1:16" x14ac:dyDescent="0.3">
      <c r="A1393" s="4">
        <v>10</v>
      </c>
      <c r="B1393" t="s">
        <v>11</v>
      </c>
      <c r="C1393" s="4">
        <v>23.02</v>
      </c>
      <c r="D1393" t="s">
        <v>24</v>
      </c>
      <c r="E1393" t="s">
        <v>13</v>
      </c>
      <c r="F1393" s="4" t="s">
        <v>22</v>
      </c>
      <c r="G1393" s="4" t="s">
        <v>36</v>
      </c>
      <c r="H1393" s="4">
        <v>6</v>
      </c>
      <c r="I1393" s="4">
        <v>9</v>
      </c>
      <c r="J1393" s="1">
        <v>45542</v>
      </c>
      <c r="K1393" s="2">
        <v>2.2800925925925926E-4</v>
      </c>
      <c r="M1393" s="4" t="str">
        <f t="shared" si="63"/>
        <v>LOW</v>
      </c>
      <c r="N1393" s="4" t="str" cm="1">
        <f t="array" ref="N1393">_xlfn.IFS(C1393&gt;35,"HIGH",C1393&gt;25,"MIDDLE",TRUE,"LOW")</f>
        <v>LOW</v>
      </c>
      <c r="O1393" s="4" t="str">
        <f t="shared" si="64"/>
        <v>OTHERS</v>
      </c>
      <c r="P1393" s="4" t="str">
        <f t="shared" si="65"/>
        <v>PREMINUM MORNING</v>
      </c>
    </row>
    <row r="1394" spans="1:16" x14ac:dyDescent="0.3">
      <c r="A1394" s="4">
        <v>10</v>
      </c>
      <c r="B1394" t="s">
        <v>11</v>
      </c>
      <c r="C1394" s="4">
        <v>23.02</v>
      </c>
      <c r="D1394" t="s">
        <v>18</v>
      </c>
      <c r="E1394" t="s">
        <v>13</v>
      </c>
      <c r="F1394" s="4" t="s">
        <v>22</v>
      </c>
      <c r="G1394" s="4" t="s">
        <v>36</v>
      </c>
      <c r="H1394" s="4">
        <v>6</v>
      </c>
      <c r="I1394" s="4">
        <v>9</v>
      </c>
      <c r="J1394" s="1">
        <v>45542</v>
      </c>
      <c r="K1394" s="2">
        <v>1.5792824074074074E-2</v>
      </c>
      <c r="M1394" s="4" t="str">
        <f t="shared" si="63"/>
        <v>LOW</v>
      </c>
      <c r="N1394" s="4" t="str" cm="1">
        <f t="array" ref="N1394">_xlfn.IFS(C1394&gt;35,"HIGH",C1394&gt;25,"MIDDLE",TRUE,"LOW")</f>
        <v>LOW</v>
      </c>
      <c r="O1394" s="4" t="str">
        <f t="shared" si="64"/>
        <v>OTHERS</v>
      </c>
      <c r="P1394" s="4" t="str">
        <f t="shared" si="65"/>
        <v>PREMINUM MORNING</v>
      </c>
    </row>
    <row r="1395" spans="1:16" x14ac:dyDescent="0.3">
      <c r="A1395" s="4">
        <v>10</v>
      </c>
      <c r="B1395" t="s">
        <v>11</v>
      </c>
      <c r="C1395" s="4">
        <v>18.12</v>
      </c>
      <c r="D1395" t="s">
        <v>26</v>
      </c>
      <c r="E1395" t="s">
        <v>13</v>
      </c>
      <c r="F1395" s="4" t="s">
        <v>22</v>
      </c>
      <c r="G1395" s="4" t="s">
        <v>36</v>
      </c>
      <c r="H1395" s="4">
        <v>6</v>
      </c>
      <c r="I1395" s="4">
        <v>9</v>
      </c>
      <c r="J1395" s="1">
        <v>45542</v>
      </c>
      <c r="K1395" s="2">
        <v>2.6299768518518521E-2</v>
      </c>
      <c r="M1395" s="4" t="str">
        <f t="shared" si="63"/>
        <v>LOW</v>
      </c>
      <c r="N1395" s="4" t="str" cm="1">
        <f t="array" ref="N1395">_xlfn.IFS(C1395&gt;35,"HIGH",C1395&gt;25,"MIDDLE",TRUE,"LOW")</f>
        <v>LOW</v>
      </c>
      <c r="O1395" s="4" t="str">
        <f t="shared" si="64"/>
        <v>OTHERS</v>
      </c>
      <c r="P1395" s="4" t="str">
        <f t="shared" si="65"/>
        <v>PREMINUM MORNING</v>
      </c>
    </row>
    <row r="1396" spans="1:16" x14ac:dyDescent="0.3">
      <c r="A1396" s="4">
        <v>10</v>
      </c>
      <c r="B1396" t="s">
        <v>11</v>
      </c>
      <c r="C1396" s="4">
        <v>18.12</v>
      </c>
      <c r="D1396" t="s">
        <v>26</v>
      </c>
      <c r="E1396" t="s">
        <v>13</v>
      </c>
      <c r="F1396" s="4" t="s">
        <v>22</v>
      </c>
      <c r="G1396" s="4" t="s">
        <v>36</v>
      </c>
      <c r="H1396" s="4">
        <v>6</v>
      </c>
      <c r="I1396" s="4">
        <v>9</v>
      </c>
      <c r="J1396" s="1">
        <v>45542</v>
      </c>
      <c r="K1396" s="2">
        <v>2.7923611111111111E-2</v>
      </c>
      <c r="M1396" s="4" t="str">
        <f t="shared" si="63"/>
        <v>LOW</v>
      </c>
      <c r="N1396" s="4" t="str" cm="1">
        <f t="array" ref="N1396">_xlfn.IFS(C1396&gt;35,"HIGH",C1396&gt;25,"MIDDLE",TRUE,"LOW")</f>
        <v>LOW</v>
      </c>
      <c r="O1396" s="4" t="str">
        <f t="shared" si="64"/>
        <v>OTHERS</v>
      </c>
      <c r="P1396" s="4" t="str">
        <f t="shared" si="65"/>
        <v>PREMINUM MORNING</v>
      </c>
    </row>
    <row r="1397" spans="1:16" x14ac:dyDescent="0.3">
      <c r="A1397" s="4">
        <v>10</v>
      </c>
      <c r="B1397" t="s">
        <v>11</v>
      </c>
      <c r="C1397" s="4">
        <v>32.82</v>
      </c>
      <c r="D1397" t="s">
        <v>12</v>
      </c>
      <c r="E1397" t="s">
        <v>13</v>
      </c>
      <c r="F1397" s="4" t="s">
        <v>22</v>
      </c>
      <c r="G1397" s="4" t="s">
        <v>36</v>
      </c>
      <c r="H1397" s="4">
        <v>6</v>
      </c>
      <c r="I1397" s="4">
        <v>9</v>
      </c>
      <c r="J1397" s="1">
        <v>45542</v>
      </c>
      <c r="K1397" s="2">
        <v>3.7178240740740741E-2</v>
      </c>
      <c r="M1397" s="4" t="str">
        <f t="shared" si="63"/>
        <v>LOW</v>
      </c>
      <c r="N1397" s="4" t="str" cm="1">
        <f t="array" ref="N1397">_xlfn.IFS(C1397&gt;35,"HIGH",C1397&gt;25,"MIDDLE",TRUE,"LOW")</f>
        <v>MIDDLE</v>
      </c>
      <c r="O1397" s="4" t="str">
        <f t="shared" si="64"/>
        <v>OTHERS</v>
      </c>
      <c r="P1397" s="4" t="str">
        <f t="shared" si="65"/>
        <v>PREMINUM MORNING</v>
      </c>
    </row>
    <row r="1398" spans="1:16" x14ac:dyDescent="0.3">
      <c r="A1398" s="4">
        <v>11</v>
      </c>
      <c r="B1398" t="s">
        <v>11</v>
      </c>
      <c r="C1398" s="4">
        <v>27.92</v>
      </c>
      <c r="D1398" t="s">
        <v>19</v>
      </c>
      <c r="E1398" t="s">
        <v>13</v>
      </c>
      <c r="F1398" s="4" t="s">
        <v>22</v>
      </c>
      <c r="G1398" s="4" t="s">
        <v>36</v>
      </c>
      <c r="H1398" s="4">
        <v>6</v>
      </c>
      <c r="I1398" s="4">
        <v>9</v>
      </c>
      <c r="J1398" s="1">
        <v>45542</v>
      </c>
      <c r="K1398" s="2">
        <v>1.3157407407407408E-2</v>
      </c>
      <c r="M1398" s="4" t="str">
        <f t="shared" si="63"/>
        <v>LOW</v>
      </c>
      <c r="N1398" s="4" t="str" cm="1">
        <f t="array" ref="N1398">_xlfn.IFS(C1398&gt;35,"HIGH",C1398&gt;25,"MIDDLE",TRUE,"LOW")</f>
        <v>MIDDLE</v>
      </c>
      <c r="O1398" s="4" t="str">
        <f t="shared" si="64"/>
        <v>OTHERS</v>
      </c>
      <c r="P1398" s="4" t="str">
        <f t="shared" si="65"/>
        <v>PREMINUM MORNING</v>
      </c>
    </row>
    <row r="1399" spans="1:16" x14ac:dyDescent="0.3">
      <c r="A1399" s="4">
        <v>11</v>
      </c>
      <c r="B1399" t="s">
        <v>11</v>
      </c>
      <c r="C1399" s="4">
        <v>23.02</v>
      </c>
      <c r="D1399" t="s">
        <v>18</v>
      </c>
      <c r="E1399" t="s">
        <v>13</v>
      </c>
      <c r="F1399" s="4" t="s">
        <v>22</v>
      </c>
      <c r="G1399" s="4" t="s">
        <v>36</v>
      </c>
      <c r="H1399" s="4">
        <v>6</v>
      </c>
      <c r="I1399" s="4">
        <v>9</v>
      </c>
      <c r="J1399" s="1">
        <v>45542</v>
      </c>
      <c r="K1399" s="2">
        <v>1.3888888888888888E-2</v>
      </c>
      <c r="M1399" s="4" t="str">
        <f t="shared" si="63"/>
        <v>LOW</v>
      </c>
      <c r="N1399" s="4" t="str" cm="1">
        <f t="array" ref="N1399">_xlfn.IFS(C1399&gt;35,"HIGH",C1399&gt;25,"MIDDLE",TRUE,"LOW")</f>
        <v>LOW</v>
      </c>
      <c r="O1399" s="4" t="str">
        <f t="shared" si="64"/>
        <v>OTHERS</v>
      </c>
      <c r="P1399" s="4" t="str">
        <f t="shared" si="65"/>
        <v>PREMINUM MORNING</v>
      </c>
    </row>
    <row r="1400" spans="1:16" x14ac:dyDescent="0.3">
      <c r="A1400" s="4">
        <v>11</v>
      </c>
      <c r="B1400" t="s">
        <v>11</v>
      </c>
      <c r="C1400" s="4">
        <v>18.12</v>
      </c>
      <c r="D1400" t="s">
        <v>26</v>
      </c>
      <c r="E1400" t="s">
        <v>13</v>
      </c>
      <c r="F1400" s="4" t="s">
        <v>22</v>
      </c>
      <c r="G1400" s="4" t="s">
        <v>36</v>
      </c>
      <c r="H1400" s="4">
        <v>6</v>
      </c>
      <c r="I1400" s="4">
        <v>9</v>
      </c>
      <c r="J1400" s="1">
        <v>45542</v>
      </c>
      <c r="K1400" s="2">
        <v>1.4549768518518517E-2</v>
      </c>
      <c r="M1400" s="4" t="str">
        <f t="shared" si="63"/>
        <v>LOW</v>
      </c>
      <c r="N1400" s="4" t="str" cm="1">
        <f t="array" ref="N1400">_xlfn.IFS(C1400&gt;35,"HIGH",C1400&gt;25,"MIDDLE",TRUE,"LOW")</f>
        <v>LOW</v>
      </c>
      <c r="O1400" s="4" t="str">
        <f t="shared" si="64"/>
        <v>OTHERS</v>
      </c>
      <c r="P1400" s="4" t="str">
        <f t="shared" si="65"/>
        <v>PREMINUM MORNING</v>
      </c>
    </row>
    <row r="1401" spans="1:16" x14ac:dyDescent="0.3">
      <c r="A1401" s="4">
        <v>15</v>
      </c>
      <c r="B1401" t="s">
        <v>11</v>
      </c>
      <c r="C1401" s="4">
        <v>32.82</v>
      </c>
      <c r="D1401" t="s">
        <v>12</v>
      </c>
      <c r="E1401" t="s">
        <v>17</v>
      </c>
      <c r="F1401" s="4" t="s">
        <v>22</v>
      </c>
      <c r="G1401" s="4" t="s">
        <v>36</v>
      </c>
      <c r="H1401" s="4">
        <v>6</v>
      </c>
      <c r="I1401" s="4">
        <v>9</v>
      </c>
      <c r="J1401" s="1">
        <v>45542</v>
      </c>
      <c r="K1401" s="2">
        <v>3.8292824074074076E-2</v>
      </c>
      <c r="M1401" s="4" t="str">
        <f t="shared" si="63"/>
        <v>LOW</v>
      </c>
      <c r="N1401" s="4" t="str" cm="1">
        <f t="array" ref="N1401">_xlfn.IFS(C1401&gt;35,"HIGH",C1401&gt;25,"MIDDLE",TRUE,"LOW")</f>
        <v>MIDDLE</v>
      </c>
      <c r="O1401" s="4" t="str">
        <f t="shared" si="64"/>
        <v>OTHERS</v>
      </c>
      <c r="P1401" s="4" t="str">
        <f t="shared" si="65"/>
        <v>OTHERS</v>
      </c>
    </row>
    <row r="1402" spans="1:16" x14ac:dyDescent="0.3">
      <c r="A1402" s="4">
        <v>16</v>
      </c>
      <c r="B1402" t="s">
        <v>11</v>
      </c>
      <c r="C1402" s="4">
        <v>23.02</v>
      </c>
      <c r="D1402" t="s">
        <v>18</v>
      </c>
      <c r="E1402" t="s">
        <v>17</v>
      </c>
      <c r="F1402" s="4" t="s">
        <v>22</v>
      </c>
      <c r="G1402" s="4" t="s">
        <v>36</v>
      </c>
      <c r="H1402" s="4">
        <v>6</v>
      </c>
      <c r="I1402" s="4">
        <v>9</v>
      </c>
      <c r="J1402" s="1">
        <v>45542</v>
      </c>
      <c r="K1402" s="2">
        <v>1.3900462962962963E-2</v>
      </c>
      <c r="M1402" s="4" t="str">
        <f t="shared" si="63"/>
        <v>LOW</v>
      </c>
      <c r="N1402" s="4" t="str" cm="1">
        <f t="array" ref="N1402">_xlfn.IFS(C1402&gt;35,"HIGH",C1402&gt;25,"MIDDLE",TRUE,"LOW")</f>
        <v>LOW</v>
      </c>
      <c r="O1402" s="4" t="str">
        <f t="shared" si="64"/>
        <v>OTHERS</v>
      </c>
      <c r="P1402" s="4" t="str">
        <f t="shared" si="65"/>
        <v>OTHERS</v>
      </c>
    </row>
    <row r="1403" spans="1:16" x14ac:dyDescent="0.3">
      <c r="A1403" s="4">
        <v>16</v>
      </c>
      <c r="B1403" t="s">
        <v>11</v>
      </c>
      <c r="C1403" s="4">
        <v>18.12</v>
      </c>
      <c r="D1403" t="s">
        <v>26</v>
      </c>
      <c r="E1403" t="s">
        <v>17</v>
      </c>
      <c r="F1403" s="4" t="s">
        <v>22</v>
      </c>
      <c r="G1403" s="4" t="s">
        <v>36</v>
      </c>
      <c r="H1403" s="4">
        <v>6</v>
      </c>
      <c r="I1403" s="4">
        <v>9</v>
      </c>
      <c r="J1403" s="1">
        <v>45542</v>
      </c>
      <c r="K1403" s="2">
        <v>1.4575231481481481E-2</v>
      </c>
      <c r="M1403" s="4" t="str">
        <f t="shared" si="63"/>
        <v>LOW</v>
      </c>
      <c r="N1403" s="4" t="str" cm="1">
        <f t="array" ref="N1403">_xlfn.IFS(C1403&gt;35,"HIGH",C1403&gt;25,"MIDDLE",TRUE,"LOW")</f>
        <v>LOW</v>
      </c>
      <c r="O1403" s="4" t="str">
        <f t="shared" si="64"/>
        <v>OTHERS</v>
      </c>
      <c r="P1403" s="4" t="str">
        <f t="shared" si="65"/>
        <v>OTHERS</v>
      </c>
    </row>
    <row r="1404" spans="1:16" x14ac:dyDescent="0.3">
      <c r="A1404" s="4">
        <v>19</v>
      </c>
      <c r="B1404" t="s">
        <v>11</v>
      </c>
      <c r="C1404" s="4">
        <v>32.82</v>
      </c>
      <c r="D1404" t="s">
        <v>21</v>
      </c>
      <c r="E1404" t="s">
        <v>20</v>
      </c>
      <c r="F1404" s="4" t="s">
        <v>22</v>
      </c>
      <c r="G1404" s="4" t="s">
        <v>36</v>
      </c>
      <c r="H1404" s="4">
        <v>6</v>
      </c>
      <c r="I1404" s="4">
        <v>9</v>
      </c>
      <c r="J1404" s="1">
        <v>45542</v>
      </c>
      <c r="K1404" s="2">
        <v>2.4362268518518519E-2</v>
      </c>
      <c r="M1404" s="4" t="str">
        <f t="shared" si="63"/>
        <v>LOW</v>
      </c>
      <c r="N1404" s="4" t="str" cm="1">
        <f t="array" ref="N1404">_xlfn.IFS(C1404&gt;35,"HIGH",C1404&gt;25,"MIDDLE",TRUE,"LOW")</f>
        <v>MIDDLE</v>
      </c>
      <c r="O1404" s="4" t="str">
        <f t="shared" si="64"/>
        <v>OTHERS</v>
      </c>
      <c r="P1404" s="4" t="str">
        <f t="shared" si="65"/>
        <v>OTHERS</v>
      </c>
    </row>
    <row r="1405" spans="1:16" x14ac:dyDescent="0.3">
      <c r="A1405" s="4">
        <v>19</v>
      </c>
      <c r="B1405" t="s">
        <v>11</v>
      </c>
      <c r="C1405" s="4">
        <v>32.82</v>
      </c>
      <c r="D1405" t="s">
        <v>12</v>
      </c>
      <c r="E1405" t="s">
        <v>20</v>
      </c>
      <c r="F1405" s="4" t="s">
        <v>22</v>
      </c>
      <c r="G1405" s="4" t="s">
        <v>36</v>
      </c>
      <c r="H1405" s="4">
        <v>6</v>
      </c>
      <c r="I1405" s="4">
        <v>9</v>
      </c>
      <c r="J1405" s="1">
        <v>45542</v>
      </c>
      <c r="K1405" s="2">
        <v>2.5059027777777777E-2</v>
      </c>
      <c r="M1405" s="4" t="str">
        <f t="shared" si="63"/>
        <v>LOW</v>
      </c>
      <c r="N1405" s="4" t="str" cm="1">
        <f t="array" ref="N1405">_xlfn.IFS(C1405&gt;35,"HIGH",C1405&gt;25,"MIDDLE",TRUE,"LOW")</f>
        <v>MIDDLE</v>
      </c>
      <c r="O1405" s="4" t="str">
        <f t="shared" si="64"/>
        <v>OTHERS</v>
      </c>
      <c r="P1405" s="4" t="str">
        <f t="shared" si="65"/>
        <v>OTHERS</v>
      </c>
    </row>
    <row r="1406" spans="1:16" x14ac:dyDescent="0.3">
      <c r="A1406" s="4">
        <v>19</v>
      </c>
      <c r="B1406" t="s">
        <v>11</v>
      </c>
      <c r="C1406" s="4">
        <v>32.82</v>
      </c>
      <c r="D1406" t="s">
        <v>12</v>
      </c>
      <c r="E1406" t="s">
        <v>20</v>
      </c>
      <c r="F1406" s="4" t="s">
        <v>22</v>
      </c>
      <c r="G1406" s="4" t="s">
        <v>36</v>
      </c>
      <c r="H1406" s="4">
        <v>6</v>
      </c>
      <c r="I1406" s="4">
        <v>9</v>
      </c>
      <c r="J1406" s="1">
        <v>45542</v>
      </c>
      <c r="K1406" s="2">
        <v>2.5873842592592594E-2</v>
      </c>
      <c r="M1406" s="4" t="str">
        <f t="shared" si="63"/>
        <v>LOW</v>
      </c>
      <c r="N1406" s="4" t="str" cm="1">
        <f t="array" ref="N1406">_xlfn.IFS(C1406&gt;35,"HIGH",C1406&gt;25,"MIDDLE",TRUE,"LOW")</f>
        <v>MIDDLE</v>
      </c>
      <c r="O1406" s="4" t="str">
        <f t="shared" si="64"/>
        <v>OTHERS</v>
      </c>
      <c r="P1406" s="4" t="str">
        <f t="shared" si="65"/>
        <v>OTHERS</v>
      </c>
    </row>
    <row r="1407" spans="1:16" x14ac:dyDescent="0.3">
      <c r="A1407" s="4">
        <v>20</v>
      </c>
      <c r="B1407" t="s">
        <v>11</v>
      </c>
      <c r="C1407" s="4">
        <v>32.82</v>
      </c>
      <c r="D1407" t="s">
        <v>12</v>
      </c>
      <c r="E1407" t="s">
        <v>20</v>
      </c>
      <c r="F1407" s="4" t="s">
        <v>22</v>
      </c>
      <c r="G1407" s="4" t="s">
        <v>36</v>
      </c>
      <c r="H1407" s="4">
        <v>6</v>
      </c>
      <c r="I1407" s="4">
        <v>9</v>
      </c>
      <c r="J1407" s="1">
        <v>45542</v>
      </c>
      <c r="K1407" s="2">
        <v>9.6261574074074079E-3</v>
      </c>
      <c r="M1407" s="4" t="str">
        <f t="shared" si="63"/>
        <v>LOW</v>
      </c>
      <c r="N1407" s="4" t="str" cm="1">
        <f t="array" ref="N1407">_xlfn.IFS(C1407&gt;35,"HIGH",C1407&gt;25,"MIDDLE",TRUE,"LOW")</f>
        <v>MIDDLE</v>
      </c>
      <c r="O1407" s="4" t="str">
        <f t="shared" si="64"/>
        <v>OTHERS</v>
      </c>
      <c r="P1407" s="4" t="str">
        <f t="shared" si="65"/>
        <v>OTHERS</v>
      </c>
    </row>
    <row r="1408" spans="1:16" x14ac:dyDescent="0.3">
      <c r="A1408" s="4">
        <v>20</v>
      </c>
      <c r="B1408" t="s">
        <v>11</v>
      </c>
      <c r="C1408" s="4">
        <v>32.82</v>
      </c>
      <c r="D1408" t="s">
        <v>12</v>
      </c>
      <c r="E1408" t="s">
        <v>20</v>
      </c>
      <c r="F1408" s="4" t="s">
        <v>22</v>
      </c>
      <c r="G1408" s="4" t="s">
        <v>36</v>
      </c>
      <c r="H1408" s="4">
        <v>6</v>
      </c>
      <c r="I1408" s="4">
        <v>9</v>
      </c>
      <c r="J1408" s="1">
        <v>45542</v>
      </c>
      <c r="K1408" s="2">
        <v>1.0407407407407409E-2</v>
      </c>
      <c r="M1408" s="4" t="str">
        <f t="shared" si="63"/>
        <v>LOW</v>
      </c>
      <c r="N1408" s="4" t="str" cm="1">
        <f t="array" ref="N1408">_xlfn.IFS(C1408&gt;35,"HIGH",C1408&gt;25,"MIDDLE",TRUE,"LOW")</f>
        <v>MIDDLE</v>
      </c>
      <c r="O1408" s="4" t="str">
        <f t="shared" si="64"/>
        <v>OTHERS</v>
      </c>
      <c r="P1408" s="4" t="str">
        <f t="shared" si="65"/>
        <v>OTHERS</v>
      </c>
    </row>
    <row r="1409" spans="1:16" x14ac:dyDescent="0.3">
      <c r="A1409" s="4">
        <v>8</v>
      </c>
      <c r="B1409" t="s">
        <v>11</v>
      </c>
      <c r="C1409" s="4">
        <v>23.02</v>
      </c>
      <c r="D1409" t="s">
        <v>24</v>
      </c>
      <c r="E1409" t="s">
        <v>13</v>
      </c>
      <c r="F1409" s="4" t="s">
        <v>23</v>
      </c>
      <c r="G1409" s="4" t="s">
        <v>36</v>
      </c>
      <c r="H1409" s="4">
        <v>7</v>
      </c>
      <c r="I1409" s="4">
        <v>9</v>
      </c>
      <c r="J1409" s="1">
        <v>45543</v>
      </c>
      <c r="K1409" s="2">
        <v>1.0888888888888889E-2</v>
      </c>
      <c r="M1409" s="4" t="str">
        <f t="shared" si="63"/>
        <v>LOW</v>
      </c>
      <c r="N1409" s="4" t="str" cm="1">
        <f t="array" ref="N1409">_xlfn.IFS(C1409&gt;35,"HIGH",C1409&gt;25,"MIDDLE",TRUE,"LOW")</f>
        <v>LOW</v>
      </c>
      <c r="O1409" s="4" t="str">
        <f t="shared" si="64"/>
        <v>OTHERS</v>
      </c>
      <c r="P1409" s="4" t="str">
        <f t="shared" si="65"/>
        <v>PREMINUM MORNING</v>
      </c>
    </row>
    <row r="1410" spans="1:16" x14ac:dyDescent="0.3">
      <c r="A1410" s="4">
        <v>9</v>
      </c>
      <c r="B1410" t="s">
        <v>11</v>
      </c>
      <c r="C1410" s="4">
        <v>23.02</v>
      </c>
      <c r="D1410" t="s">
        <v>24</v>
      </c>
      <c r="E1410" t="s">
        <v>13</v>
      </c>
      <c r="F1410" s="4" t="s">
        <v>23</v>
      </c>
      <c r="G1410" s="4" t="s">
        <v>36</v>
      </c>
      <c r="H1410" s="4">
        <v>7</v>
      </c>
      <c r="I1410" s="4">
        <v>9</v>
      </c>
      <c r="J1410" s="1">
        <v>45543</v>
      </c>
      <c r="K1410" s="2">
        <v>1.269675925925926E-2</v>
      </c>
      <c r="M1410" s="4" t="str">
        <f t="shared" si="63"/>
        <v>LOW</v>
      </c>
      <c r="N1410" s="4" t="str" cm="1">
        <f t="array" ref="N1410">_xlfn.IFS(C1410&gt;35,"HIGH",C1410&gt;25,"MIDDLE",TRUE,"LOW")</f>
        <v>LOW</v>
      </c>
      <c r="O1410" s="4" t="str">
        <f t="shared" si="64"/>
        <v>OTHERS</v>
      </c>
      <c r="P1410" s="4" t="str">
        <f t="shared" si="65"/>
        <v>PREMINUM MORNING</v>
      </c>
    </row>
    <row r="1411" spans="1:16" x14ac:dyDescent="0.3">
      <c r="A1411" s="4">
        <v>9</v>
      </c>
      <c r="B1411" t="s">
        <v>11</v>
      </c>
      <c r="C1411" s="4">
        <v>23.02</v>
      </c>
      <c r="D1411" t="s">
        <v>24</v>
      </c>
      <c r="E1411" t="s">
        <v>13</v>
      </c>
      <c r="F1411" s="4" t="s">
        <v>23</v>
      </c>
      <c r="G1411" s="4" t="s">
        <v>36</v>
      </c>
      <c r="H1411" s="4">
        <v>7</v>
      </c>
      <c r="I1411" s="4">
        <v>9</v>
      </c>
      <c r="J1411" s="1">
        <v>45543</v>
      </c>
      <c r="K1411" s="2">
        <v>1.3337962962962965E-2</v>
      </c>
      <c r="M1411" s="4" t="str">
        <f t="shared" ref="M1411:M1474" si="66">IF(C1411&gt;35,"HIGH","LOW")</f>
        <v>LOW</v>
      </c>
      <c r="N1411" s="4" t="str" cm="1">
        <f t="array" ref="N1411">_xlfn.IFS(C1411&gt;35,"HIGH",C1411&gt;25,"MIDDLE",TRUE,"LOW")</f>
        <v>LOW</v>
      </c>
      <c r="O1411" s="4" t="str">
        <f t="shared" ref="O1411:O1474" si="67">IF(AND(C1411&gt;35,E1411="MORNING"),"PREMINUM MORNING","OTHERS")</f>
        <v>OTHERS</v>
      </c>
      <c r="P1411" s="4" t="str">
        <f t="shared" ref="P1411:P1474" si="68">IF(OR(C1411&gt;35,E1411="MORNING"),"PREMINUM MORNING","OTHERS")</f>
        <v>PREMINUM MORNING</v>
      </c>
    </row>
    <row r="1412" spans="1:16" x14ac:dyDescent="0.3">
      <c r="A1412" s="4">
        <v>10</v>
      </c>
      <c r="B1412" t="s">
        <v>11</v>
      </c>
      <c r="C1412" s="4">
        <v>23.02</v>
      </c>
      <c r="D1412" t="s">
        <v>24</v>
      </c>
      <c r="E1412" t="s">
        <v>13</v>
      </c>
      <c r="F1412" s="4" t="s">
        <v>23</v>
      </c>
      <c r="G1412" s="4" t="s">
        <v>36</v>
      </c>
      <c r="H1412" s="4">
        <v>7</v>
      </c>
      <c r="I1412" s="4">
        <v>9</v>
      </c>
      <c r="J1412" s="1">
        <v>45543</v>
      </c>
      <c r="K1412" s="2">
        <v>4.1215277777777778E-3</v>
      </c>
      <c r="M1412" s="4" t="str">
        <f t="shared" si="66"/>
        <v>LOW</v>
      </c>
      <c r="N1412" s="4" t="str" cm="1">
        <f t="array" ref="N1412">_xlfn.IFS(C1412&gt;35,"HIGH",C1412&gt;25,"MIDDLE",TRUE,"LOW")</f>
        <v>LOW</v>
      </c>
      <c r="O1412" s="4" t="str">
        <f t="shared" si="67"/>
        <v>OTHERS</v>
      </c>
      <c r="P1412" s="4" t="str">
        <f t="shared" si="68"/>
        <v>PREMINUM MORNING</v>
      </c>
    </row>
    <row r="1413" spans="1:16" x14ac:dyDescent="0.3">
      <c r="A1413" s="4">
        <v>12</v>
      </c>
      <c r="B1413" t="s">
        <v>11</v>
      </c>
      <c r="C1413" s="4">
        <v>23.02</v>
      </c>
      <c r="D1413" t="s">
        <v>24</v>
      </c>
      <c r="E1413" t="s">
        <v>17</v>
      </c>
      <c r="F1413" s="4" t="s">
        <v>23</v>
      </c>
      <c r="G1413" s="4" t="s">
        <v>36</v>
      </c>
      <c r="H1413" s="4">
        <v>7</v>
      </c>
      <c r="I1413" s="4">
        <v>9</v>
      </c>
      <c r="J1413" s="1">
        <v>45543</v>
      </c>
      <c r="K1413" s="2">
        <v>3.0185185185185186E-2</v>
      </c>
      <c r="M1413" s="4" t="str">
        <f t="shared" si="66"/>
        <v>LOW</v>
      </c>
      <c r="N1413" s="4" t="str" cm="1">
        <f t="array" ref="N1413">_xlfn.IFS(C1413&gt;35,"HIGH",C1413&gt;25,"MIDDLE",TRUE,"LOW")</f>
        <v>LOW</v>
      </c>
      <c r="O1413" s="4" t="str">
        <f t="shared" si="67"/>
        <v>OTHERS</v>
      </c>
      <c r="P1413" s="4" t="str">
        <f t="shared" si="68"/>
        <v>OTHERS</v>
      </c>
    </row>
    <row r="1414" spans="1:16" x14ac:dyDescent="0.3">
      <c r="A1414" s="4">
        <v>20</v>
      </c>
      <c r="B1414" t="s">
        <v>11</v>
      </c>
      <c r="C1414" s="4">
        <v>23.02</v>
      </c>
      <c r="D1414" t="s">
        <v>18</v>
      </c>
      <c r="E1414" t="s">
        <v>20</v>
      </c>
      <c r="F1414" s="4" t="s">
        <v>23</v>
      </c>
      <c r="G1414" s="4" t="s">
        <v>36</v>
      </c>
      <c r="H1414" s="4">
        <v>7</v>
      </c>
      <c r="I1414" s="4">
        <v>9</v>
      </c>
      <c r="J1414" s="1">
        <v>45543</v>
      </c>
      <c r="K1414" s="2">
        <v>9.408564814814814E-3</v>
      </c>
      <c r="M1414" s="4" t="str">
        <f t="shared" si="66"/>
        <v>LOW</v>
      </c>
      <c r="N1414" s="4" t="str" cm="1">
        <f t="array" ref="N1414">_xlfn.IFS(C1414&gt;35,"HIGH",C1414&gt;25,"MIDDLE",TRUE,"LOW")</f>
        <v>LOW</v>
      </c>
      <c r="O1414" s="4" t="str">
        <f t="shared" si="67"/>
        <v>OTHERS</v>
      </c>
      <c r="P1414" s="4" t="str">
        <f t="shared" si="68"/>
        <v>OTHERS</v>
      </c>
    </row>
    <row r="1415" spans="1:16" x14ac:dyDescent="0.3">
      <c r="A1415" s="4">
        <v>7</v>
      </c>
      <c r="B1415" t="s">
        <v>11</v>
      </c>
      <c r="C1415" s="4">
        <v>32.82</v>
      </c>
      <c r="D1415" t="s">
        <v>12</v>
      </c>
      <c r="E1415" t="s">
        <v>13</v>
      </c>
      <c r="F1415" s="4" t="s">
        <v>25</v>
      </c>
      <c r="G1415" s="4" t="s">
        <v>36</v>
      </c>
      <c r="H1415" s="4">
        <v>1</v>
      </c>
      <c r="I1415" s="4">
        <v>9</v>
      </c>
      <c r="J1415" s="1">
        <v>45544</v>
      </c>
      <c r="K1415" s="2">
        <v>3.557407407407407E-2</v>
      </c>
      <c r="M1415" s="4" t="str">
        <f t="shared" si="66"/>
        <v>LOW</v>
      </c>
      <c r="N1415" s="4" t="str" cm="1">
        <f t="array" ref="N1415">_xlfn.IFS(C1415&gt;35,"HIGH",C1415&gt;25,"MIDDLE",TRUE,"LOW")</f>
        <v>MIDDLE</v>
      </c>
      <c r="O1415" s="4" t="str">
        <f t="shared" si="67"/>
        <v>OTHERS</v>
      </c>
      <c r="P1415" s="4" t="str">
        <f t="shared" si="68"/>
        <v>PREMINUM MORNING</v>
      </c>
    </row>
    <row r="1416" spans="1:16" x14ac:dyDescent="0.3">
      <c r="A1416" s="4">
        <v>7</v>
      </c>
      <c r="B1416" t="s">
        <v>11</v>
      </c>
      <c r="C1416" s="4">
        <v>32.82</v>
      </c>
      <c r="D1416" t="s">
        <v>29</v>
      </c>
      <c r="E1416" t="s">
        <v>13</v>
      </c>
      <c r="F1416" s="4" t="s">
        <v>25</v>
      </c>
      <c r="G1416" s="4" t="s">
        <v>36</v>
      </c>
      <c r="H1416" s="4">
        <v>1</v>
      </c>
      <c r="I1416" s="4">
        <v>9</v>
      </c>
      <c r="J1416" s="1">
        <v>45544</v>
      </c>
      <c r="K1416" s="2">
        <v>3.7402777777777778E-2</v>
      </c>
      <c r="M1416" s="4" t="str">
        <f t="shared" si="66"/>
        <v>LOW</v>
      </c>
      <c r="N1416" s="4" t="str" cm="1">
        <f t="array" ref="N1416">_xlfn.IFS(C1416&gt;35,"HIGH",C1416&gt;25,"MIDDLE",TRUE,"LOW")</f>
        <v>MIDDLE</v>
      </c>
      <c r="O1416" s="4" t="str">
        <f t="shared" si="67"/>
        <v>OTHERS</v>
      </c>
      <c r="P1416" s="4" t="str">
        <f t="shared" si="68"/>
        <v>PREMINUM MORNING</v>
      </c>
    </row>
    <row r="1417" spans="1:16" x14ac:dyDescent="0.3">
      <c r="A1417" s="4">
        <v>7</v>
      </c>
      <c r="B1417" t="s">
        <v>11</v>
      </c>
      <c r="C1417" s="4">
        <v>27.92</v>
      </c>
      <c r="D1417" t="s">
        <v>19</v>
      </c>
      <c r="E1417" t="s">
        <v>13</v>
      </c>
      <c r="F1417" s="4" t="s">
        <v>25</v>
      </c>
      <c r="G1417" s="4" t="s">
        <v>36</v>
      </c>
      <c r="H1417" s="4">
        <v>1</v>
      </c>
      <c r="I1417" s="4">
        <v>9</v>
      </c>
      <c r="J1417" s="1">
        <v>45544</v>
      </c>
      <c r="K1417" s="2">
        <v>3.8444444444444441E-2</v>
      </c>
      <c r="M1417" s="4" t="str">
        <f t="shared" si="66"/>
        <v>LOW</v>
      </c>
      <c r="N1417" s="4" t="str" cm="1">
        <f t="array" ref="N1417">_xlfn.IFS(C1417&gt;35,"HIGH",C1417&gt;25,"MIDDLE",TRUE,"LOW")</f>
        <v>MIDDLE</v>
      </c>
      <c r="O1417" s="4" t="str">
        <f t="shared" si="67"/>
        <v>OTHERS</v>
      </c>
      <c r="P1417" s="4" t="str">
        <f t="shared" si="68"/>
        <v>PREMINUM MORNING</v>
      </c>
    </row>
    <row r="1418" spans="1:16" x14ac:dyDescent="0.3">
      <c r="A1418" s="4">
        <v>7</v>
      </c>
      <c r="B1418" t="s">
        <v>11</v>
      </c>
      <c r="C1418" s="4">
        <v>32.82</v>
      </c>
      <c r="D1418" t="s">
        <v>12</v>
      </c>
      <c r="E1418" t="s">
        <v>13</v>
      </c>
      <c r="F1418" s="4" t="s">
        <v>25</v>
      </c>
      <c r="G1418" s="4" t="s">
        <v>36</v>
      </c>
      <c r="H1418" s="4">
        <v>1</v>
      </c>
      <c r="I1418" s="4">
        <v>9</v>
      </c>
      <c r="J1418" s="1">
        <v>45544</v>
      </c>
      <c r="K1418" s="2">
        <v>3.9325231481481482E-2</v>
      </c>
      <c r="M1418" s="4" t="str">
        <f t="shared" si="66"/>
        <v>LOW</v>
      </c>
      <c r="N1418" s="4" t="str" cm="1">
        <f t="array" ref="N1418">_xlfn.IFS(C1418&gt;35,"HIGH",C1418&gt;25,"MIDDLE",TRUE,"LOW")</f>
        <v>MIDDLE</v>
      </c>
      <c r="O1418" s="4" t="str">
        <f t="shared" si="67"/>
        <v>OTHERS</v>
      </c>
      <c r="P1418" s="4" t="str">
        <f t="shared" si="68"/>
        <v>PREMINUM MORNING</v>
      </c>
    </row>
    <row r="1419" spans="1:16" x14ac:dyDescent="0.3">
      <c r="A1419" s="4">
        <v>9</v>
      </c>
      <c r="B1419" t="s">
        <v>11</v>
      </c>
      <c r="C1419" s="4">
        <v>32.82</v>
      </c>
      <c r="D1419" t="s">
        <v>12</v>
      </c>
      <c r="E1419" t="s">
        <v>13</v>
      </c>
      <c r="F1419" s="4" t="s">
        <v>25</v>
      </c>
      <c r="G1419" s="4" t="s">
        <v>36</v>
      </c>
      <c r="H1419" s="4">
        <v>1</v>
      </c>
      <c r="I1419" s="4">
        <v>9</v>
      </c>
      <c r="J1419" s="1">
        <v>45544</v>
      </c>
      <c r="K1419" s="2">
        <v>3.4614583333333331E-2</v>
      </c>
      <c r="M1419" s="4" t="str">
        <f t="shared" si="66"/>
        <v>LOW</v>
      </c>
      <c r="N1419" s="4" t="str" cm="1">
        <f t="array" ref="N1419">_xlfn.IFS(C1419&gt;35,"HIGH",C1419&gt;25,"MIDDLE",TRUE,"LOW")</f>
        <v>MIDDLE</v>
      </c>
      <c r="O1419" s="4" t="str">
        <f t="shared" si="67"/>
        <v>OTHERS</v>
      </c>
      <c r="P1419" s="4" t="str">
        <f t="shared" si="68"/>
        <v>PREMINUM MORNING</v>
      </c>
    </row>
    <row r="1420" spans="1:16" x14ac:dyDescent="0.3">
      <c r="A1420" s="4">
        <v>9</v>
      </c>
      <c r="B1420" t="s">
        <v>11</v>
      </c>
      <c r="C1420" s="4">
        <v>32.82</v>
      </c>
      <c r="D1420" t="s">
        <v>16</v>
      </c>
      <c r="E1420" t="s">
        <v>13</v>
      </c>
      <c r="F1420" s="4" t="s">
        <v>25</v>
      </c>
      <c r="G1420" s="4" t="s">
        <v>36</v>
      </c>
      <c r="H1420" s="4">
        <v>1</v>
      </c>
      <c r="I1420" s="4">
        <v>9</v>
      </c>
      <c r="J1420" s="1">
        <v>45544</v>
      </c>
      <c r="K1420" s="2">
        <v>3.5320601851851853E-2</v>
      </c>
      <c r="M1420" s="4" t="str">
        <f t="shared" si="66"/>
        <v>LOW</v>
      </c>
      <c r="N1420" s="4" t="str" cm="1">
        <f t="array" ref="N1420">_xlfn.IFS(C1420&gt;35,"HIGH",C1420&gt;25,"MIDDLE",TRUE,"LOW")</f>
        <v>MIDDLE</v>
      </c>
      <c r="O1420" s="4" t="str">
        <f t="shared" si="67"/>
        <v>OTHERS</v>
      </c>
      <c r="P1420" s="4" t="str">
        <f t="shared" si="68"/>
        <v>PREMINUM MORNING</v>
      </c>
    </row>
    <row r="1421" spans="1:16" x14ac:dyDescent="0.3">
      <c r="A1421" s="4">
        <v>9</v>
      </c>
      <c r="B1421" t="s">
        <v>11</v>
      </c>
      <c r="C1421" s="4">
        <v>32.82</v>
      </c>
      <c r="D1421" t="s">
        <v>12</v>
      </c>
      <c r="E1421" t="s">
        <v>13</v>
      </c>
      <c r="F1421" s="4" t="s">
        <v>25</v>
      </c>
      <c r="G1421" s="4" t="s">
        <v>36</v>
      </c>
      <c r="H1421" s="4">
        <v>1</v>
      </c>
      <c r="I1421" s="4">
        <v>9</v>
      </c>
      <c r="J1421" s="1">
        <v>45544</v>
      </c>
      <c r="K1421" s="2">
        <v>4.1096064814814814E-2</v>
      </c>
      <c r="M1421" s="4" t="str">
        <f t="shared" si="66"/>
        <v>LOW</v>
      </c>
      <c r="N1421" s="4" t="str" cm="1">
        <f t="array" ref="N1421">_xlfn.IFS(C1421&gt;35,"HIGH",C1421&gt;25,"MIDDLE",TRUE,"LOW")</f>
        <v>MIDDLE</v>
      </c>
      <c r="O1421" s="4" t="str">
        <f t="shared" si="67"/>
        <v>OTHERS</v>
      </c>
      <c r="P1421" s="4" t="str">
        <f t="shared" si="68"/>
        <v>PREMINUM MORNING</v>
      </c>
    </row>
    <row r="1422" spans="1:16" x14ac:dyDescent="0.3">
      <c r="A1422" s="4">
        <v>11</v>
      </c>
      <c r="B1422" t="s">
        <v>11</v>
      </c>
      <c r="C1422" s="4">
        <v>27.92</v>
      </c>
      <c r="D1422" t="s">
        <v>19</v>
      </c>
      <c r="E1422" t="s">
        <v>13</v>
      </c>
      <c r="F1422" s="4" t="s">
        <v>25</v>
      </c>
      <c r="G1422" s="4" t="s">
        <v>36</v>
      </c>
      <c r="H1422" s="4">
        <v>1</v>
      </c>
      <c r="I1422" s="4">
        <v>9</v>
      </c>
      <c r="J1422" s="1">
        <v>45544</v>
      </c>
      <c r="K1422" s="2">
        <v>8.0567129629629634E-3</v>
      </c>
      <c r="M1422" s="4" t="str">
        <f t="shared" si="66"/>
        <v>LOW</v>
      </c>
      <c r="N1422" s="4" t="str" cm="1">
        <f t="array" ref="N1422">_xlfn.IFS(C1422&gt;35,"HIGH",C1422&gt;25,"MIDDLE",TRUE,"LOW")</f>
        <v>MIDDLE</v>
      </c>
      <c r="O1422" s="4" t="str">
        <f t="shared" si="67"/>
        <v>OTHERS</v>
      </c>
      <c r="P1422" s="4" t="str">
        <f t="shared" si="68"/>
        <v>PREMINUM MORNING</v>
      </c>
    </row>
    <row r="1423" spans="1:16" x14ac:dyDescent="0.3">
      <c r="A1423" s="4">
        <v>11</v>
      </c>
      <c r="B1423" t="s">
        <v>11</v>
      </c>
      <c r="C1423" s="4">
        <v>27.92</v>
      </c>
      <c r="D1423" t="s">
        <v>19</v>
      </c>
      <c r="E1423" t="s">
        <v>13</v>
      </c>
      <c r="F1423" s="4" t="s">
        <v>25</v>
      </c>
      <c r="G1423" s="4" t="s">
        <v>36</v>
      </c>
      <c r="H1423" s="4">
        <v>1</v>
      </c>
      <c r="I1423" s="4">
        <v>9</v>
      </c>
      <c r="J1423" s="1">
        <v>45544</v>
      </c>
      <c r="K1423" s="2">
        <v>8.9189814814814826E-3</v>
      </c>
      <c r="M1423" s="4" t="str">
        <f t="shared" si="66"/>
        <v>LOW</v>
      </c>
      <c r="N1423" s="4" t="str" cm="1">
        <f t="array" ref="N1423">_xlfn.IFS(C1423&gt;35,"HIGH",C1423&gt;25,"MIDDLE",TRUE,"LOW")</f>
        <v>MIDDLE</v>
      </c>
      <c r="O1423" s="4" t="str">
        <f t="shared" si="67"/>
        <v>OTHERS</v>
      </c>
      <c r="P1423" s="4" t="str">
        <f t="shared" si="68"/>
        <v>PREMINUM MORNING</v>
      </c>
    </row>
    <row r="1424" spans="1:16" x14ac:dyDescent="0.3">
      <c r="A1424" s="4">
        <v>11</v>
      </c>
      <c r="B1424" t="s">
        <v>11</v>
      </c>
      <c r="C1424" s="4">
        <v>32.82</v>
      </c>
      <c r="D1424" t="s">
        <v>12</v>
      </c>
      <c r="E1424" t="s">
        <v>13</v>
      </c>
      <c r="F1424" s="4" t="s">
        <v>25</v>
      </c>
      <c r="G1424" s="4" t="s">
        <v>36</v>
      </c>
      <c r="H1424" s="4">
        <v>1</v>
      </c>
      <c r="I1424" s="4">
        <v>9</v>
      </c>
      <c r="J1424" s="1">
        <v>45544</v>
      </c>
      <c r="K1424" s="2">
        <v>2.0708333333333336E-2</v>
      </c>
      <c r="M1424" s="4" t="str">
        <f t="shared" si="66"/>
        <v>LOW</v>
      </c>
      <c r="N1424" s="4" t="str" cm="1">
        <f t="array" ref="N1424">_xlfn.IFS(C1424&gt;35,"HIGH",C1424&gt;25,"MIDDLE",TRUE,"LOW")</f>
        <v>MIDDLE</v>
      </c>
      <c r="O1424" s="4" t="str">
        <f t="shared" si="67"/>
        <v>OTHERS</v>
      </c>
      <c r="P1424" s="4" t="str">
        <f t="shared" si="68"/>
        <v>PREMINUM MORNING</v>
      </c>
    </row>
    <row r="1425" spans="1:16" x14ac:dyDescent="0.3">
      <c r="A1425" s="4">
        <v>12</v>
      </c>
      <c r="B1425" t="s">
        <v>11</v>
      </c>
      <c r="C1425" s="4">
        <v>18.12</v>
      </c>
      <c r="D1425" t="s">
        <v>26</v>
      </c>
      <c r="E1425" t="s">
        <v>17</v>
      </c>
      <c r="F1425" s="4" t="s">
        <v>25</v>
      </c>
      <c r="G1425" s="4" t="s">
        <v>36</v>
      </c>
      <c r="H1425" s="4">
        <v>1</v>
      </c>
      <c r="I1425" s="4">
        <v>9</v>
      </c>
      <c r="J1425" s="1">
        <v>45544</v>
      </c>
      <c r="K1425" s="2">
        <v>4.8576388888888888E-3</v>
      </c>
      <c r="M1425" s="4" t="str">
        <f t="shared" si="66"/>
        <v>LOW</v>
      </c>
      <c r="N1425" s="4" t="str" cm="1">
        <f t="array" ref="N1425">_xlfn.IFS(C1425&gt;35,"HIGH",C1425&gt;25,"MIDDLE",TRUE,"LOW")</f>
        <v>LOW</v>
      </c>
      <c r="O1425" s="4" t="str">
        <f t="shared" si="67"/>
        <v>OTHERS</v>
      </c>
      <c r="P1425" s="4" t="str">
        <f t="shared" si="68"/>
        <v>OTHERS</v>
      </c>
    </row>
    <row r="1426" spans="1:16" x14ac:dyDescent="0.3">
      <c r="A1426" s="4">
        <v>15</v>
      </c>
      <c r="B1426" t="s">
        <v>11</v>
      </c>
      <c r="C1426" s="4">
        <v>32.82</v>
      </c>
      <c r="D1426" t="s">
        <v>12</v>
      </c>
      <c r="E1426" t="s">
        <v>17</v>
      </c>
      <c r="F1426" s="4" t="s">
        <v>25</v>
      </c>
      <c r="G1426" s="4" t="s">
        <v>36</v>
      </c>
      <c r="H1426" s="4">
        <v>1</v>
      </c>
      <c r="I1426" s="4">
        <v>9</v>
      </c>
      <c r="J1426" s="1">
        <v>45544</v>
      </c>
      <c r="K1426" s="2">
        <v>8.4930555555555558E-3</v>
      </c>
      <c r="M1426" s="4" t="str">
        <f t="shared" si="66"/>
        <v>LOW</v>
      </c>
      <c r="N1426" s="4" t="str" cm="1">
        <f t="array" ref="N1426">_xlfn.IFS(C1426&gt;35,"HIGH",C1426&gt;25,"MIDDLE",TRUE,"LOW")</f>
        <v>MIDDLE</v>
      </c>
      <c r="O1426" s="4" t="str">
        <f t="shared" si="67"/>
        <v>OTHERS</v>
      </c>
      <c r="P1426" s="4" t="str">
        <f t="shared" si="68"/>
        <v>OTHERS</v>
      </c>
    </row>
    <row r="1427" spans="1:16" x14ac:dyDescent="0.3">
      <c r="A1427" s="4">
        <v>15</v>
      </c>
      <c r="B1427" t="s">
        <v>11</v>
      </c>
      <c r="C1427" s="4">
        <v>23.02</v>
      </c>
      <c r="D1427" t="s">
        <v>18</v>
      </c>
      <c r="E1427" t="s">
        <v>17</v>
      </c>
      <c r="F1427" s="4" t="s">
        <v>25</v>
      </c>
      <c r="G1427" s="4" t="s">
        <v>36</v>
      </c>
      <c r="H1427" s="4">
        <v>1</v>
      </c>
      <c r="I1427" s="4">
        <v>9</v>
      </c>
      <c r="J1427" s="1">
        <v>45544</v>
      </c>
      <c r="K1427" s="2">
        <v>9.3113425925925933E-3</v>
      </c>
      <c r="M1427" s="4" t="str">
        <f t="shared" si="66"/>
        <v>LOW</v>
      </c>
      <c r="N1427" s="4" t="str" cm="1">
        <f t="array" ref="N1427">_xlfn.IFS(C1427&gt;35,"HIGH",C1427&gt;25,"MIDDLE",TRUE,"LOW")</f>
        <v>LOW</v>
      </c>
      <c r="O1427" s="4" t="str">
        <f t="shared" si="67"/>
        <v>OTHERS</v>
      </c>
      <c r="P1427" s="4" t="str">
        <f t="shared" si="68"/>
        <v>OTHERS</v>
      </c>
    </row>
    <row r="1428" spans="1:16" x14ac:dyDescent="0.3">
      <c r="A1428" s="4">
        <v>17</v>
      </c>
      <c r="B1428" t="s">
        <v>11</v>
      </c>
      <c r="C1428" s="4">
        <v>32.82</v>
      </c>
      <c r="D1428" t="s">
        <v>12</v>
      </c>
      <c r="E1428" t="s">
        <v>20</v>
      </c>
      <c r="F1428" s="4" t="s">
        <v>25</v>
      </c>
      <c r="G1428" s="4" t="s">
        <v>36</v>
      </c>
      <c r="H1428" s="4">
        <v>1</v>
      </c>
      <c r="I1428" s="4">
        <v>9</v>
      </c>
      <c r="J1428" s="1">
        <v>45544</v>
      </c>
      <c r="K1428" s="2">
        <v>1.6787037037037038E-2</v>
      </c>
      <c r="M1428" s="4" t="str">
        <f t="shared" si="66"/>
        <v>LOW</v>
      </c>
      <c r="N1428" s="4" t="str" cm="1">
        <f t="array" ref="N1428">_xlfn.IFS(C1428&gt;35,"HIGH",C1428&gt;25,"MIDDLE",TRUE,"LOW")</f>
        <v>MIDDLE</v>
      </c>
      <c r="O1428" s="4" t="str">
        <f t="shared" si="67"/>
        <v>OTHERS</v>
      </c>
      <c r="P1428" s="4" t="str">
        <f t="shared" si="68"/>
        <v>OTHERS</v>
      </c>
    </row>
    <row r="1429" spans="1:16" x14ac:dyDescent="0.3">
      <c r="A1429" s="4">
        <v>18</v>
      </c>
      <c r="B1429" t="s">
        <v>11</v>
      </c>
      <c r="C1429" s="4">
        <v>32.82</v>
      </c>
      <c r="D1429" t="s">
        <v>12</v>
      </c>
      <c r="E1429" t="s">
        <v>20</v>
      </c>
      <c r="F1429" s="4" t="s">
        <v>25</v>
      </c>
      <c r="G1429" s="4" t="s">
        <v>36</v>
      </c>
      <c r="H1429" s="4">
        <v>1</v>
      </c>
      <c r="I1429" s="4">
        <v>9</v>
      </c>
      <c r="J1429" s="1">
        <v>45544</v>
      </c>
      <c r="K1429" s="2">
        <v>9.5636574074074061E-3</v>
      </c>
      <c r="M1429" s="4" t="str">
        <f t="shared" si="66"/>
        <v>LOW</v>
      </c>
      <c r="N1429" s="4" t="str" cm="1">
        <f t="array" ref="N1429">_xlfn.IFS(C1429&gt;35,"HIGH",C1429&gt;25,"MIDDLE",TRUE,"LOW")</f>
        <v>MIDDLE</v>
      </c>
      <c r="O1429" s="4" t="str">
        <f t="shared" si="67"/>
        <v>OTHERS</v>
      </c>
      <c r="P1429" s="4" t="str">
        <f t="shared" si="68"/>
        <v>OTHERS</v>
      </c>
    </row>
    <row r="1430" spans="1:16" x14ac:dyDescent="0.3">
      <c r="A1430" s="4">
        <v>20</v>
      </c>
      <c r="B1430" t="s">
        <v>11</v>
      </c>
      <c r="C1430" s="4">
        <v>32.82</v>
      </c>
      <c r="D1430" t="s">
        <v>29</v>
      </c>
      <c r="E1430" t="s">
        <v>20</v>
      </c>
      <c r="F1430" s="4" t="s">
        <v>25</v>
      </c>
      <c r="G1430" s="4" t="s">
        <v>36</v>
      </c>
      <c r="H1430" s="4">
        <v>1</v>
      </c>
      <c r="I1430" s="4">
        <v>9</v>
      </c>
      <c r="J1430" s="1">
        <v>45544</v>
      </c>
      <c r="K1430" s="2">
        <v>5.2800925925925923E-3</v>
      </c>
      <c r="M1430" s="4" t="str">
        <f t="shared" si="66"/>
        <v>LOW</v>
      </c>
      <c r="N1430" s="4" t="str" cm="1">
        <f t="array" ref="N1430">_xlfn.IFS(C1430&gt;35,"HIGH",C1430&gt;25,"MIDDLE",TRUE,"LOW")</f>
        <v>MIDDLE</v>
      </c>
      <c r="O1430" s="4" t="str">
        <f t="shared" si="67"/>
        <v>OTHERS</v>
      </c>
      <c r="P1430" s="4" t="str">
        <f t="shared" si="68"/>
        <v>OTHERS</v>
      </c>
    </row>
    <row r="1431" spans="1:16" x14ac:dyDescent="0.3">
      <c r="A1431" s="4">
        <v>20</v>
      </c>
      <c r="B1431" t="s">
        <v>11</v>
      </c>
      <c r="C1431" s="4">
        <v>32.82</v>
      </c>
      <c r="D1431" t="s">
        <v>12</v>
      </c>
      <c r="E1431" t="s">
        <v>20</v>
      </c>
      <c r="F1431" s="4" t="s">
        <v>25</v>
      </c>
      <c r="G1431" s="4" t="s">
        <v>36</v>
      </c>
      <c r="H1431" s="4">
        <v>1</v>
      </c>
      <c r="I1431" s="4">
        <v>9</v>
      </c>
      <c r="J1431" s="1">
        <v>45544</v>
      </c>
      <c r="K1431" s="2">
        <v>9.5312499999999998E-3</v>
      </c>
      <c r="M1431" s="4" t="str">
        <f t="shared" si="66"/>
        <v>LOW</v>
      </c>
      <c r="N1431" s="4" t="str" cm="1">
        <f t="array" ref="N1431">_xlfn.IFS(C1431&gt;35,"HIGH",C1431&gt;25,"MIDDLE",TRUE,"LOW")</f>
        <v>MIDDLE</v>
      </c>
      <c r="O1431" s="4" t="str">
        <f t="shared" si="67"/>
        <v>OTHERS</v>
      </c>
      <c r="P1431" s="4" t="str">
        <f t="shared" si="68"/>
        <v>OTHERS</v>
      </c>
    </row>
    <row r="1432" spans="1:16" x14ac:dyDescent="0.3">
      <c r="A1432" s="4">
        <v>8</v>
      </c>
      <c r="B1432" t="s">
        <v>11</v>
      </c>
      <c r="C1432" s="4">
        <v>32.82</v>
      </c>
      <c r="D1432" t="s">
        <v>16</v>
      </c>
      <c r="E1432" t="s">
        <v>13</v>
      </c>
      <c r="F1432" s="4" t="s">
        <v>27</v>
      </c>
      <c r="G1432" s="4" t="s">
        <v>36</v>
      </c>
      <c r="H1432" s="4">
        <v>2</v>
      </c>
      <c r="I1432" s="4">
        <v>9</v>
      </c>
      <c r="J1432" s="1">
        <v>45545</v>
      </c>
      <c r="K1432" s="2">
        <v>8.3611111111111108E-3</v>
      </c>
      <c r="M1432" s="4" t="str">
        <f t="shared" si="66"/>
        <v>LOW</v>
      </c>
      <c r="N1432" s="4" t="str" cm="1">
        <f t="array" ref="N1432">_xlfn.IFS(C1432&gt;35,"HIGH",C1432&gt;25,"MIDDLE",TRUE,"LOW")</f>
        <v>MIDDLE</v>
      </c>
      <c r="O1432" s="4" t="str">
        <f t="shared" si="67"/>
        <v>OTHERS</v>
      </c>
      <c r="P1432" s="4" t="str">
        <f t="shared" si="68"/>
        <v>PREMINUM MORNING</v>
      </c>
    </row>
    <row r="1433" spans="1:16" x14ac:dyDescent="0.3">
      <c r="A1433" s="4">
        <v>9</v>
      </c>
      <c r="B1433" t="s">
        <v>11</v>
      </c>
      <c r="C1433" s="4">
        <v>32.82</v>
      </c>
      <c r="D1433" t="s">
        <v>29</v>
      </c>
      <c r="E1433" t="s">
        <v>13</v>
      </c>
      <c r="F1433" s="4" t="s">
        <v>27</v>
      </c>
      <c r="G1433" s="4" t="s">
        <v>36</v>
      </c>
      <c r="H1433" s="4">
        <v>2</v>
      </c>
      <c r="I1433" s="4">
        <v>9</v>
      </c>
      <c r="J1433" s="1">
        <v>45545</v>
      </c>
      <c r="K1433" s="2">
        <v>2.2763888888888889E-2</v>
      </c>
      <c r="M1433" s="4" t="str">
        <f t="shared" si="66"/>
        <v>LOW</v>
      </c>
      <c r="N1433" s="4" t="str" cm="1">
        <f t="array" ref="N1433">_xlfn.IFS(C1433&gt;35,"HIGH",C1433&gt;25,"MIDDLE",TRUE,"LOW")</f>
        <v>MIDDLE</v>
      </c>
      <c r="O1433" s="4" t="str">
        <f t="shared" si="67"/>
        <v>OTHERS</v>
      </c>
      <c r="P1433" s="4" t="str">
        <f t="shared" si="68"/>
        <v>PREMINUM MORNING</v>
      </c>
    </row>
    <row r="1434" spans="1:16" x14ac:dyDescent="0.3">
      <c r="A1434" s="4">
        <v>15</v>
      </c>
      <c r="B1434" t="s">
        <v>11</v>
      </c>
      <c r="C1434" s="4">
        <v>23.02</v>
      </c>
      <c r="D1434" t="s">
        <v>24</v>
      </c>
      <c r="E1434" t="s">
        <v>17</v>
      </c>
      <c r="F1434" s="4" t="s">
        <v>27</v>
      </c>
      <c r="G1434" s="4" t="s">
        <v>36</v>
      </c>
      <c r="H1434" s="4">
        <v>2</v>
      </c>
      <c r="I1434" s="4">
        <v>9</v>
      </c>
      <c r="J1434" s="1">
        <v>45545</v>
      </c>
      <c r="K1434" s="2">
        <v>1.5212962962962965E-2</v>
      </c>
      <c r="M1434" s="4" t="str">
        <f t="shared" si="66"/>
        <v>LOW</v>
      </c>
      <c r="N1434" s="4" t="str" cm="1">
        <f t="array" ref="N1434">_xlfn.IFS(C1434&gt;35,"HIGH",C1434&gt;25,"MIDDLE",TRUE,"LOW")</f>
        <v>LOW</v>
      </c>
      <c r="O1434" s="4" t="str">
        <f t="shared" si="67"/>
        <v>OTHERS</v>
      </c>
      <c r="P1434" s="4" t="str">
        <f t="shared" si="68"/>
        <v>OTHERS</v>
      </c>
    </row>
    <row r="1435" spans="1:16" x14ac:dyDescent="0.3">
      <c r="A1435" s="4">
        <v>15</v>
      </c>
      <c r="B1435" t="s">
        <v>11</v>
      </c>
      <c r="C1435" s="4">
        <v>23.02</v>
      </c>
      <c r="D1435" t="s">
        <v>24</v>
      </c>
      <c r="E1435" t="s">
        <v>17</v>
      </c>
      <c r="F1435" s="4" t="s">
        <v>27</v>
      </c>
      <c r="G1435" s="4" t="s">
        <v>36</v>
      </c>
      <c r="H1435" s="4">
        <v>2</v>
      </c>
      <c r="I1435" s="4">
        <v>9</v>
      </c>
      <c r="J1435" s="1">
        <v>45545</v>
      </c>
      <c r="K1435" s="2">
        <v>1.6040509259259261E-2</v>
      </c>
      <c r="M1435" s="4" t="str">
        <f t="shared" si="66"/>
        <v>LOW</v>
      </c>
      <c r="N1435" s="4" t="str" cm="1">
        <f t="array" ref="N1435">_xlfn.IFS(C1435&gt;35,"HIGH",C1435&gt;25,"MIDDLE",TRUE,"LOW")</f>
        <v>LOW</v>
      </c>
      <c r="O1435" s="4" t="str">
        <f t="shared" si="67"/>
        <v>OTHERS</v>
      </c>
      <c r="P1435" s="4" t="str">
        <f t="shared" si="68"/>
        <v>OTHERS</v>
      </c>
    </row>
    <row r="1436" spans="1:16" x14ac:dyDescent="0.3">
      <c r="A1436" s="4">
        <v>18</v>
      </c>
      <c r="B1436" t="s">
        <v>11</v>
      </c>
      <c r="C1436" s="4">
        <v>32.82</v>
      </c>
      <c r="D1436" t="s">
        <v>29</v>
      </c>
      <c r="E1436" t="s">
        <v>20</v>
      </c>
      <c r="F1436" s="4" t="s">
        <v>27</v>
      </c>
      <c r="G1436" s="4" t="s">
        <v>36</v>
      </c>
      <c r="H1436" s="4">
        <v>2</v>
      </c>
      <c r="I1436" s="4">
        <v>9</v>
      </c>
      <c r="J1436" s="1">
        <v>45545</v>
      </c>
      <c r="K1436" s="2">
        <v>3.0344907407407411E-2</v>
      </c>
      <c r="M1436" s="4" t="str">
        <f t="shared" si="66"/>
        <v>LOW</v>
      </c>
      <c r="N1436" s="4" t="str" cm="1">
        <f t="array" ref="N1436">_xlfn.IFS(C1436&gt;35,"HIGH",C1436&gt;25,"MIDDLE",TRUE,"LOW")</f>
        <v>MIDDLE</v>
      </c>
      <c r="O1436" s="4" t="str">
        <f t="shared" si="67"/>
        <v>OTHERS</v>
      </c>
      <c r="P1436" s="4" t="str">
        <f t="shared" si="68"/>
        <v>OTHERS</v>
      </c>
    </row>
    <row r="1437" spans="1:16" x14ac:dyDescent="0.3">
      <c r="A1437" s="4">
        <v>18</v>
      </c>
      <c r="B1437" t="s">
        <v>11</v>
      </c>
      <c r="C1437" s="4">
        <v>27.92</v>
      </c>
      <c r="D1437" t="s">
        <v>19</v>
      </c>
      <c r="E1437" t="s">
        <v>20</v>
      </c>
      <c r="F1437" s="4" t="s">
        <v>27</v>
      </c>
      <c r="G1437" s="4" t="s">
        <v>36</v>
      </c>
      <c r="H1437" s="4">
        <v>2</v>
      </c>
      <c r="I1437" s="4">
        <v>9</v>
      </c>
      <c r="J1437" s="1">
        <v>45545</v>
      </c>
      <c r="K1437" s="2">
        <v>3.1511574074074074E-2</v>
      </c>
      <c r="M1437" s="4" t="str">
        <f t="shared" si="66"/>
        <v>LOW</v>
      </c>
      <c r="N1437" s="4" t="str" cm="1">
        <f t="array" ref="N1437">_xlfn.IFS(C1437&gt;35,"HIGH",C1437&gt;25,"MIDDLE",TRUE,"LOW")</f>
        <v>MIDDLE</v>
      </c>
      <c r="O1437" s="4" t="str">
        <f t="shared" si="67"/>
        <v>OTHERS</v>
      </c>
      <c r="P1437" s="4" t="str">
        <f t="shared" si="68"/>
        <v>OTHERS</v>
      </c>
    </row>
    <row r="1438" spans="1:16" x14ac:dyDescent="0.3">
      <c r="A1438" s="4">
        <v>19</v>
      </c>
      <c r="B1438" t="s">
        <v>11</v>
      </c>
      <c r="C1438" s="4">
        <v>32.82</v>
      </c>
      <c r="D1438" t="s">
        <v>12</v>
      </c>
      <c r="E1438" t="s">
        <v>20</v>
      </c>
      <c r="F1438" s="4" t="s">
        <v>27</v>
      </c>
      <c r="G1438" s="4" t="s">
        <v>36</v>
      </c>
      <c r="H1438" s="4">
        <v>2</v>
      </c>
      <c r="I1438" s="4">
        <v>9</v>
      </c>
      <c r="J1438" s="1">
        <v>45545</v>
      </c>
      <c r="K1438" s="2">
        <v>1.8865740740740742E-3</v>
      </c>
      <c r="M1438" s="4" t="str">
        <f t="shared" si="66"/>
        <v>LOW</v>
      </c>
      <c r="N1438" s="4" t="str" cm="1">
        <f t="array" ref="N1438">_xlfn.IFS(C1438&gt;35,"HIGH",C1438&gt;25,"MIDDLE",TRUE,"LOW")</f>
        <v>MIDDLE</v>
      </c>
      <c r="O1438" s="4" t="str">
        <f t="shared" si="67"/>
        <v>OTHERS</v>
      </c>
      <c r="P1438" s="4" t="str">
        <f t="shared" si="68"/>
        <v>OTHERS</v>
      </c>
    </row>
    <row r="1439" spans="1:16" x14ac:dyDescent="0.3">
      <c r="A1439" s="4">
        <v>19</v>
      </c>
      <c r="B1439" t="s">
        <v>11</v>
      </c>
      <c r="C1439" s="4">
        <v>32.82</v>
      </c>
      <c r="D1439" t="s">
        <v>12</v>
      </c>
      <c r="E1439" t="s">
        <v>20</v>
      </c>
      <c r="F1439" s="4" t="s">
        <v>27</v>
      </c>
      <c r="G1439" s="4" t="s">
        <v>36</v>
      </c>
      <c r="H1439" s="4">
        <v>2</v>
      </c>
      <c r="I1439" s="4">
        <v>9</v>
      </c>
      <c r="J1439" s="1">
        <v>45545</v>
      </c>
      <c r="K1439" s="2">
        <v>2.7002314814814814E-3</v>
      </c>
      <c r="M1439" s="4" t="str">
        <f t="shared" si="66"/>
        <v>LOW</v>
      </c>
      <c r="N1439" s="4" t="str" cm="1">
        <f t="array" ref="N1439">_xlfn.IFS(C1439&gt;35,"HIGH",C1439&gt;25,"MIDDLE",TRUE,"LOW")</f>
        <v>MIDDLE</v>
      </c>
      <c r="O1439" s="4" t="str">
        <f t="shared" si="67"/>
        <v>OTHERS</v>
      </c>
      <c r="P1439" s="4" t="str">
        <f t="shared" si="68"/>
        <v>OTHERS</v>
      </c>
    </row>
    <row r="1440" spans="1:16" x14ac:dyDescent="0.3">
      <c r="A1440" s="4">
        <v>21</v>
      </c>
      <c r="B1440" t="s">
        <v>11</v>
      </c>
      <c r="C1440" s="4">
        <v>27.92</v>
      </c>
      <c r="D1440" t="s">
        <v>19</v>
      </c>
      <c r="E1440" t="s">
        <v>20</v>
      </c>
      <c r="F1440" s="4" t="s">
        <v>27</v>
      </c>
      <c r="G1440" s="4" t="s">
        <v>36</v>
      </c>
      <c r="H1440" s="4">
        <v>2</v>
      </c>
      <c r="I1440" s="4">
        <v>9</v>
      </c>
      <c r="J1440" s="1">
        <v>45545</v>
      </c>
      <c r="K1440" s="2">
        <v>2.053935185185185E-2</v>
      </c>
      <c r="M1440" s="4" t="str">
        <f t="shared" si="66"/>
        <v>LOW</v>
      </c>
      <c r="N1440" s="4" t="str" cm="1">
        <f t="array" ref="N1440">_xlfn.IFS(C1440&gt;35,"HIGH",C1440&gt;25,"MIDDLE",TRUE,"LOW")</f>
        <v>MIDDLE</v>
      </c>
      <c r="O1440" s="4" t="str">
        <f t="shared" si="67"/>
        <v>OTHERS</v>
      </c>
      <c r="P1440" s="4" t="str">
        <f t="shared" si="68"/>
        <v>OTHERS</v>
      </c>
    </row>
    <row r="1441" spans="1:16" x14ac:dyDescent="0.3">
      <c r="A1441" s="4">
        <v>21</v>
      </c>
      <c r="B1441" t="s">
        <v>11</v>
      </c>
      <c r="C1441" s="4">
        <v>23.02</v>
      </c>
      <c r="D1441" t="s">
        <v>18</v>
      </c>
      <c r="E1441" t="s">
        <v>20</v>
      </c>
      <c r="F1441" s="4" t="s">
        <v>27</v>
      </c>
      <c r="G1441" s="4" t="s">
        <v>36</v>
      </c>
      <c r="H1441" s="4">
        <v>2</v>
      </c>
      <c r="I1441" s="4">
        <v>9</v>
      </c>
      <c r="J1441" s="1">
        <v>45545</v>
      </c>
      <c r="K1441" s="2">
        <v>2.1145833333333332E-2</v>
      </c>
      <c r="M1441" s="4" t="str">
        <f t="shared" si="66"/>
        <v>LOW</v>
      </c>
      <c r="N1441" s="4" t="str" cm="1">
        <f t="array" ref="N1441">_xlfn.IFS(C1441&gt;35,"HIGH",C1441&gt;25,"MIDDLE",TRUE,"LOW")</f>
        <v>LOW</v>
      </c>
      <c r="O1441" s="4" t="str">
        <f t="shared" si="67"/>
        <v>OTHERS</v>
      </c>
      <c r="P1441" s="4" t="str">
        <f t="shared" si="68"/>
        <v>OTHERS</v>
      </c>
    </row>
    <row r="1442" spans="1:16" x14ac:dyDescent="0.3">
      <c r="A1442" s="4">
        <v>8</v>
      </c>
      <c r="B1442" t="s">
        <v>11</v>
      </c>
      <c r="C1442" s="4">
        <v>32.82</v>
      </c>
      <c r="D1442" t="s">
        <v>12</v>
      </c>
      <c r="E1442" t="s">
        <v>13</v>
      </c>
      <c r="F1442" s="4" t="s">
        <v>28</v>
      </c>
      <c r="G1442" s="4" t="s">
        <v>36</v>
      </c>
      <c r="H1442" s="4">
        <v>3</v>
      </c>
      <c r="I1442" s="4">
        <v>9</v>
      </c>
      <c r="J1442" s="1">
        <v>45546</v>
      </c>
      <c r="K1442" s="2">
        <v>3.2896990740740741E-2</v>
      </c>
      <c r="M1442" s="4" t="str">
        <f t="shared" si="66"/>
        <v>LOW</v>
      </c>
      <c r="N1442" s="4" t="str" cm="1">
        <f t="array" ref="N1442">_xlfn.IFS(C1442&gt;35,"HIGH",C1442&gt;25,"MIDDLE",TRUE,"LOW")</f>
        <v>MIDDLE</v>
      </c>
      <c r="O1442" s="4" t="str">
        <f t="shared" si="67"/>
        <v>OTHERS</v>
      </c>
      <c r="P1442" s="4" t="str">
        <f t="shared" si="68"/>
        <v>PREMINUM MORNING</v>
      </c>
    </row>
    <row r="1443" spans="1:16" x14ac:dyDescent="0.3">
      <c r="A1443" s="4">
        <v>9</v>
      </c>
      <c r="B1443" t="s">
        <v>11</v>
      </c>
      <c r="C1443" s="4">
        <v>27.92</v>
      </c>
      <c r="D1443" t="s">
        <v>19</v>
      </c>
      <c r="E1443" t="s">
        <v>13</v>
      </c>
      <c r="F1443" s="4" t="s">
        <v>28</v>
      </c>
      <c r="G1443" s="4" t="s">
        <v>36</v>
      </c>
      <c r="H1443" s="4">
        <v>3</v>
      </c>
      <c r="I1443" s="4">
        <v>9</v>
      </c>
      <c r="J1443" s="1">
        <v>45546</v>
      </c>
      <c r="K1443" s="2">
        <v>1.9986111111111111E-2</v>
      </c>
      <c r="M1443" s="4" t="str">
        <f t="shared" si="66"/>
        <v>LOW</v>
      </c>
      <c r="N1443" s="4" t="str" cm="1">
        <f t="array" ref="N1443">_xlfn.IFS(C1443&gt;35,"HIGH",C1443&gt;25,"MIDDLE",TRUE,"LOW")</f>
        <v>MIDDLE</v>
      </c>
      <c r="O1443" s="4" t="str">
        <f t="shared" si="67"/>
        <v>OTHERS</v>
      </c>
      <c r="P1443" s="4" t="str">
        <f t="shared" si="68"/>
        <v>PREMINUM MORNING</v>
      </c>
    </row>
    <row r="1444" spans="1:16" x14ac:dyDescent="0.3">
      <c r="A1444" s="4">
        <v>10</v>
      </c>
      <c r="B1444" t="s">
        <v>11</v>
      </c>
      <c r="C1444" s="4">
        <v>32.82</v>
      </c>
      <c r="D1444" t="s">
        <v>12</v>
      </c>
      <c r="E1444" t="s">
        <v>13</v>
      </c>
      <c r="F1444" s="4" t="s">
        <v>28</v>
      </c>
      <c r="G1444" s="4" t="s">
        <v>36</v>
      </c>
      <c r="H1444" s="4">
        <v>3</v>
      </c>
      <c r="I1444" s="4">
        <v>9</v>
      </c>
      <c r="J1444" s="1">
        <v>45546</v>
      </c>
      <c r="K1444" s="2">
        <v>3.6217592592592593E-2</v>
      </c>
      <c r="M1444" s="4" t="str">
        <f t="shared" si="66"/>
        <v>LOW</v>
      </c>
      <c r="N1444" s="4" t="str" cm="1">
        <f t="array" ref="N1444">_xlfn.IFS(C1444&gt;35,"HIGH",C1444&gt;25,"MIDDLE",TRUE,"LOW")</f>
        <v>MIDDLE</v>
      </c>
      <c r="O1444" s="4" t="str">
        <f t="shared" si="67"/>
        <v>OTHERS</v>
      </c>
      <c r="P1444" s="4" t="str">
        <f t="shared" si="68"/>
        <v>PREMINUM MORNING</v>
      </c>
    </row>
    <row r="1445" spans="1:16" x14ac:dyDescent="0.3">
      <c r="A1445" s="4">
        <v>19</v>
      </c>
      <c r="B1445" t="s">
        <v>11</v>
      </c>
      <c r="C1445" s="4">
        <v>32.82</v>
      </c>
      <c r="D1445" t="s">
        <v>29</v>
      </c>
      <c r="E1445" t="s">
        <v>20</v>
      </c>
      <c r="F1445" s="4" t="s">
        <v>28</v>
      </c>
      <c r="G1445" s="4" t="s">
        <v>36</v>
      </c>
      <c r="H1445" s="4">
        <v>3</v>
      </c>
      <c r="I1445" s="4">
        <v>9</v>
      </c>
      <c r="J1445" s="1">
        <v>45546</v>
      </c>
      <c r="K1445" s="2">
        <v>3.695023148148148E-2</v>
      </c>
      <c r="M1445" s="4" t="str">
        <f t="shared" si="66"/>
        <v>LOW</v>
      </c>
      <c r="N1445" s="4" t="str" cm="1">
        <f t="array" ref="N1445">_xlfn.IFS(C1445&gt;35,"HIGH",C1445&gt;25,"MIDDLE",TRUE,"LOW")</f>
        <v>MIDDLE</v>
      </c>
      <c r="O1445" s="4" t="str">
        <f t="shared" si="67"/>
        <v>OTHERS</v>
      </c>
      <c r="P1445" s="4" t="str">
        <f t="shared" si="68"/>
        <v>OTHERS</v>
      </c>
    </row>
    <row r="1446" spans="1:16" x14ac:dyDescent="0.3">
      <c r="A1446" s="4">
        <v>20</v>
      </c>
      <c r="B1446" t="s">
        <v>11</v>
      </c>
      <c r="C1446" s="4">
        <v>27.92</v>
      </c>
      <c r="D1446" t="s">
        <v>19</v>
      </c>
      <c r="E1446" t="s">
        <v>20</v>
      </c>
      <c r="F1446" s="4" t="s">
        <v>28</v>
      </c>
      <c r="G1446" s="4" t="s">
        <v>36</v>
      </c>
      <c r="H1446" s="4">
        <v>3</v>
      </c>
      <c r="I1446" s="4">
        <v>9</v>
      </c>
      <c r="J1446" s="1">
        <v>45546</v>
      </c>
      <c r="K1446" s="2">
        <v>9.2002314814814811E-3</v>
      </c>
      <c r="M1446" s="4" t="str">
        <f t="shared" si="66"/>
        <v>LOW</v>
      </c>
      <c r="N1446" s="4" t="str" cm="1">
        <f t="array" ref="N1446">_xlfn.IFS(C1446&gt;35,"HIGH",C1446&gt;25,"MIDDLE",TRUE,"LOW")</f>
        <v>MIDDLE</v>
      </c>
      <c r="O1446" s="4" t="str">
        <f t="shared" si="67"/>
        <v>OTHERS</v>
      </c>
      <c r="P1446" s="4" t="str">
        <f t="shared" si="68"/>
        <v>OTHERS</v>
      </c>
    </row>
    <row r="1447" spans="1:16" x14ac:dyDescent="0.3">
      <c r="A1447" s="4">
        <v>20</v>
      </c>
      <c r="B1447" t="s">
        <v>11</v>
      </c>
      <c r="C1447" s="4">
        <v>32.82</v>
      </c>
      <c r="D1447" t="s">
        <v>12</v>
      </c>
      <c r="E1447" t="s">
        <v>20</v>
      </c>
      <c r="F1447" s="4" t="s">
        <v>28</v>
      </c>
      <c r="G1447" s="4" t="s">
        <v>36</v>
      </c>
      <c r="H1447" s="4">
        <v>3</v>
      </c>
      <c r="I1447" s="4">
        <v>9</v>
      </c>
      <c r="J1447" s="1">
        <v>45546</v>
      </c>
      <c r="K1447" s="2">
        <v>9.9409722222222226E-3</v>
      </c>
      <c r="M1447" s="4" t="str">
        <f t="shared" si="66"/>
        <v>LOW</v>
      </c>
      <c r="N1447" s="4" t="str" cm="1">
        <f t="array" ref="N1447">_xlfn.IFS(C1447&gt;35,"HIGH",C1447&gt;25,"MIDDLE",TRUE,"LOW")</f>
        <v>MIDDLE</v>
      </c>
      <c r="O1447" s="4" t="str">
        <f t="shared" si="67"/>
        <v>OTHERS</v>
      </c>
      <c r="P1447" s="4" t="str">
        <f t="shared" si="68"/>
        <v>OTHERS</v>
      </c>
    </row>
    <row r="1448" spans="1:16" x14ac:dyDescent="0.3">
      <c r="A1448" s="4">
        <v>20</v>
      </c>
      <c r="B1448" t="s">
        <v>11</v>
      </c>
      <c r="C1448" s="4">
        <v>32.82</v>
      </c>
      <c r="D1448" t="s">
        <v>12</v>
      </c>
      <c r="E1448" t="s">
        <v>20</v>
      </c>
      <c r="F1448" s="4" t="s">
        <v>28</v>
      </c>
      <c r="G1448" s="4" t="s">
        <v>36</v>
      </c>
      <c r="H1448" s="4">
        <v>3</v>
      </c>
      <c r="I1448" s="4">
        <v>9</v>
      </c>
      <c r="J1448" s="1">
        <v>45546</v>
      </c>
      <c r="K1448" s="2">
        <v>1.0641203703703703E-2</v>
      </c>
      <c r="M1448" s="4" t="str">
        <f t="shared" si="66"/>
        <v>LOW</v>
      </c>
      <c r="N1448" s="4" t="str" cm="1">
        <f t="array" ref="N1448">_xlfn.IFS(C1448&gt;35,"HIGH",C1448&gt;25,"MIDDLE",TRUE,"LOW")</f>
        <v>MIDDLE</v>
      </c>
      <c r="O1448" s="4" t="str">
        <f t="shared" si="67"/>
        <v>OTHERS</v>
      </c>
      <c r="P1448" s="4" t="str">
        <f t="shared" si="68"/>
        <v>OTHERS</v>
      </c>
    </row>
    <row r="1449" spans="1:16" x14ac:dyDescent="0.3">
      <c r="A1449" s="4">
        <v>21</v>
      </c>
      <c r="B1449" t="s">
        <v>11</v>
      </c>
      <c r="C1449" s="4">
        <v>23.02</v>
      </c>
      <c r="D1449" t="s">
        <v>24</v>
      </c>
      <c r="E1449" t="s">
        <v>20</v>
      </c>
      <c r="F1449" s="4" t="s">
        <v>28</v>
      </c>
      <c r="G1449" s="4" t="s">
        <v>36</v>
      </c>
      <c r="H1449" s="4">
        <v>3</v>
      </c>
      <c r="I1449" s="4">
        <v>9</v>
      </c>
      <c r="J1449" s="1">
        <v>45546</v>
      </c>
      <c r="K1449" s="2">
        <v>1.0902777777777779E-3</v>
      </c>
      <c r="M1449" s="4" t="str">
        <f t="shared" si="66"/>
        <v>LOW</v>
      </c>
      <c r="N1449" s="4" t="str" cm="1">
        <f t="array" ref="N1449">_xlfn.IFS(C1449&gt;35,"HIGH",C1449&gt;25,"MIDDLE",TRUE,"LOW")</f>
        <v>LOW</v>
      </c>
      <c r="O1449" s="4" t="str">
        <f t="shared" si="67"/>
        <v>OTHERS</v>
      </c>
      <c r="P1449" s="4" t="str">
        <f t="shared" si="68"/>
        <v>OTHERS</v>
      </c>
    </row>
    <row r="1450" spans="1:16" x14ac:dyDescent="0.3">
      <c r="A1450" s="4">
        <v>10</v>
      </c>
      <c r="B1450" t="s">
        <v>11</v>
      </c>
      <c r="C1450" s="4">
        <v>18.12</v>
      </c>
      <c r="D1450" t="s">
        <v>26</v>
      </c>
      <c r="E1450" t="s">
        <v>13</v>
      </c>
      <c r="F1450" s="4" t="s">
        <v>30</v>
      </c>
      <c r="G1450" s="4" t="s">
        <v>36</v>
      </c>
      <c r="H1450" s="4">
        <v>4</v>
      </c>
      <c r="I1450" s="4">
        <v>9</v>
      </c>
      <c r="J1450" s="1">
        <v>45547</v>
      </c>
      <c r="K1450" s="2">
        <v>3.9879629629629626E-2</v>
      </c>
      <c r="M1450" s="4" t="str">
        <f t="shared" si="66"/>
        <v>LOW</v>
      </c>
      <c r="N1450" s="4" t="str" cm="1">
        <f t="array" ref="N1450">_xlfn.IFS(C1450&gt;35,"HIGH",C1450&gt;25,"MIDDLE",TRUE,"LOW")</f>
        <v>LOW</v>
      </c>
      <c r="O1450" s="4" t="str">
        <f t="shared" si="67"/>
        <v>OTHERS</v>
      </c>
      <c r="P1450" s="4" t="str">
        <f t="shared" si="68"/>
        <v>PREMINUM MORNING</v>
      </c>
    </row>
    <row r="1451" spans="1:16" x14ac:dyDescent="0.3">
      <c r="A1451" s="4">
        <v>10</v>
      </c>
      <c r="B1451" t="s">
        <v>11</v>
      </c>
      <c r="C1451" s="4">
        <v>27.92</v>
      </c>
      <c r="D1451" t="s">
        <v>19</v>
      </c>
      <c r="E1451" t="s">
        <v>13</v>
      </c>
      <c r="F1451" s="4" t="s">
        <v>30</v>
      </c>
      <c r="G1451" s="4" t="s">
        <v>36</v>
      </c>
      <c r="H1451" s="4">
        <v>4</v>
      </c>
      <c r="I1451" s="4">
        <v>9</v>
      </c>
      <c r="J1451" s="1">
        <v>45547</v>
      </c>
      <c r="K1451" s="2">
        <v>4.050694444444445E-2</v>
      </c>
      <c r="M1451" s="4" t="str">
        <f t="shared" si="66"/>
        <v>LOW</v>
      </c>
      <c r="N1451" s="4" t="str" cm="1">
        <f t="array" ref="N1451">_xlfn.IFS(C1451&gt;35,"HIGH",C1451&gt;25,"MIDDLE",TRUE,"LOW")</f>
        <v>MIDDLE</v>
      </c>
      <c r="O1451" s="4" t="str">
        <f t="shared" si="67"/>
        <v>OTHERS</v>
      </c>
      <c r="P1451" s="4" t="str">
        <f t="shared" si="68"/>
        <v>PREMINUM MORNING</v>
      </c>
    </row>
    <row r="1452" spans="1:16" x14ac:dyDescent="0.3">
      <c r="A1452" s="4">
        <v>11</v>
      </c>
      <c r="B1452" t="s">
        <v>11</v>
      </c>
      <c r="C1452" s="4">
        <v>27.92</v>
      </c>
      <c r="D1452" t="s">
        <v>19</v>
      </c>
      <c r="E1452" t="s">
        <v>13</v>
      </c>
      <c r="F1452" s="4" t="s">
        <v>30</v>
      </c>
      <c r="G1452" s="4" t="s">
        <v>36</v>
      </c>
      <c r="H1452" s="4">
        <v>4</v>
      </c>
      <c r="I1452" s="4">
        <v>9</v>
      </c>
      <c r="J1452" s="1">
        <v>45547</v>
      </c>
      <c r="K1452" s="2">
        <v>1.9167824074074073E-2</v>
      </c>
      <c r="M1452" s="4" t="str">
        <f t="shared" si="66"/>
        <v>LOW</v>
      </c>
      <c r="N1452" s="4" t="str" cm="1">
        <f t="array" ref="N1452">_xlfn.IFS(C1452&gt;35,"HIGH",C1452&gt;25,"MIDDLE",TRUE,"LOW")</f>
        <v>MIDDLE</v>
      </c>
      <c r="O1452" s="4" t="str">
        <f t="shared" si="67"/>
        <v>OTHERS</v>
      </c>
      <c r="P1452" s="4" t="str">
        <f t="shared" si="68"/>
        <v>PREMINUM MORNING</v>
      </c>
    </row>
    <row r="1453" spans="1:16" x14ac:dyDescent="0.3">
      <c r="A1453" s="4">
        <v>12</v>
      </c>
      <c r="B1453" t="s">
        <v>11</v>
      </c>
      <c r="C1453" s="4">
        <v>32.82</v>
      </c>
      <c r="D1453" t="s">
        <v>29</v>
      </c>
      <c r="E1453" t="s">
        <v>17</v>
      </c>
      <c r="F1453" s="4" t="s">
        <v>30</v>
      </c>
      <c r="G1453" s="4" t="s">
        <v>36</v>
      </c>
      <c r="H1453" s="4">
        <v>4</v>
      </c>
      <c r="I1453" s="4">
        <v>9</v>
      </c>
      <c r="J1453" s="1">
        <v>45547</v>
      </c>
      <c r="K1453" s="2">
        <v>5.8125E-3</v>
      </c>
      <c r="M1453" s="4" t="str">
        <f t="shared" si="66"/>
        <v>LOW</v>
      </c>
      <c r="N1453" s="4" t="str" cm="1">
        <f t="array" ref="N1453">_xlfn.IFS(C1453&gt;35,"HIGH",C1453&gt;25,"MIDDLE",TRUE,"LOW")</f>
        <v>MIDDLE</v>
      </c>
      <c r="O1453" s="4" t="str">
        <f t="shared" si="67"/>
        <v>OTHERS</v>
      </c>
      <c r="P1453" s="4" t="str">
        <f t="shared" si="68"/>
        <v>OTHERS</v>
      </c>
    </row>
    <row r="1454" spans="1:16" x14ac:dyDescent="0.3">
      <c r="A1454" s="4">
        <v>12</v>
      </c>
      <c r="B1454" t="s">
        <v>11</v>
      </c>
      <c r="C1454" s="4">
        <v>23.02</v>
      </c>
      <c r="D1454" t="s">
        <v>24</v>
      </c>
      <c r="E1454" t="s">
        <v>17</v>
      </c>
      <c r="F1454" s="4" t="s">
        <v>30</v>
      </c>
      <c r="G1454" s="4" t="s">
        <v>36</v>
      </c>
      <c r="H1454" s="4">
        <v>4</v>
      </c>
      <c r="I1454" s="4">
        <v>9</v>
      </c>
      <c r="J1454" s="1">
        <v>45547</v>
      </c>
      <c r="K1454" s="2">
        <v>2.1608796296296296E-2</v>
      </c>
      <c r="M1454" s="4" t="str">
        <f t="shared" si="66"/>
        <v>LOW</v>
      </c>
      <c r="N1454" s="4" t="str" cm="1">
        <f t="array" ref="N1454">_xlfn.IFS(C1454&gt;35,"HIGH",C1454&gt;25,"MIDDLE",TRUE,"LOW")</f>
        <v>LOW</v>
      </c>
      <c r="O1454" s="4" t="str">
        <f t="shared" si="67"/>
        <v>OTHERS</v>
      </c>
      <c r="P1454" s="4" t="str">
        <f t="shared" si="68"/>
        <v>OTHERS</v>
      </c>
    </row>
    <row r="1455" spans="1:16" x14ac:dyDescent="0.3">
      <c r="A1455" s="4">
        <v>12</v>
      </c>
      <c r="B1455" t="s">
        <v>11</v>
      </c>
      <c r="C1455" s="4">
        <v>23.02</v>
      </c>
      <c r="D1455" t="s">
        <v>24</v>
      </c>
      <c r="E1455" t="s">
        <v>17</v>
      </c>
      <c r="F1455" s="4" t="s">
        <v>30</v>
      </c>
      <c r="G1455" s="4" t="s">
        <v>36</v>
      </c>
      <c r="H1455" s="4">
        <v>4</v>
      </c>
      <c r="I1455" s="4">
        <v>9</v>
      </c>
      <c r="J1455" s="1">
        <v>45547</v>
      </c>
      <c r="K1455" s="2">
        <v>2.2488425925925926E-2</v>
      </c>
      <c r="M1455" s="4" t="str">
        <f t="shared" si="66"/>
        <v>LOW</v>
      </c>
      <c r="N1455" s="4" t="str" cm="1">
        <f t="array" ref="N1455">_xlfn.IFS(C1455&gt;35,"HIGH",C1455&gt;25,"MIDDLE",TRUE,"LOW")</f>
        <v>LOW</v>
      </c>
      <c r="O1455" s="4" t="str">
        <f t="shared" si="67"/>
        <v>OTHERS</v>
      </c>
      <c r="P1455" s="4" t="str">
        <f t="shared" si="68"/>
        <v>OTHERS</v>
      </c>
    </row>
    <row r="1456" spans="1:16" x14ac:dyDescent="0.3">
      <c r="A1456" s="4">
        <v>12</v>
      </c>
      <c r="B1456" t="s">
        <v>11</v>
      </c>
      <c r="C1456" s="4">
        <v>23.02</v>
      </c>
      <c r="D1456" t="s">
        <v>24</v>
      </c>
      <c r="E1456" t="s">
        <v>17</v>
      </c>
      <c r="F1456" s="4" t="s">
        <v>30</v>
      </c>
      <c r="G1456" s="4" t="s">
        <v>36</v>
      </c>
      <c r="H1456" s="4">
        <v>4</v>
      </c>
      <c r="I1456" s="4">
        <v>9</v>
      </c>
      <c r="J1456" s="1">
        <v>45547</v>
      </c>
      <c r="K1456" s="2">
        <v>2.5930555555555557E-2</v>
      </c>
      <c r="M1456" s="4" t="str">
        <f t="shared" si="66"/>
        <v>LOW</v>
      </c>
      <c r="N1456" s="4" t="str" cm="1">
        <f t="array" ref="N1456">_xlfn.IFS(C1456&gt;35,"HIGH",C1456&gt;25,"MIDDLE",TRUE,"LOW")</f>
        <v>LOW</v>
      </c>
      <c r="O1456" s="4" t="str">
        <f t="shared" si="67"/>
        <v>OTHERS</v>
      </c>
      <c r="P1456" s="4" t="str">
        <f t="shared" si="68"/>
        <v>OTHERS</v>
      </c>
    </row>
    <row r="1457" spans="1:16" x14ac:dyDescent="0.3">
      <c r="A1457" s="4">
        <v>12</v>
      </c>
      <c r="B1457" t="s">
        <v>11</v>
      </c>
      <c r="C1457" s="4">
        <v>23.02</v>
      </c>
      <c r="D1457" t="s">
        <v>24</v>
      </c>
      <c r="E1457" t="s">
        <v>17</v>
      </c>
      <c r="F1457" s="4" t="s">
        <v>30</v>
      </c>
      <c r="G1457" s="4" t="s">
        <v>36</v>
      </c>
      <c r="H1457" s="4">
        <v>4</v>
      </c>
      <c r="I1457" s="4">
        <v>9</v>
      </c>
      <c r="J1457" s="1">
        <v>45547</v>
      </c>
      <c r="K1457" s="2">
        <v>2.6501157407407404E-2</v>
      </c>
      <c r="M1457" s="4" t="str">
        <f t="shared" si="66"/>
        <v>LOW</v>
      </c>
      <c r="N1457" s="4" t="str" cm="1">
        <f t="array" ref="N1457">_xlfn.IFS(C1457&gt;35,"HIGH",C1457&gt;25,"MIDDLE",TRUE,"LOW")</f>
        <v>LOW</v>
      </c>
      <c r="O1457" s="4" t="str">
        <f t="shared" si="67"/>
        <v>OTHERS</v>
      </c>
      <c r="P1457" s="4" t="str">
        <f t="shared" si="68"/>
        <v>OTHERS</v>
      </c>
    </row>
    <row r="1458" spans="1:16" x14ac:dyDescent="0.3">
      <c r="A1458" s="4">
        <v>17</v>
      </c>
      <c r="B1458" t="s">
        <v>11</v>
      </c>
      <c r="C1458" s="4">
        <v>32.82</v>
      </c>
      <c r="D1458" t="s">
        <v>12</v>
      </c>
      <c r="E1458" t="s">
        <v>20</v>
      </c>
      <c r="F1458" s="4" t="s">
        <v>30</v>
      </c>
      <c r="G1458" s="4" t="s">
        <v>36</v>
      </c>
      <c r="H1458" s="4">
        <v>4</v>
      </c>
      <c r="I1458" s="4">
        <v>9</v>
      </c>
      <c r="J1458" s="1">
        <v>45547</v>
      </c>
      <c r="K1458" s="2">
        <v>9.8611111111111122E-4</v>
      </c>
      <c r="M1458" s="4" t="str">
        <f t="shared" si="66"/>
        <v>LOW</v>
      </c>
      <c r="N1458" s="4" t="str" cm="1">
        <f t="array" ref="N1458">_xlfn.IFS(C1458&gt;35,"HIGH",C1458&gt;25,"MIDDLE",TRUE,"LOW")</f>
        <v>MIDDLE</v>
      </c>
      <c r="O1458" s="4" t="str">
        <f t="shared" si="67"/>
        <v>OTHERS</v>
      </c>
      <c r="P1458" s="4" t="str">
        <f t="shared" si="68"/>
        <v>OTHERS</v>
      </c>
    </row>
    <row r="1459" spans="1:16" x14ac:dyDescent="0.3">
      <c r="A1459" s="4">
        <v>21</v>
      </c>
      <c r="B1459" t="s">
        <v>11</v>
      </c>
      <c r="C1459" s="4">
        <v>23.02</v>
      </c>
      <c r="D1459" t="s">
        <v>18</v>
      </c>
      <c r="E1459" t="s">
        <v>20</v>
      </c>
      <c r="F1459" s="4" t="s">
        <v>30</v>
      </c>
      <c r="G1459" s="4" t="s">
        <v>36</v>
      </c>
      <c r="H1459" s="4">
        <v>4</v>
      </c>
      <c r="I1459" s="4">
        <v>9</v>
      </c>
      <c r="J1459" s="1">
        <v>45547</v>
      </c>
      <c r="K1459" s="2">
        <v>6.37037037037037E-3</v>
      </c>
      <c r="M1459" s="4" t="str">
        <f t="shared" si="66"/>
        <v>LOW</v>
      </c>
      <c r="N1459" s="4" t="str" cm="1">
        <f t="array" ref="N1459">_xlfn.IFS(C1459&gt;35,"HIGH",C1459&gt;25,"MIDDLE",TRUE,"LOW")</f>
        <v>LOW</v>
      </c>
      <c r="O1459" s="4" t="str">
        <f t="shared" si="67"/>
        <v>OTHERS</v>
      </c>
      <c r="P1459" s="4" t="str">
        <f t="shared" si="68"/>
        <v>OTHERS</v>
      </c>
    </row>
    <row r="1460" spans="1:16" x14ac:dyDescent="0.3">
      <c r="A1460" s="4">
        <v>21</v>
      </c>
      <c r="B1460" t="s">
        <v>11</v>
      </c>
      <c r="C1460" s="4">
        <v>32.82</v>
      </c>
      <c r="D1460" t="s">
        <v>29</v>
      </c>
      <c r="E1460" t="s">
        <v>20</v>
      </c>
      <c r="F1460" s="4" t="s">
        <v>30</v>
      </c>
      <c r="G1460" s="4" t="s">
        <v>36</v>
      </c>
      <c r="H1460" s="4">
        <v>4</v>
      </c>
      <c r="I1460" s="4">
        <v>9</v>
      </c>
      <c r="J1460" s="1">
        <v>45547</v>
      </c>
      <c r="K1460" s="2">
        <v>7.1898148148148155E-3</v>
      </c>
      <c r="M1460" s="4" t="str">
        <f t="shared" si="66"/>
        <v>LOW</v>
      </c>
      <c r="N1460" s="4" t="str" cm="1">
        <f t="array" ref="N1460">_xlfn.IFS(C1460&gt;35,"HIGH",C1460&gt;25,"MIDDLE",TRUE,"LOW")</f>
        <v>MIDDLE</v>
      </c>
      <c r="O1460" s="4" t="str">
        <f t="shared" si="67"/>
        <v>OTHERS</v>
      </c>
      <c r="P1460" s="4" t="str">
        <f t="shared" si="68"/>
        <v>OTHERS</v>
      </c>
    </row>
    <row r="1461" spans="1:16" x14ac:dyDescent="0.3">
      <c r="A1461" s="4">
        <v>21</v>
      </c>
      <c r="B1461" t="s">
        <v>11</v>
      </c>
      <c r="C1461" s="4">
        <v>23.02</v>
      </c>
      <c r="D1461" t="s">
        <v>24</v>
      </c>
      <c r="E1461" t="s">
        <v>20</v>
      </c>
      <c r="F1461" s="4" t="s">
        <v>30</v>
      </c>
      <c r="G1461" s="4" t="s">
        <v>36</v>
      </c>
      <c r="H1461" s="4">
        <v>4</v>
      </c>
      <c r="I1461" s="4">
        <v>9</v>
      </c>
      <c r="J1461" s="1">
        <v>45547</v>
      </c>
      <c r="K1461" s="2">
        <v>9.2222222222222219E-3</v>
      </c>
      <c r="M1461" s="4" t="str">
        <f t="shared" si="66"/>
        <v>LOW</v>
      </c>
      <c r="N1461" s="4" t="str" cm="1">
        <f t="array" ref="N1461">_xlfn.IFS(C1461&gt;35,"HIGH",C1461&gt;25,"MIDDLE",TRUE,"LOW")</f>
        <v>LOW</v>
      </c>
      <c r="O1461" s="4" t="str">
        <f t="shared" si="67"/>
        <v>OTHERS</v>
      </c>
      <c r="P1461" s="4" t="str">
        <f t="shared" si="68"/>
        <v>OTHERS</v>
      </c>
    </row>
    <row r="1462" spans="1:16" x14ac:dyDescent="0.3">
      <c r="A1462" s="4">
        <v>7</v>
      </c>
      <c r="B1462" t="s">
        <v>11</v>
      </c>
      <c r="C1462" s="4">
        <v>32.82</v>
      </c>
      <c r="D1462" t="s">
        <v>12</v>
      </c>
      <c r="E1462" t="s">
        <v>13</v>
      </c>
      <c r="F1462" s="4" t="s">
        <v>14</v>
      </c>
      <c r="G1462" s="4" t="s">
        <v>36</v>
      </c>
      <c r="H1462" s="4">
        <v>5</v>
      </c>
      <c r="I1462" s="4">
        <v>9</v>
      </c>
      <c r="J1462" s="1">
        <v>45548</v>
      </c>
      <c r="K1462" s="2">
        <v>3.9511574074074074E-2</v>
      </c>
      <c r="M1462" s="4" t="str">
        <f t="shared" si="66"/>
        <v>LOW</v>
      </c>
      <c r="N1462" s="4" t="str" cm="1">
        <f t="array" ref="N1462">_xlfn.IFS(C1462&gt;35,"HIGH",C1462&gt;25,"MIDDLE",TRUE,"LOW")</f>
        <v>MIDDLE</v>
      </c>
      <c r="O1462" s="4" t="str">
        <f t="shared" si="67"/>
        <v>OTHERS</v>
      </c>
      <c r="P1462" s="4" t="str">
        <f t="shared" si="68"/>
        <v>PREMINUM MORNING</v>
      </c>
    </row>
    <row r="1463" spans="1:16" x14ac:dyDescent="0.3">
      <c r="A1463" s="4">
        <v>8</v>
      </c>
      <c r="B1463" t="s">
        <v>11</v>
      </c>
      <c r="C1463" s="4">
        <v>32.82</v>
      </c>
      <c r="D1463" t="s">
        <v>12</v>
      </c>
      <c r="E1463" t="s">
        <v>13</v>
      </c>
      <c r="F1463" s="4" t="s">
        <v>14</v>
      </c>
      <c r="G1463" s="4" t="s">
        <v>36</v>
      </c>
      <c r="H1463" s="4">
        <v>5</v>
      </c>
      <c r="I1463" s="4">
        <v>9</v>
      </c>
      <c r="J1463" s="1">
        <v>45548</v>
      </c>
      <c r="K1463" s="2">
        <v>2.8506944444444446E-2</v>
      </c>
      <c r="M1463" s="4" t="str">
        <f t="shared" si="66"/>
        <v>LOW</v>
      </c>
      <c r="N1463" s="4" t="str" cm="1">
        <f t="array" ref="N1463">_xlfn.IFS(C1463&gt;35,"HIGH",C1463&gt;25,"MIDDLE",TRUE,"LOW")</f>
        <v>MIDDLE</v>
      </c>
      <c r="O1463" s="4" t="str">
        <f t="shared" si="67"/>
        <v>OTHERS</v>
      </c>
      <c r="P1463" s="4" t="str">
        <f t="shared" si="68"/>
        <v>PREMINUM MORNING</v>
      </c>
    </row>
    <row r="1464" spans="1:16" x14ac:dyDescent="0.3">
      <c r="A1464" s="4">
        <v>8</v>
      </c>
      <c r="B1464" t="s">
        <v>11</v>
      </c>
      <c r="C1464" s="4">
        <v>32.82</v>
      </c>
      <c r="D1464" t="s">
        <v>12</v>
      </c>
      <c r="E1464" t="s">
        <v>13</v>
      </c>
      <c r="F1464" s="4" t="s">
        <v>14</v>
      </c>
      <c r="G1464" s="4" t="s">
        <v>36</v>
      </c>
      <c r="H1464" s="4">
        <v>5</v>
      </c>
      <c r="I1464" s="4">
        <v>9</v>
      </c>
      <c r="J1464" s="1">
        <v>45548</v>
      </c>
      <c r="K1464" s="2">
        <v>3.7682870370370374E-2</v>
      </c>
      <c r="M1464" s="4" t="str">
        <f t="shared" si="66"/>
        <v>LOW</v>
      </c>
      <c r="N1464" s="4" t="str" cm="1">
        <f t="array" ref="N1464">_xlfn.IFS(C1464&gt;35,"HIGH",C1464&gt;25,"MIDDLE",TRUE,"LOW")</f>
        <v>MIDDLE</v>
      </c>
      <c r="O1464" s="4" t="str">
        <f t="shared" si="67"/>
        <v>OTHERS</v>
      </c>
      <c r="P1464" s="4" t="str">
        <f t="shared" si="68"/>
        <v>PREMINUM MORNING</v>
      </c>
    </row>
    <row r="1465" spans="1:16" x14ac:dyDescent="0.3">
      <c r="A1465" s="4">
        <v>9</v>
      </c>
      <c r="B1465" t="s">
        <v>11</v>
      </c>
      <c r="C1465" s="4">
        <v>32.82</v>
      </c>
      <c r="D1465" t="s">
        <v>12</v>
      </c>
      <c r="E1465" t="s">
        <v>13</v>
      </c>
      <c r="F1465" s="4" t="s">
        <v>14</v>
      </c>
      <c r="G1465" s="4" t="s">
        <v>36</v>
      </c>
      <c r="H1465" s="4">
        <v>5</v>
      </c>
      <c r="I1465" s="4">
        <v>9</v>
      </c>
      <c r="J1465" s="1">
        <v>45548</v>
      </c>
      <c r="K1465" s="2">
        <v>3.5641203703703703E-2</v>
      </c>
      <c r="M1465" s="4" t="str">
        <f t="shared" si="66"/>
        <v>LOW</v>
      </c>
      <c r="N1465" s="4" t="str" cm="1">
        <f t="array" ref="N1465">_xlfn.IFS(C1465&gt;35,"HIGH",C1465&gt;25,"MIDDLE",TRUE,"LOW")</f>
        <v>MIDDLE</v>
      </c>
      <c r="O1465" s="4" t="str">
        <f t="shared" si="67"/>
        <v>OTHERS</v>
      </c>
      <c r="P1465" s="4" t="str">
        <f t="shared" si="68"/>
        <v>PREMINUM MORNING</v>
      </c>
    </row>
    <row r="1466" spans="1:16" x14ac:dyDescent="0.3">
      <c r="A1466" s="4">
        <v>15</v>
      </c>
      <c r="B1466" t="s">
        <v>11</v>
      </c>
      <c r="C1466" s="4">
        <v>27.92</v>
      </c>
      <c r="D1466" t="s">
        <v>19</v>
      </c>
      <c r="E1466" t="s">
        <v>17</v>
      </c>
      <c r="F1466" s="4" t="s">
        <v>14</v>
      </c>
      <c r="G1466" s="4" t="s">
        <v>36</v>
      </c>
      <c r="H1466" s="4">
        <v>5</v>
      </c>
      <c r="I1466" s="4">
        <v>9</v>
      </c>
      <c r="J1466" s="1">
        <v>45548</v>
      </c>
      <c r="K1466" s="2">
        <v>2.6607638888888889E-2</v>
      </c>
      <c r="M1466" s="4" t="str">
        <f t="shared" si="66"/>
        <v>LOW</v>
      </c>
      <c r="N1466" s="4" t="str" cm="1">
        <f t="array" ref="N1466">_xlfn.IFS(C1466&gt;35,"HIGH",C1466&gt;25,"MIDDLE",TRUE,"LOW")</f>
        <v>MIDDLE</v>
      </c>
      <c r="O1466" s="4" t="str">
        <f t="shared" si="67"/>
        <v>OTHERS</v>
      </c>
      <c r="P1466" s="4" t="str">
        <f t="shared" si="68"/>
        <v>OTHERS</v>
      </c>
    </row>
    <row r="1467" spans="1:16" x14ac:dyDescent="0.3">
      <c r="A1467" s="4">
        <v>15</v>
      </c>
      <c r="B1467" t="s">
        <v>11</v>
      </c>
      <c r="C1467" s="4">
        <v>27.92</v>
      </c>
      <c r="D1467" t="s">
        <v>19</v>
      </c>
      <c r="E1467" t="s">
        <v>17</v>
      </c>
      <c r="F1467" s="4" t="s">
        <v>14</v>
      </c>
      <c r="G1467" s="4" t="s">
        <v>36</v>
      </c>
      <c r="H1467" s="4">
        <v>5</v>
      </c>
      <c r="I1467" s="4">
        <v>9</v>
      </c>
      <c r="J1467" s="1">
        <v>45548</v>
      </c>
      <c r="K1467" s="2">
        <v>3.5346064814814816E-2</v>
      </c>
      <c r="M1467" s="4" t="str">
        <f t="shared" si="66"/>
        <v>LOW</v>
      </c>
      <c r="N1467" s="4" t="str" cm="1">
        <f t="array" ref="N1467">_xlfn.IFS(C1467&gt;35,"HIGH",C1467&gt;25,"MIDDLE",TRUE,"LOW")</f>
        <v>MIDDLE</v>
      </c>
      <c r="O1467" s="4" t="str">
        <f t="shared" si="67"/>
        <v>OTHERS</v>
      </c>
      <c r="P1467" s="4" t="str">
        <f t="shared" si="68"/>
        <v>OTHERS</v>
      </c>
    </row>
    <row r="1468" spans="1:16" x14ac:dyDescent="0.3">
      <c r="A1468" s="4">
        <v>16</v>
      </c>
      <c r="B1468" t="s">
        <v>11</v>
      </c>
      <c r="C1468" s="4">
        <v>32.82</v>
      </c>
      <c r="D1468" t="s">
        <v>29</v>
      </c>
      <c r="E1468" t="s">
        <v>17</v>
      </c>
      <c r="F1468" s="4" t="s">
        <v>22</v>
      </c>
      <c r="G1468" s="4" t="s">
        <v>36</v>
      </c>
      <c r="H1468" s="4">
        <v>6</v>
      </c>
      <c r="I1468" s="4">
        <v>9</v>
      </c>
      <c r="J1468" s="1">
        <v>45549</v>
      </c>
      <c r="K1468" s="2">
        <v>2.0363425925925927E-2</v>
      </c>
      <c r="M1468" s="4" t="str">
        <f t="shared" si="66"/>
        <v>LOW</v>
      </c>
      <c r="N1468" s="4" t="str" cm="1">
        <f t="array" ref="N1468">_xlfn.IFS(C1468&gt;35,"HIGH",C1468&gt;25,"MIDDLE",TRUE,"LOW")</f>
        <v>MIDDLE</v>
      </c>
      <c r="O1468" s="4" t="str">
        <f t="shared" si="67"/>
        <v>OTHERS</v>
      </c>
      <c r="P1468" s="4" t="str">
        <f t="shared" si="68"/>
        <v>OTHERS</v>
      </c>
    </row>
    <row r="1469" spans="1:16" x14ac:dyDescent="0.3">
      <c r="A1469" s="4">
        <v>16</v>
      </c>
      <c r="B1469" t="s">
        <v>11</v>
      </c>
      <c r="C1469" s="4">
        <v>32.82</v>
      </c>
      <c r="D1469" t="s">
        <v>29</v>
      </c>
      <c r="E1469" t="s">
        <v>17</v>
      </c>
      <c r="F1469" s="4" t="s">
        <v>22</v>
      </c>
      <c r="G1469" s="4" t="s">
        <v>36</v>
      </c>
      <c r="H1469" s="4">
        <v>6</v>
      </c>
      <c r="I1469" s="4">
        <v>9</v>
      </c>
      <c r="J1469" s="1">
        <v>45549</v>
      </c>
      <c r="K1469" s="2">
        <v>2.1028935185185185E-2</v>
      </c>
      <c r="M1469" s="4" t="str">
        <f t="shared" si="66"/>
        <v>LOW</v>
      </c>
      <c r="N1469" s="4" t="str" cm="1">
        <f t="array" ref="N1469">_xlfn.IFS(C1469&gt;35,"HIGH",C1469&gt;25,"MIDDLE",TRUE,"LOW")</f>
        <v>MIDDLE</v>
      </c>
      <c r="O1469" s="4" t="str">
        <f t="shared" si="67"/>
        <v>OTHERS</v>
      </c>
      <c r="P1469" s="4" t="str">
        <f t="shared" si="68"/>
        <v>OTHERS</v>
      </c>
    </row>
    <row r="1470" spans="1:16" x14ac:dyDescent="0.3">
      <c r="A1470" s="4">
        <v>8</v>
      </c>
      <c r="B1470" t="s">
        <v>11</v>
      </c>
      <c r="C1470" s="4">
        <v>18.12</v>
      </c>
      <c r="D1470" t="s">
        <v>26</v>
      </c>
      <c r="E1470" t="s">
        <v>13</v>
      </c>
      <c r="F1470" s="4" t="s">
        <v>23</v>
      </c>
      <c r="G1470" s="4" t="s">
        <v>36</v>
      </c>
      <c r="H1470" s="4">
        <v>7</v>
      </c>
      <c r="I1470" s="4">
        <v>9</v>
      </c>
      <c r="J1470" s="1">
        <v>45550</v>
      </c>
      <c r="K1470" s="2">
        <v>2.9640046296296296E-2</v>
      </c>
      <c r="M1470" s="4" t="str">
        <f t="shared" si="66"/>
        <v>LOW</v>
      </c>
      <c r="N1470" s="4" t="str" cm="1">
        <f t="array" ref="N1470">_xlfn.IFS(C1470&gt;35,"HIGH",C1470&gt;25,"MIDDLE",TRUE,"LOW")</f>
        <v>LOW</v>
      </c>
      <c r="O1470" s="4" t="str">
        <f t="shared" si="67"/>
        <v>OTHERS</v>
      </c>
      <c r="P1470" s="4" t="str">
        <f t="shared" si="68"/>
        <v>PREMINUM MORNING</v>
      </c>
    </row>
    <row r="1471" spans="1:16" x14ac:dyDescent="0.3">
      <c r="A1471" s="4">
        <v>9</v>
      </c>
      <c r="B1471" t="s">
        <v>11</v>
      </c>
      <c r="C1471" s="4">
        <v>27.92</v>
      </c>
      <c r="D1471" t="s">
        <v>19</v>
      </c>
      <c r="E1471" t="s">
        <v>13</v>
      </c>
      <c r="F1471" s="4" t="s">
        <v>23</v>
      </c>
      <c r="G1471" s="4" t="s">
        <v>36</v>
      </c>
      <c r="H1471" s="4">
        <v>7</v>
      </c>
      <c r="I1471" s="4">
        <v>9</v>
      </c>
      <c r="J1471" s="1">
        <v>45550</v>
      </c>
      <c r="K1471" s="2">
        <v>3.4475694444444441E-2</v>
      </c>
      <c r="M1471" s="4" t="str">
        <f t="shared" si="66"/>
        <v>LOW</v>
      </c>
      <c r="N1471" s="4" t="str" cm="1">
        <f t="array" ref="N1471">_xlfn.IFS(C1471&gt;35,"HIGH",C1471&gt;25,"MIDDLE",TRUE,"LOW")</f>
        <v>MIDDLE</v>
      </c>
      <c r="O1471" s="4" t="str">
        <f t="shared" si="67"/>
        <v>OTHERS</v>
      </c>
      <c r="P1471" s="4" t="str">
        <f t="shared" si="68"/>
        <v>PREMINUM MORNING</v>
      </c>
    </row>
    <row r="1472" spans="1:16" x14ac:dyDescent="0.3">
      <c r="A1472" s="4">
        <v>13</v>
      </c>
      <c r="B1472" t="s">
        <v>11</v>
      </c>
      <c r="C1472" s="4">
        <v>23.02</v>
      </c>
      <c r="D1472" t="s">
        <v>18</v>
      </c>
      <c r="E1472" t="s">
        <v>17</v>
      </c>
      <c r="F1472" s="4" t="s">
        <v>23</v>
      </c>
      <c r="G1472" s="4" t="s">
        <v>36</v>
      </c>
      <c r="H1472" s="4">
        <v>7</v>
      </c>
      <c r="I1472" s="4">
        <v>9</v>
      </c>
      <c r="J1472" s="1">
        <v>45550</v>
      </c>
      <c r="K1472" s="2">
        <v>3.446064814814815E-2</v>
      </c>
      <c r="M1472" s="4" t="str">
        <f t="shared" si="66"/>
        <v>LOW</v>
      </c>
      <c r="N1472" s="4" t="str" cm="1">
        <f t="array" ref="N1472">_xlfn.IFS(C1472&gt;35,"HIGH",C1472&gt;25,"MIDDLE",TRUE,"LOW")</f>
        <v>LOW</v>
      </c>
      <c r="O1472" s="4" t="str">
        <f t="shared" si="67"/>
        <v>OTHERS</v>
      </c>
      <c r="P1472" s="4" t="str">
        <f t="shared" si="68"/>
        <v>OTHERS</v>
      </c>
    </row>
    <row r="1473" spans="1:16" x14ac:dyDescent="0.3">
      <c r="A1473" s="4">
        <v>14</v>
      </c>
      <c r="B1473" t="s">
        <v>11</v>
      </c>
      <c r="C1473" s="4">
        <v>23.02</v>
      </c>
      <c r="D1473" t="s">
        <v>24</v>
      </c>
      <c r="E1473" t="s">
        <v>17</v>
      </c>
      <c r="F1473" s="4" t="s">
        <v>23</v>
      </c>
      <c r="G1473" s="4" t="s">
        <v>36</v>
      </c>
      <c r="H1473" s="4">
        <v>7</v>
      </c>
      <c r="I1473" s="4">
        <v>9</v>
      </c>
      <c r="J1473" s="1">
        <v>45550</v>
      </c>
      <c r="K1473" s="2">
        <v>2.522337962962963E-2</v>
      </c>
      <c r="M1473" s="4" t="str">
        <f t="shared" si="66"/>
        <v>LOW</v>
      </c>
      <c r="N1473" s="4" t="str" cm="1">
        <f t="array" ref="N1473">_xlfn.IFS(C1473&gt;35,"HIGH",C1473&gt;25,"MIDDLE",TRUE,"LOW")</f>
        <v>LOW</v>
      </c>
      <c r="O1473" s="4" t="str">
        <f t="shared" si="67"/>
        <v>OTHERS</v>
      </c>
      <c r="P1473" s="4" t="str">
        <f t="shared" si="68"/>
        <v>OTHERS</v>
      </c>
    </row>
    <row r="1474" spans="1:16" x14ac:dyDescent="0.3">
      <c r="A1474" s="4">
        <v>14</v>
      </c>
      <c r="B1474" t="s">
        <v>11</v>
      </c>
      <c r="C1474" s="4">
        <v>23.02</v>
      </c>
      <c r="D1474" t="s">
        <v>24</v>
      </c>
      <c r="E1474" t="s">
        <v>17</v>
      </c>
      <c r="F1474" s="4" t="s">
        <v>23</v>
      </c>
      <c r="G1474" s="4" t="s">
        <v>36</v>
      </c>
      <c r="H1474" s="4">
        <v>7</v>
      </c>
      <c r="I1474" s="4">
        <v>9</v>
      </c>
      <c r="J1474" s="1">
        <v>45550</v>
      </c>
      <c r="K1474" s="2">
        <v>2.593287037037037E-2</v>
      </c>
      <c r="M1474" s="4" t="str">
        <f t="shared" si="66"/>
        <v>LOW</v>
      </c>
      <c r="N1474" s="4" t="str" cm="1">
        <f t="array" ref="N1474">_xlfn.IFS(C1474&gt;35,"HIGH",C1474&gt;25,"MIDDLE",TRUE,"LOW")</f>
        <v>LOW</v>
      </c>
      <c r="O1474" s="4" t="str">
        <f t="shared" si="67"/>
        <v>OTHERS</v>
      </c>
      <c r="P1474" s="4" t="str">
        <f t="shared" si="68"/>
        <v>OTHERS</v>
      </c>
    </row>
    <row r="1475" spans="1:16" x14ac:dyDescent="0.3">
      <c r="A1475" s="4">
        <v>14</v>
      </c>
      <c r="B1475" t="s">
        <v>11</v>
      </c>
      <c r="C1475" s="4">
        <v>32.82</v>
      </c>
      <c r="D1475" t="s">
        <v>29</v>
      </c>
      <c r="E1475" t="s">
        <v>17</v>
      </c>
      <c r="F1475" s="4" t="s">
        <v>23</v>
      </c>
      <c r="G1475" s="4" t="s">
        <v>36</v>
      </c>
      <c r="H1475" s="4">
        <v>7</v>
      </c>
      <c r="I1475" s="4">
        <v>9</v>
      </c>
      <c r="J1475" s="1">
        <v>45550</v>
      </c>
      <c r="K1475" s="2">
        <v>3.7021990740740737E-2</v>
      </c>
      <c r="M1475" s="4" t="str">
        <f t="shared" ref="M1475:M1538" si="69">IF(C1475&gt;35,"HIGH","LOW")</f>
        <v>LOW</v>
      </c>
      <c r="N1475" s="4" t="str" cm="1">
        <f t="array" ref="N1475">_xlfn.IFS(C1475&gt;35,"HIGH",C1475&gt;25,"MIDDLE",TRUE,"LOW")</f>
        <v>MIDDLE</v>
      </c>
      <c r="O1475" s="4" t="str">
        <f t="shared" ref="O1475:O1538" si="70">IF(AND(C1475&gt;35,E1475="MORNING"),"PREMINUM MORNING","OTHERS")</f>
        <v>OTHERS</v>
      </c>
      <c r="P1475" s="4" t="str">
        <f t="shared" ref="P1475:P1538" si="71">IF(OR(C1475&gt;35,E1475="MORNING"),"PREMINUM MORNING","OTHERS")</f>
        <v>OTHERS</v>
      </c>
    </row>
    <row r="1476" spans="1:16" x14ac:dyDescent="0.3">
      <c r="A1476" s="4">
        <v>13</v>
      </c>
      <c r="B1476" t="s">
        <v>11</v>
      </c>
      <c r="C1476" s="4">
        <v>32.82</v>
      </c>
      <c r="D1476" t="s">
        <v>12</v>
      </c>
      <c r="E1476" t="s">
        <v>17</v>
      </c>
      <c r="F1476" s="4" t="s">
        <v>25</v>
      </c>
      <c r="G1476" s="4" t="s">
        <v>36</v>
      </c>
      <c r="H1476" s="4">
        <v>1</v>
      </c>
      <c r="I1476" s="4">
        <v>9</v>
      </c>
      <c r="J1476" s="1">
        <v>45551</v>
      </c>
      <c r="K1476" s="2">
        <v>2.2487268518518521E-2</v>
      </c>
      <c r="M1476" s="4" t="str">
        <f t="shared" si="69"/>
        <v>LOW</v>
      </c>
      <c r="N1476" s="4" t="str" cm="1">
        <f t="array" ref="N1476">_xlfn.IFS(C1476&gt;35,"HIGH",C1476&gt;25,"MIDDLE",TRUE,"LOW")</f>
        <v>MIDDLE</v>
      </c>
      <c r="O1476" s="4" t="str">
        <f t="shared" si="70"/>
        <v>OTHERS</v>
      </c>
      <c r="P1476" s="4" t="str">
        <f t="shared" si="71"/>
        <v>OTHERS</v>
      </c>
    </row>
    <row r="1477" spans="1:16" x14ac:dyDescent="0.3">
      <c r="A1477" s="4">
        <v>13</v>
      </c>
      <c r="B1477" t="s">
        <v>11</v>
      </c>
      <c r="C1477" s="4">
        <v>27.92</v>
      </c>
      <c r="D1477" t="s">
        <v>19</v>
      </c>
      <c r="E1477" t="s">
        <v>17</v>
      </c>
      <c r="F1477" s="4" t="s">
        <v>25</v>
      </c>
      <c r="G1477" s="4" t="s">
        <v>36</v>
      </c>
      <c r="H1477" s="4">
        <v>1</v>
      </c>
      <c r="I1477" s="4">
        <v>9</v>
      </c>
      <c r="J1477" s="1">
        <v>45551</v>
      </c>
      <c r="K1477" s="2">
        <v>2.3342592592592592E-2</v>
      </c>
      <c r="M1477" s="4" t="str">
        <f t="shared" si="69"/>
        <v>LOW</v>
      </c>
      <c r="N1477" s="4" t="str" cm="1">
        <f t="array" ref="N1477">_xlfn.IFS(C1477&gt;35,"HIGH",C1477&gt;25,"MIDDLE",TRUE,"LOW")</f>
        <v>MIDDLE</v>
      </c>
      <c r="O1477" s="4" t="str">
        <f t="shared" si="70"/>
        <v>OTHERS</v>
      </c>
      <c r="P1477" s="4" t="str">
        <f t="shared" si="71"/>
        <v>OTHERS</v>
      </c>
    </row>
    <row r="1478" spans="1:16" x14ac:dyDescent="0.3">
      <c r="A1478" s="4">
        <v>15</v>
      </c>
      <c r="B1478" t="s">
        <v>11</v>
      </c>
      <c r="C1478" s="4">
        <v>32.82</v>
      </c>
      <c r="D1478" t="s">
        <v>12</v>
      </c>
      <c r="E1478" t="s">
        <v>17</v>
      </c>
      <c r="F1478" s="4" t="s">
        <v>25</v>
      </c>
      <c r="G1478" s="4" t="s">
        <v>36</v>
      </c>
      <c r="H1478" s="4">
        <v>1</v>
      </c>
      <c r="I1478" s="4">
        <v>9</v>
      </c>
      <c r="J1478" s="1">
        <v>45551</v>
      </c>
      <c r="K1478" s="2">
        <v>1.619560185185185E-2</v>
      </c>
      <c r="M1478" s="4" t="str">
        <f t="shared" si="69"/>
        <v>LOW</v>
      </c>
      <c r="N1478" s="4" t="str" cm="1">
        <f t="array" ref="N1478">_xlfn.IFS(C1478&gt;35,"HIGH",C1478&gt;25,"MIDDLE",TRUE,"LOW")</f>
        <v>MIDDLE</v>
      </c>
      <c r="O1478" s="4" t="str">
        <f t="shared" si="70"/>
        <v>OTHERS</v>
      </c>
      <c r="P1478" s="4" t="str">
        <f t="shared" si="71"/>
        <v>OTHERS</v>
      </c>
    </row>
    <row r="1479" spans="1:16" x14ac:dyDescent="0.3">
      <c r="A1479" s="4">
        <v>17</v>
      </c>
      <c r="B1479" t="s">
        <v>11</v>
      </c>
      <c r="C1479" s="4">
        <v>27.92</v>
      </c>
      <c r="D1479" t="s">
        <v>19</v>
      </c>
      <c r="E1479" t="s">
        <v>20</v>
      </c>
      <c r="F1479" s="4" t="s">
        <v>25</v>
      </c>
      <c r="G1479" s="4" t="s">
        <v>36</v>
      </c>
      <c r="H1479" s="4">
        <v>1</v>
      </c>
      <c r="I1479" s="4">
        <v>9</v>
      </c>
      <c r="J1479" s="1">
        <v>45551</v>
      </c>
      <c r="K1479" s="2">
        <v>1.1177083333333334E-2</v>
      </c>
      <c r="M1479" s="4" t="str">
        <f t="shared" si="69"/>
        <v>LOW</v>
      </c>
      <c r="N1479" s="4" t="str" cm="1">
        <f t="array" ref="N1479">_xlfn.IFS(C1479&gt;35,"HIGH",C1479&gt;25,"MIDDLE",TRUE,"LOW")</f>
        <v>MIDDLE</v>
      </c>
      <c r="O1479" s="4" t="str">
        <f t="shared" si="70"/>
        <v>OTHERS</v>
      </c>
      <c r="P1479" s="4" t="str">
        <f t="shared" si="71"/>
        <v>OTHERS</v>
      </c>
    </row>
    <row r="1480" spans="1:16" x14ac:dyDescent="0.3">
      <c r="A1480" s="4">
        <v>17</v>
      </c>
      <c r="B1480" t="s">
        <v>11</v>
      </c>
      <c r="C1480" s="4">
        <v>32.82</v>
      </c>
      <c r="D1480" t="s">
        <v>12</v>
      </c>
      <c r="E1480" t="s">
        <v>20</v>
      </c>
      <c r="F1480" s="4" t="s">
        <v>25</v>
      </c>
      <c r="G1480" s="4" t="s">
        <v>36</v>
      </c>
      <c r="H1480" s="4">
        <v>1</v>
      </c>
      <c r="I1480" s="4">
        <v>9</v>
      </c>
      <c r="J1480" s="1">
        <v>45551</v>
      </c>
      <c r="K1480" s="2">
        <v>1.2538194444444444E-2</v>
      </c>
      <c r="M1480" s="4" t="str">
        <f t="shared" si="69"/>
        <v>LOW</v>
      </c>
      <c r="N1480" s="4" t="str" cm="1">
        <f t="array" ref="N1480">_xlfn.IFS(C1480&gt;35,"HIGH",C1480&gt;25,"MIDDLE",TRUE,"LOW")</f>
        <v>MIDDLE</v>
      </c>
      <c r="O1480" s="4" t="str">
        <f t="shared" si="70"/>
        <v>OTHERS</v>
      </c>
      <c r="P1480" s="4" t="str">
        <f t="shared" si="71"/>
        <v>OTHERS</v>
      </c>
    </row>
    <row r="1481" spans="1:16" x14ac:dyDescent="0.3">
      <c r="A1481" s="4">
        <v>18</v>
      </c>
      <c r="B1481" t="s">
        <v>11</v>
      </c>
      <c r="C1481" s="4">
        <v>32.82</v>
      </c>
      <c r="D1481" t="s">
        <v>12</v>
      </c>
      <c r="E1481" t="s">
        <v>20</v>
      </c>
      <c r="F1481" s="4" t="s">
        <v>25</v>
      </c>
      <c r="G1481" s="4" t="s">
        <v>36</v>
      </c>
      <c r="H1481" s="4">
        <v>1</v>
      </c>
      <c r="I1481" s="4">
        <v>9</v>
      </c>
      <c r="J1481" s="1">
        <v>45551</v>
      </c>
      <c r="K1481" s="2">
        <v>3.8025462962962962E-2</v>
      </c>
      <c r="M1481" s="4" t="str">
        <f t="shared" si="69"/>
        <v>LOW</v>
      </c>
      <c r="N1481" s="4" t="str" cm="1">
        <f t="array" ref="N1481">_xlfn.IFS(C1481&gt;35,"HIGH",C1481&gt;25,"MIDDLE",TRUE,"LOW")</f>
        <v>MIDDLE</v>
      </c>
      <c r="O1481" s="4" t="str">
        <f t="shared" si="70"/>
        <v>OTHERS</v>
      </c>
      <c r="P1481" s="4" t="str">
        <f t="shared" si="71"/>
        <v>OTHERS</v>
      </c>
    </row>
    <row r="1482" spans="1:16" x14ac:dyDescent="0.3">
      <c r="A1482" s="4">
        <v>18</v>
      </c>
      <c r="B1482" t="s">
        <v>11</v>
      </c>
      <c r="C1482" s="4">
        <v>32.82</v>
      </c>
      <c r="D1482" t="s">
        <v>12</v>
      </c>
      <c r="E1482" t="s">
        <v>20</v>
      </c>
      <c r="F1482" s="4" t="s">
        <v>25</v>
      </c>
      <c r="G1482" s="4" t="s">
        <v>36</v>
      </c>
      <c r="H1482" s="4">
        <v>1</v>
      </c>
      <c r="I1482" s="4">
        <v>9</v>
      </c>
      <c r="J1482" s="1">
        <v>45551</v>
      </c>
      <c r="K1482" s="2">
        <v>3.8950231481481482E-2</v>
      </c>
      <c r="M1482" s="4" t="str">
        <f t="shared" si="69"/>
        <v>LOW</v>
      </c>
      <c r="N1482" s="4" t="str" cm="1">
        <f t="array" ref="N1482">_xlfn.IFS(C1482&gt;35,"HIGH",C1482&gt;25,"MIDDLE",TRUE,"LOW")</f>
        <v>MIDDLE</v>
      </c>
      <c r="O1482" s="4" t="str">
        <f t="shared" si="70"/>
        <v>OTHERS</v>
      </c>
      <c r="P1482" s="4" t="str">
        <f t="shared" si="71"/>
        <v>OTHERS</v>
      </c>
    </row>
    <row r="1483" spans="1:16" x14ac:dyDescent="0.3">
      <c r="A1483" s="4">
        <v>21</v>
      </c>
      <c r="B1483" t="s">
        <v>11</v>
      </c>
      <c r="C1483" s="4">
        <v>27.92</v>
      </c>
      <c r="D1483" t="s">
        <v>19</v>
      </c>
      <c r="E1483" t="s">
        <v>20</v>
      </c>
      <c r="F1483" s="4" t="s">
        <v>25</v>
      </c>
      <c r="G1483" s="4" t="s">
        <v>36</v>
      </c>
      <c r="H1483" s="4">
        <v>1</v>
      </c>
      <c r="I1483" s="4">
        <v>9</v>
      </c>
      <c r="J1483" s="1">
        <v>45551</v>
      </c>
      <c r="K1483" s="2">
        <v>7.1608796296296299E-3</v>
      </c>
      <c r="M1483" s="4" t="str">
        <f t="shared" si="69"/>
        <v>LOW</v>
      </c>
      <c r="N1483" s="4" t="str" cm="1">
        <f t="array" ref="N1483">_xlfn.IFS(C1483&gt;35,"HIGH",C1483&gt;25,"MIDDLE",TRUE,"LOW")</f>
        <v>MIDDLE</v>
      </c>
      <c r="O1483" s="4" t="str">
        <f t="shared" si="70"/>
        <v>OTHERS</v>
      </c>
      <c r="P1483" s="4" t="str">
        <f t="shared" si="71"/>
        <v>OTHERS</v>
      </c>
    </row>
    <row r="1484" spans="1:16" x14ac:dyDescent="0.3">
      <c r="A1484" s="4">
        <v>21</v>
      </c>
      <c r="B1484" t="s">
        <v>11</v>
      </c>
      <c r="C1484" s="4">
        <v>32.82</v>
      </c>
      <c r="D1484" t="s">
        <v>12</v>
      </c>
      <c r="E1484" t="s">
        <v>20</v>
      </c>
      <c r="F1484" s="4" t="s">
        <v>25</v>
      </c>
      <c r="G1484" s="4" t="s">
        <v>36</v>
      </c>
      <c r="H1484" s="4">
        <v>1</v>
      </c>
      <c r="I1484" s="4">
        <v>9</v>
      </c>
      <c r="J1484" s="1">
        <v>45551</v>
      </c>
      <c r="K1484" s="2">
        <v>8.0150462962962962E-3</v>
      </c>
      <c r="M1484" s="4" t="str">
        <f t="shared" si="69"/>
        <v>LOW</v>
      </c>
      <c r="N1484" s="4" t="str" cm="1">
        <f t="array" ref="N1484">_xlfn.IFS(C1484&gt;35,"HIGH",C1484&gt;25,"MIDDLE",TRUE,"LOW")</f>
        <v>MIDDLE</v>
      </c>
      <c r="O1484" s="4" t="str">
        <f t="shared" si="70"/>
        <v>OTHERS</v>
      </c>
      <c r="P1484" s="4" t="str">
        <f t="shared" si="71"/>
        <v>OTHERS</v>
      </c>
    </row>
    <row r="1485" spans="1:16" x14ac:dyDescent="0.3">
      <c r="A1485" s="4">
        <v>21</v>
      </c>
      <c r="B1485" t="s">
        <v>11</v>
      </c>
      <c r="C1485" s="4">
        <v>27.92</v>
      </c>
      <c r="D1485" t="s">
        <v>19</v>
      </c>
      <c r="E1485" t="s">
        <v>20</v>
      </c>
      <c r="F1485" s="4" t="s">
        <v>25</v>
      </c>
      <c r="G1485" s="4" t="s">
        <v>36</v>
      </c>
      <c r="H1485" s="4">
        <v>1</v>
      </c>
      <c r="I1485" s="4">
        <v>9</v>
      </c>
      <c r="J1485" s="1">
        <v>45551</v>
      </c>
      <c r="K1485" s="2">
        <v>2.624189814814815E-2</v>
      </c>
      <c r="M1485" s="4" t="str">
        <f t="shared" si="69"/>
        <v>LOW</v>
      </c>
      <c r="N1485" s="4" t="str" cm="1">
        <f t="array" ref="N1485">_xlfn.IFS(C1485&gt;35,"HIGH",C1485&gt;25,"MIDDLE",TRUE,"LOW")</f>
        <v>MIDDLE</v>
      </c>
      <c r="O1485" s="4" t="str">
        <f t="shared" si="70"/>
        <v>OTHERS</v>
      </c>
      <c r="P1485" s="4" t="str">
        <f t="shared" si="71"/>
        <v>OTHERS</v>
      </c>
    </row>
    <row r="1486" spans="1:16" x14ac:dyDescent="0.3">
      <c r="A1486" s="4">
        <v>21</v>
      </c>
      <c r="B1486" t="s">
        <v>11</v>
      </c>
      <c r="C1486" s="4">
        <v>27.92</v>
      </c>
      <c r="D1486" t="s">
        <v>19</v>
      </c>
      <c r="E1486" t="s">
        <v>20</v>
      </c>
      <c r="F1486" s="4" t="s">
        <v>25</v>
      </c>
      <c r="G1486" s="4" t="s">
        <v>36</v>
      </c>
      <c r="H1486" s="4">
        <v>1</v>
      </c>
      <c r="I1486" s="4">
        <v>9</v>
      </c>
      <c r="J1486" s="1">
        <v>45551</v>
      </c>
      <c r="K1486" s="2">
        <v>2.6952546296296294E-2</v>
      </c>
      <c r="M1486" s="4" t="str">
        <f t="shared" si="69"/>
        <v>LOW</v>
      </c>
      <c r="N1486" s="4" t="str" cm="1">
        <f t="array" ref="N1486">_xlfn.IFS(C1486&gt;35,"HIGH",C1486&gt;25,"MIDDLE",TRUE,"LOW")</f>
        <v>MIDDLE</v>
      </c>
      <c r="O1486" s="4" t="str">
        <f t="shared" si="70"/>
        <v>OTHERS</v>
      </c>
      <c r="P1486" s="4" t="str">
        <f t="shared" si="71"/>
        <v>OTHERS</v>
      </c>
    </row>
    <row r="1487" spans="1:16" x14ac:dyDescent="0.3">
      <c r="A1487" s="4">
        <v>7</v>
      </c>
      <c r="B1487" t="s">
        <v>11</v>
      </c>
      <c r="C1487" s="4">
        <v>23.02</v>
      </c>
      <c r="D1487" t="s">
        <v>24</v>
      </c>
      <c r="E1487" t="s">
        <v>13</v>
      </c>
      <c r="F1487" s="4" t="s">
        <v>27</v>
      </c>
      <c r="G1487" s="4" t="s">
        <v>36</v>
      </c>
      <c r="H1487" s="4">
        <v>2</v>
      </c>
      <c r="I1487" s="4">
        <v>9</v>
      </c>
      <c r="J1487" s="1">
        <v>45552</v>
      </c>
      <c r="K1487" s="2">
        <v>3.8170138888888892E-2</v>
      </c>
      <c r="M1487" s="4" t="str">
        <f t="shared" si="69"/>
        <v>LOW</v>
      </c>
      <c r="N1487" s="4" t="str" cm="1">
        <f t="array" ref="N1487">_xlfn.IFS(C1487&gt;35,"HIGH",C1487&gt;25,"MIDDLE",TRUE,"LOW")</f>
        <v>LOW</v>
      </c>
      <c r="O1487" s="4" t="str">
        <f t="shared" si="70"/>
        <v>OTHERS</v>
      </c>
      <c r="P1487" s="4" t="str">
        <f t="shared" si="71"/>
        <v>PREMINUM MORNING</v>
      </c>
    </row>
    <row r="1488" spans="1:16" x14ac:dyDescent="0.3">
      <c r="A1488" s="4">
        <v>8</v>
      </c>
      <c r="B1488" t="s">
        <v>11</v>
      </c>
      <c r="C1488" s="4">
        <v>32.82</v>
      </c>
      <c r="D1488" t="s">
        <v>12</v>
      </c>
      <c r="E1488" t="s">
        <v>13</v>
      </c>
      <c r="F1488" s="4" t="s">
        <v>27</v>
      </c>
      <c r="G1488" s="4" t="s">
        <v>36</v>
      </c>
      <c r="H1488" s="4">
        <v>2</v>
      </c>
      <c r="I1488" s="4">
        <v>9</v>
      </c>
      <c r="J1488" s="1">
        <v>45552</v>
      </c>
      <c r="K1488" s="2">
        <v>6.2604166666666667E-3</v>
      </c>
      <c r="M1488" s="4" t="str">
        <f t="shared" si="69"/>
        <v>LOW</v>
      </c>
      <c r="N1488" s="4" t="str" cm="1">
        <f t="array" ref="N1488">_xlfn.IFS(C1488&gt;35,"HIGH",C1488&gt;25,"MIDDLE",TRUE,"LOW")</f>
        <v>MIDDLE</v>
      </c>
      <c r="O1488" s="4" t="str">
        <f t="shared" si="70"/>
        <v>OTHERS</v>
      </c>
      <c r="P1488" s="4" t="str">
        <f t="shared" si="71"/>
        <v>PREMINUM MORNING</v>
      </c>
    </row>
    <row r="1489" spans="1:16" x14ac:dyDescent="0.3">
      <c r="A1489" s="4">
        <v>8</v>
      </c>
      <c r="B1489" t="s">
        <v>11</v>
      </c>
      <c r="C1489" s="4">
        <v>27.92</v>
      </c>
      <c r="D1489" t="s">
        <v>19</v>
      </c>
      <c r="E1489" t="s">
        <v>13</v>
      </c>
      <c r="F1489" s="4" t="s">
        <v>27</v>
      </c>
      <c r="G1489" s="4" t="s">
        <v>36</v>
      </c>
      <c r="H1489" s="4">
        <v>2</v>
      </c>
      <c r="I1489" s="4">
        <v>9</v>
      </c>
      <c r="J1489" s="1">
        <v>45552</v>
      </c>
      <c r="K1489" s="2">
        <v>2.6129629629629628E-2</v>
      </c>
      <c r="M1489" s="4" t="str">
        <f t="shared" si="69"/>
        <v>LOW</v>
      </c>
      <c r="N1489" s="4" t="str" cm="1">
        <f t="array" ref="N1489">_xlfn.IFS(C1489&gt;35,"HIGH",C1489&gt;25,"MIDDLE",TRUE,"LOW")</f>
        <v>MIDDLE</v>
      </c>
      <c r="O1489" s="4" t="str">
        <f t="shared" si="70"/>
        <v>OTHERS</v>
      </c>
      <c r="P1489" s="4" t="str">
        <f t="shared" si="71"/>
        <v>PREMINUM MORNING</v>
      </c>
    </row>
    <row r="1490" spans="1:16" x14ac:dyDescent="0.3">
      <c r="A1490" s="4">
        <v>8</v>
      </c>
      <c r="B1490" t="s">
        <v>11</v>
      </c>
      <c r="C1490" s="4">
        <v>23.02</v>
      </c>
      <c r="D1490" t="s">
        <v>24</v>
      </c>
      <c r="E1490" t="s">
        <v>13</v>
      </c>
      <c r="F1490" s="4" t="s">
        <v>27</v>
      </c>
      <c r="G1490" s="4" t="s">
        <v>36</v>
      </c>
      <c r="H1490" s="4">
        <v>2</v>
      </c>
      <c r="I1490" s="4">
        <v>9</v>
      </c>
      <c r="J1490" s="1">
        <v>45552</v>
      </c>
      <c r="K1490" s="2">
        <v>2.9531249999999998E-2</v>
      </c>
      <c r="M1490" s="4" t="str">
        <f t="shared" si="69"/>
        <v>LOW</v>
      </c>
      <c r="N1490" s="4" t="str" cm="1">
        <f t="array" ref="N1490">_xlfn.IFS(C1490&gt;35,"HIGH",C1490&gt;25,"MIDDLE",TRUE,"LOW")</f>
        <v>LOW</v>
      </c>
      <c r="O1490" s="4" t="str">
        <f t="shared" si="70"/>
        <v>OTHERS</v>
      </c>
      <c r="P1490" s="4" t="str">
        <f t="shared" si="71"/>
        <v>PREMINUM MORNING</v>
      </c>
    </row>
    <row r="1491" spans="1:16" x14ac:dyDescent="0.3">
      <c r="A1491" s="4">
        <v>9</v>
      </c>
      <c r="B1491" t="s">
        <v>11</v>
      </c>
      <c r="C1491" s="4">
        <v>32.82</v>
      </c>
      <c r="D1491" t="s">
        <v>29</v>
      </c>
      <c r="E1491" t="s">
        <v>13</v>
      </c>
      <c r="F1491" s="4" t="s">
        <v>27</v>
      </c>
      <c r="G1491" s="4" t="s">
        <v>36</v>
      </c>
      <c r="H1491" s="4">
        <v>2</v>
      </c>
      <c r="I1491" s="4">
        <v>9</v>
      </c>
      <c r="J1491" s="1">
        <v>45552</v>
      </c>
      <c r="K1491" s="2">
        <v>6.9884259259259257E-3</v>
      </c>
      <c r="M1491" s="4" t="str">
        <f t="shared" si="69"/>
        <v>LOW</v>
      </c>
      <c r="N1491" s="4" t="str" cm="1">
        <f t="array" ref="N1491">_xlfn.IFS(C1491&gt;35,"HIGH",C1491&gt;25,"MIDDLE",TRUE,"LOW")</f>
        <v>MIDDLE</v>
      </c>
      <c r="O1491" s="4" t="str">
        <f t="shared" si="70"/>
        <v>OTHERS</v>
      </c>
      <c r="P1491" s="4" t="str">
        <f t="shared" si="71"/>
        <v>PREMINUM MORNING</v>
      </c>
    </row>
    <row r="1492" spans="1:16" x14ac:dyDescent="0.3">
      <c r="A1492" s="4">
        <v>9</v>
      </c>
      <c r="B1492" t="s">
        <v>11</v>
      </c>
      <c r="C1492" s="4">
        <v>27.92</v>
      </c>
      <c r="D1492" t="s">
        <v>19</v>
      </c>
      <c r="E1492" t="s">
        <v>13</v>
      </c>
      <c r="F1492" s="4" t="s">
        <v>27</v>
      </c>
      <c r="G1492" s="4" t="s">
        <v>36</v>
      </c>
      <c r="H1492" s="4">
        <v>2</v>
      </c>
      <c r="I1492" s="4">
        <v>9</v>
      </c>
      <c r="J1492" s="1">
        <v>45552</v>
      </c>
      <c r="K1492" s="2">
        <v>7.7337962962962968E-3</v>
      </c>
      <c r="M1492" s="4" t="str">
        <f t="shared" si="69"/>
        <v>LOW</v>
      </c>
      <c r="N1492" s="4" t="str" cm="1">
        <f t="array" ref="N1492">_xlfn.IFS(C1492&gt;35,"HIGH",C1492&gt;25,"MIDDLE",TRUE,"LOW")</f>
        <v>MIDDLE</v>
      </c>
      <c r="O1492" s="4" t="str">
        <f t="shared" si="70"/>
        <v>OTHERS</v>
      </c>
      <c r="P1492" s="4" t="str">
        <f t="shared" si="71"/>
        <v>PREMINUM MORNING</v>
      </c>
    </row>
    <row r="1493" spans="1:16" x14ac:dyDescent="0.3">
      <c r="A1493" s="4">
        <v>9</v>
      </c>
      <c r="B1493" t="s">
        <v>11</v>
      </c>
      <c r="C1493" s="4">
        <v>27.92</v>
      </c>
      <c r="D1493" t="s">
        <v>19</v>
      </c>
      <c r="E1493" t="s">
        <v>13</v>
      </c>
      <c r="F1493" s="4" t="s">
        <v>27</v>
      </c>
      <c r="G1493" s="4" t="s">
        <v>36</v>
      </c>
      <c r="H1493" s="4">
        <v>2</v>
      </c>
      <c r="I1493" s="4">
        <v>9</v>
      </c>
      <c r="J1493" s="1">
        <v>45552</v>
      </c>
      <c r="K1493" s="2">
        <v>2.4268518518518519E-2</v>
      </c>
      <c r="M1493" s="4" t="str">
        <f t="shared" si="69"/>
        <v>LOW</v>
      </c>
      <c r="N1493" s="4" t="str" cm="1">
        <f t="array" ref="N1493">_xlfn.IFS(C1493&gt;35,"HIGH",C1493&gt;25,"MIDDLE",TRUE,"LOW")</f>
        <v>MIDDLE</v>
      </c>
      <c r="O1493" s="4" t="str">
        <f t="shared" si="70"/>
        <v>OTHERS</v>
      </c>
      <c r="P1493" s="4" t="str">
        <f t="shared" si="71"/>
        <v>PREMINUM MORNING</v>
      </c>
    </row>
    <row r="1494" spans="1:16" x14ac:dyDescent="0.3">
      <c r="A1494" s="4">
        <v>12</v>
      </c>
      <c r="B1494" t="s">
        <v>11</v>
      </c>
      <c r="C1494" s="4">
        <v>18.12</v>
      </c>
      <c r="D1494" t="s">
        <v>26</v>
      </c>
      <c r="E1494" t="s">
        <v>17</v>
      </c>
      <c r="F1494" s="4" t="s">
        <v>27</v>
      </c>
      <c r="G1494" s="4" t="s">
        <v>36</v>
      </c>
      <c r="H1494" s="4">
        <v>2</v>
      </c>
      <c r="I1494" s="4">
        <v>9</v>
      </c>
      <c r="J1494" s="1">
        <v>45552</v>
      </c>
      <c r="K1494" s="2">
        <v>2.6780092592592595E-2</v>
      </c>
      <c r="M1494" s="4" t="str">
        <f t="shared" si="69"/>
        <v>LOW</v>
      </c>
      <c r="N1494" s="4" t="str" cm="1">
        <f t="array" ref="N1494">_xlfn.IFS(C1494&gt;35,"HIGH",C1494&gt;25,"MIDDLE",TRUE,"LOW")</f>
        <v>LOW</v>
      </c>
      <c r="O1494" s="4" t="str">
        <f t="shared" si="70"/>
        <v>OTHERS</v>
      </c>
      <c r="P1494" s="4" t="str">
        <f t="shared" si="71"/>
        <v>OTHERS</v>
      </c>
    </row>
    <row r="1495" spans="1:16" x14ac:dyDescent="0.3">
      <c r="A1495" s="4">
        <v>12</v>
      </c>
      <c r="B1495" t="s">
        <v>11</v>
      </c>
      <c r="C1495" s="4">
        <v>27.92</v>
      </c>
      <c r="D1495" t="s">
        <v>19</v>
      </c>
      <c r="E1495" t="s">
        <v>17</v>
      </c>
      <c r="F1495" s="4" t="s">
        <v>27</v>
      </c>
      <c r="G1495" s="4" t="s">
        <v>36</v>
      </c>
      <c r="H1495" s="4">
        <v>2</v>
      </c>
      <c r="I1495" s="4">
        <v>9</v>
      </c>
      <c r="J1495" s="1">
        <v>45552</v>
      </c>
      <c r="K1495" s="2">
        <v>2.7473379629629629E-2</v>
      </c>
      <c r="M1495" s="4" t="str">
        <f t="shared" si="69"/>
        <v>LOW</v>
      </c>
      <c r="N1495" s="4" t="str" cm="1">
        <f t="array" ref="N1495">_xlfn.IFS(C1495&gt;35,"HIGH",C1495&gt;25,"MIDDLE",TRUE,"LOW")</f>
        <v>MIDDLE</v>
      </c>
      <c r="O1495" s="4" t="str">
        <f t="shared" si="70"/>
        <v>OTHERS</v>
      </c>
      <c r="P1495" s="4" t="str">
        <f t="shared" si="71"/>
        <v>OTHERS</v>
      </c>
    </row>
    <row r="1496" spans="1:16" x14ac:dyDescent="0.3">
      <c r="A1496" s="4">
        <v>12</v>
      </c>
      <c r="B1496" t="s">
        <v>11</v>
      </c>
      <c r="C1496" s="4">
        <v>32.82</v>
      </c>
      <c r="D1496" t="s">
        <v>12</v>
      </c>
      <c r="E1496" t="s">
        <v>17</v>
      </c>
      <c r="F1496" s="4" t="s">
        <v>27</v>
      </c>
      <c r="G1496" s="4" t="s">
        <v>36</v>
      </c>
      <c r="H1496" s="4">
        <v>2</v>
      </c>
      <c r="I1496" s="4">
        <v>9</v>
      </c>
      <c r="J1496" s="1">
        <v>45552</v>
      </c>
      <c r="K1496" s="2">
        <v>3.0731481481481478E-2</v>
      </c>
      <c r="M1496" s="4" t="str">
        <f t="shared" si="69"/>
        <v>LOW</v>
      </c>
      <c r="N1496" s="4" t="str" cm="1">
        <f t="array" ref="N1496">_xlfn.IFS(C1496&gt;35,"HIGH",C1496&gt;25,"MIDDLE",TRUE,"LOW")</f>
        <v>MIDDLE</v>
      </c>
      <c r="O1496" s="4" t="str">
        <f t="shared" si="70"/>
        <v>OTHERS</v>
      </c>
      <c r="P1496" s="4" t="str">
        <f t="shared" si="71"/>
        <v>OTHERS</v>
      </c>
    </row>
    <row r="1497" spans="1:16" x14ac:dyDescent="0.3">
      <c r="A1497" s="4">
        <v>13</v>
      </c>
      <c r="B1497" t="s">
        <v>11</v>
      </c>
      <c r="C1497" s="4">
        <v>27.92</v>
      </c>
      <c r="D1497" t="s">
        <v>19</v>
      </c>
      <c r="E1497" t="s">
        <v>17</v>
      </c>
      <c r="F1497" s="4" t="s">
        <v>27</v>
      </c>
      <c r="G1497" s="4" t="s">
        <v>36</v>
      </c>
      <c r="H1497" s="4">
        <v>2</v>
      </c>
      <c r="I1497" s="4">
        <v>9</v>
      </c>
      <c r="J1497" s="1">
        <v>45552</v>
      </c>
      <c r="K1497" s="2">
        <v>3.7766203703703705E-2</v>
      </c>
      <c r="M1497" s="4" t="str">
        <f t="shared" si="69"/>
        <v>LOW</v>
      </c>
      <c r="N1497" s="4" t="str" cm="1">
        <f t="array" ref="N1497">_xlfn.IFS(C1497&gt;35,"HIGH",C1497&gt;25,"MIDDLE",TRUE,"LOW")</f>
        <v>MIDDLE</v>
      </c>
      <c r="O1497" s="4" t="str">
        <f t="shared" si="70"/>
        <v>OTHERS</v>
      </c>
      <c r="P1497" s="4" t="str">
        <f t="shared" si="71"/>
        <v>OTHERS</v>
      </c>
    </row>
    <row r="1498" spans="1:16" x14ac:dyDescent="0.3">
      <c r="A1498" s="4">
        <v>13</v>
      </c>
      <c r="B1498" t="s">
        <v>11</v>
      </c>
      <c r="C1498" s="4">
        <v>23.02</v>
      </c>
      <c r="D1498" t="s">
        <v>24</v>
      </c>
      <c r="E1498" t="s">
        <v>17</v>
      </c>
      <c r="F1498" s="4" t="s">
        <v>27</v>
      </c>
      <c r="G1498" s="4" t="s">
        <v>36</v>
      </c>
      <c r="H1498" s="4">
        <v>2</v>
      </c>
      <c r="I1498" s="4">
        <v>9</v>
      </c>
      <c r="J1498" s="1">
        <v>45552</v>
      </c>
      <c r="K1498" s="2">
        <v>3.8555555555555551E-2</v>
      </c>
      <c r="M1498" s="4" t="str">
        <f t="shared" si="69"/>
        <v>LOW</v>
      </c>
      <c r="N1498" s="4" t="str" cm="1">
        <f t="array" ref="N1498">_xlfn.IFS(C1498&gt;35,"HIGH",C1498&gt;25,"MIDDLE",TRUE,"LOW")</f>
        <v>LOW</v>
      </c>
      <c r="O1498" s="4" t="str">
        <f t="shared" si="70"/>
        <v>OTHERS</v>
      </c>
      <c r="P1498" s="4" t="str">
        <f t="shared" si="71"/>
        <v>OTHERS</v>
      </c>
    </row>
    <row r="1499" spans="1:16" x14ac:dyDescent="0.3">
      <c r="A1499" s="4">
        <v>16</v>
      </c>
      <c r="B1499" t="s">
        <v>11</v>
      </c>
      <c r="C1499" s="4">
        <v>32.82</v>
      </c>
      <c r="D1499" t="s">
        <v>29</v>
      </c>
      <c r="E1499" t="s">
        <v>17</v>
      </c>
      <c r="F1499" s="4" t="s">
        <v>27</v>
      </c>
      <c r="G1499" s="4" t="s">
        <v>36</v>
      </c>
      <c r="H1499" s="4">
        <v>2</v>
      </c>
      <c r="I1499" s="4">
        <v>9</v>
      </c>
      <c r="J1499" s="1">
        <v>45552</v>
      </c>
      <c r="K1499" s="2">
        <v>2.0569444444444446E-2</v>
      </c>
      <c r="M1499" s="4" t="str">
        <f t="shared" si="69"/>
        <v>LOW</v>
      </c>
      <c r="N1499" s="4" t="str" cm="1">
        <f t="array" ref="N1499">_xlfn.IFS(C1499&gt;35,"HIGH",C1499&gt;25,"MIDDLE",TRUE,"LOW")</f>
        <v>MIDDLE</v>
      </c>
      <c r="O1499" s="4" t="str">
        <f t="shared" si="70"/>
        <v>OTHERS</v>
      </c>
      <c r="P1499" s="4" t="str">
        <f t="shared" si="71"/>
        <v>OTHERS</v>
      </c>
    </row>
    <row r="1500" spans="1:16" x14ac:dyDescent="0.3">
      <c r="A1500" s="4">
        <v>16</v>
      </c>
      <c r="B1500" t="s">
        <v>11</v>
      </c>
      <c r="C1500" s="4">
        <v>32.82</v>
      </c>
      <c r="D1500" t="s">
        <v>12</v>
      </c>
      <c r="E1500" t="s">
        <v>17</v>
      </c>
      <c r="F1500" s="4" t="s">
        <v>27</v>
      </c>
      <c r="G1500" s="4" t="s">
        <v>36</v>
      </c>
      <c r="H1500" s="4">
        <v>2</v>
      </c>
      <c r="I1500" s="4">
        <v>9</v>
      </c>
      <c r="J1500" s="1">
        <v>45552</v>
      </c>
      <c r="K1500" s="2">
        <v>2.1535879629629631E-2</v>
      </c>
      <c r="M1500" s="4" t="str">
        <f t="shared" si="69"/>
        <v>LOW</v>
      </c>
      <c r="N1500" s="4" t="str" cm="1">
        <f t="array" ref="N1500">_xlfn.IFS(C1500&gt;35,"HIGH",C1500&gt;25,"MIDDLE",TRUE,"LOW")</f>
        <v>MIDDLE</v>
      </c>
      <c r="O1500" s="4" t="str">
        <f t="shared" si="70"/>
        <v>OTHERS</v>
      </c>
      <c r="P1500" s="4" t="str">
        <f t="shared" si="71"/>
        <v>OTHERS</v>
      </c>
    </row>
    <row r="1501" spans="1:16" x14ac:dyDescent="0.3">
      <c r="A1501" s="4">
        <v>18</v>
      </c>
      <c r="B1501" t="s">
        <v>11</v>
      </c>
      <c r="C1501" s="4">
        <v>32.82</v>
      </c>
      <c r="D1501" t="s">
        <v>16</v>
      </c>
      <c r="E1501" t="s">
        <v>20</v>
      </c>
      <c r="F1501" s="4" t="s">
        <v>27</v>
      </c>
      <c r="G1501" s="4" t="s">
        <v>36</v>
      </c>
      <c r="H1501" s="4">
        <v>2</v>
      </c>
      <c r="I1501" s="4">
        <v>9</v>
      </c>
      <c r="J1501" s="1">
        <v>45552</v>
      </c>
      <c r="K1501" s="2">
        <v>3.7775462962962962E-2</v>
      </c>
      <c r="M1501" s="4" t="str">
        <f t="shared" si="69"/>
        <v>LOW</v>
      </c>
      <c r="N1501" s="4" t="str" cm="1">
        <f t="array" ref="N1501">_xlfn.IFS(C1501&gt;35,"HIGH",C1501&gt;25,"MIDDLE",TRUE,"LOW")</f>
        <v>MIDDLE</v>
      </c>
      <c r="O1501" s="4" t="str">
        <f t="shared" si="70"/>
        <v>OTHERS</v>
      </c>
      <c r="P1501" s="4" t="str">
        <f t="shared" si="71"/>
        <v>OTHERS</v>
      </c>
    </row>
    <row r="1502" spans="1:16" x14ac:dyDescent="0.3">
      <c r="A1502" s="4">
        <v>19</v>
      </c>
      <c r="B1502" t="s">
        <v>11</v>
      </c>
      <c r="C1502" s="4">
        <v>27.92</v>
      </c>
      <c r="D1502" t="s">
        <v>19</v>
      </c>
      <c r="E1502" t="s">
        <v>20</v>
      </c>
      <c r="F1502" s="4" t="s">
        <v>27</v>
      </c>
      <c r="G1502" s="4" t="s">
        <v>36</v>
      </c>
      <c r="H1502" s="4">
        <v>2</v>
      </c>
      <c r="I1502" s="4">
        <v>9</v>
      </c>
      <c r="J1502" s="1">
        <v>45552</v>
      </c>
      <c r="K1502" s="2">
        <v>5.3124999999999993E-4</v>
      </c>
      <c r="M1502" s="4" t="str">
        <f t="shared" si="69"/>
        <v>LOW</v>
      </c>
      <c r="N1502" s="4" t="str" cm="1">
        <f t="array" ref="N1502">_xlfn.IFS(C1502&gt;35,"HIGH",C1502&gt;25,"MIDDLE",TRUE,"LOW")</f>
        <v>MIDDLE</v>
      </c>
      <c r="O1502" s="4" t="str">
        <f t="shared" si="70"/>
        <v>OTHERS</v>
      </c>
      <c r="P1502" s="4" t="str">
        <f t="shared" si="71"/>
        <v>OTHERS</v>
      </c>
    </row>
    <row r="1503" spans="1:16" x14ac:dyDescent="0.3">
      <c r="A1503" s="4">
        <v>19</v>
      </c>
      <c r="B1503" t="s">
        <v>11</v>
      </c>
      <c r="C1503" s="4">
        <v>27.92</v>
      </c>
      <c r="D1503" t="s">
        <v>19</v>
      </c>
      <c r="E1503" t="s">
        <v>20</v>
      </c>
      <c r="F1503" s="4" t="s">
        <v>27</v>
      </c>
      <c r="G1503" s="4" t="s">
        <v>36</v>
      </c>
      <c r="H1503" s="4">
        <v>2</v>
      </c>
      <c r="I1503" s="4">
        <v>9</v>
      </c>
      <c r="J1503" s="1">
        <v>45552</v>
      </c>
      <c r="K1503" s="2">
        <v>2.7002314814814814E-3</v>
      </c>
      <c r="M1503" s="4" t="str">
        <f t="shared" si="69"/>
        <v>LOW</v>
      </c>
      <c r="N1503" s="4" t="str" cm="1">
        <f t="array" ref="N1503">_xlfn.IFS(C1503&gt;35,"HIGH",C1503&gt;25,"MIDDLE",TRUE,"LOW")</f>
        <v>MIDDLE</v>
      </c>
      <c r="O1503" s="4" t="str">
        <f t="shared" si="70"/>
        <v>OTHERS</v>
      </c>
      <c r="P1503" s="4" t="str">
        <f t="shared" si="71"/>
        <v>OTHERS</v>
      </c>
    </row>
    <row r="1504" spans="1:16" x14ac:dyDescent="0.3">
      <c r="A1504" s="4">
        <v>19</v>
      </c>
      <c r="B1504" t="s">
        <v>11</v>
      </c>
      <c r="C1504" s="4">
        <v>32.82</v>
      </c>
      <c r="D1504" t="s">
        <v>12</v>
      </c>
      <c r="E1504" t="s">
        <v>20</v>
      </c>
      <c r="F1504" s="4" t="s">
        <v>27</v>
      </c>
      <c r="G1504" s="4" t="s">
        <v>36</v>
      </c>
      <c r="H1504" s="4">
        <v>2</v>
      </c>
      <c r="I1504" s="4">
        <v>9</v>
      </c>
      <c r="J1504" s="1">
        <v>45552</v>
      </c>
      <c r="K1504" s="2">
        <v>8.8877314814814808E-3</v>
      </c>
      <c r="M1504" s="4" t="str">
        <f t="shared" si="69"/>
        <v>LOW</v>
      </c>
      <c r="N1504" s="4" t="str" cm="1">
        <f t="array" ref="N1504">_xlfn.IFS(C1504&gt;35,"HIGH",C1504&gt;25,"MIDDLE",TRUE,"LOW")</f>
        <v>MIDDLE</v>
      </c>
      <c r="O1504" s="4" t="str">
        <f t="shared" si="70"/>
        <v>OTHERS</v>
      </c>
      <c r="P1504" s="4" t="str">
        <f t="shared" si="71"/>
        <v>OTHERS</v>
      </c>
    </row>
    <row r="1505" spans="1:16" x14ac:dyDescent="0.3">
      <c r="A1505" s="4">
        <v>19</v>
      </c>
      <c r="B1505" t="s">
        <v>11</v>
      </c>
      <c r="C1505" s="4">
        <v>27.92</v>
      </c>
      <c r="D1505" t="s">
        <v>19</v>
      </c>
      <c r="E1505" t="s">
        <v>20</v>
      </c>
      <c r="F1505" s="4" t="s">
        <v>27</v>
      </c>
      <c r="G1505" s="4" t="s">
        <v>36</v>
      </c>
      <c r="H1505" s="4">
        <v>2</v>
      </c>
      <c r="I1505" s="4">
        <v>9</v>
      </c>
      <c r="J1505" s="1">
        <v>45552</v>
      </c>
      <c r="K1505" s="2">
        <v>9.71875E-3</v>
      </c>
      <c r="M1505" s="4" t="str">
        <f t="shared" si="69"/>
        <v>LOW</v>
      </c>
      <c r="N1505" s="4" t="str" cm="1">
        <f t="array" ref="N1505">_xlfn.IFS(C1505&gt;35,"HIGH",C1505&gt;25,"MIDDLE",TRUE,"LOW")</f>
        <v>MIDDLE</v>
      </c>
      <c r="O1505" s="4" t="str">
        <f t="shared" si="70"/>
        <v>OTHERS</v>
      </c>
      <c r="P1505" s="4" t="str">
        <f t="shared" si="71"/>
        <v>OTHERS</v>
      </c>
    </row>
    <row r="1506" spans="1:16" x14ac:dyDescent="0.3">
      <c r="A1506" s="4">
        <v>19</v>
      </c>
      <c r="B1506" t="s">
        <v>11</v>
      </c>
      <c r="C1506" s="4">
        <v>27.92</v>
      </c>
      <c r="D1506" t="s">
        <v>19</v>
      </c>
      <c r="E1506" t="s">
        <v>20</v>
      </c>
      <c r="F1506" s="4" t="s">
        <v>27</v>
      </c>
      <c r="G1506" s="4" t="s">
        <v>36</v>
      </c>
      <c r="H1506" s="4">
        <v>2</v>
      </c>
      <c r="I1506" s="4">
        <v>9</v>
      </c>
      <c r="J1506" s="1">
        <v>45552</v>
      </c>
      <c r="K1506" s="2">
        <v>1.0410879629629629E-2</v>
      </c>
      <c r="M1506" s="4" t="str">
        <f t="shared" si="69"/>
        <v>LOW</v>
      </c>
      <c r="N1506" s="4" t="str" cm="1">
        <f t="array" ref="N1506">_xlfn.IFS(C1506&gt;35,"HIGH",C1506&gt;25,"MIDDLE",TRUE,"LOW")</f>
        <v>MIDDLE</v>
      </c>
      <c r="O1506" s="4" t="str">
        <f t="shared" si="70"/>
        <v>OTHERS</v>
      </c>
      <c r="P1506" s="4" t="str">
        <f t="shared" si="71"/>
        <v>OTHERS</v>
      </c>
    </row>
    <row r="1507" spans="1:16" x14ac:dyDescent="0.3">
      <c r="A1507" s="4">
        <v>19</v>
      </c>
      <c r="B1507" t="s">
        <v>11</v>
      </c>
      <c r="C1507" s="4">
        <v>27.92</v>
      </c>
      <c r="D1507" t="s">
        <v>19</v>
      </c>
      <c r="E1507" t="s">
        <v>20</v>
      </c>
      <c r="F1507" s="4" t="s">
        <v>27</v>
      </c>
      <c r="G1507" s="4" t="s">
        <v>36</v>
      </c>
      <c r="H1507" s="4">
        <v>2</v>
      </c>
      <c r="I1507" s="4">
        <v>9</v>
      </c>
      <c r="J1507" s="1">
        <v>45552</v>
      </c>
      <c r="K1507" s="2">
        <v>2.2192129629629631E-2</v>
      </c>
      <c r="M1507" s="4" t="str">
        <f t="shared" si="69"/>
        <v>LOW</v>
      </c>
      <c r="N1507" s="4" t="str" cm="1">
        <f t="array" ref="N1507">_xlfn.IFS(C1507&gt;35,"HIGH",C1507&gt;25,"MIDDLE",TRUE,"LOW")</f>
        <v>MIDDLE</v>
      </c>
      <c r="O1507" s="4" t="str">
        <f t="shared" si="70"/>
        <v>OTHERS</v>
      </c>
      <c r="P1507" s="4" t="str">
        <f t="shared" si="71"/>
        <v>OTHERS</v>
      </c>
    </row>
    <row r="1508" spans="1:16" x14ac:dyDescent="0.3">
      <c r="A1508" s="4">
        <v>22</v>
      </c>
      <c r="B1508" t="s">
        <v>11</v>
      </c>
      <c r="C1508" s="4">
        <v>32.82</v>
      </c>
      <c r="D1508" t="s">
        <v>16</v>
      </c>
      <c r="E1508" t="s">
        <v>20</v>
      </c>
      <c r="F1508" s="4" t="s">
        <v>27</v>
      </c>
      <c r="G1508" s="4" t="s">
        <v>36</v>
      </c>
      <c r="H1508" s="4">
        <v>2</v>
      </c>
      <c r="I1508" s="4">
        <v>9</v>
      </c>
      <c r="J1508" s="1">
        <v>45552</v>
      </c>
      <c r="K1508" s="2">
        <v>1.361111111111111E-2</v>
      </c>
      <c r="M1508" s="4" t="str">
        <f t="shared" si="69"/>
        <v>LOW</v>
      </c>
      <c r="N1508" s="4" t="str" cm="1">
        <f t="array" ref="N1508">_xlfn.IFS(C1508&gt;35,"HIGH",C1508&gt;25,"MIDDLE",TRUE,"LOW")</f>
        <v>MIDDLE</v>
      </c>
      <c r="O1508" s="4" t="str">
        <f t="shared" si="70"/>
        <v>OTHERS</v>
      </c>
      <c r="P1508" s="4" t="str">
        <f t="shared" si="71"/>
        <v>OTHERS</v>
      </c>
    </row>
    <row r="1509" spans="1:16" x14ac:dyDescent="0.3">
      <c r="A1509" s="4">
        <v>22</v>
      </c>
      <c r="B1509" t="s">
        <v>11</v>
      </c>
      <c r="C1509" s="4">
        <v>32.82</v>
      </c>
      <c r="D1509" t="s">
        <v>16</v>
      </c>
      <c r="E1509" t="s">
        <v>20</v>
      </c>
      <c r="F1509" s="4" t="s">
        <v>27</v>
      </c>
      <c r="G1509" s="4" t="s">
        <v>36</v>
      </c>
      <c r="H1509" s="4">
        <v>2</v>
      </c>
      <c r="I1509" s="4">
        <v>9</v>
      </c>
      <c r="J1509" s="1">
        <v>45552</v>
      </c>
      <c r="K1509" s="2">
        <v>1.4114583333333333E-2</v>
      </c>
      <c r="M1509" s="4" t="str">
        <f t="shared" si="69"/>
        <v>LOW</v>
      </c>
      <c r="N1509" s="4" t="str" cm="1">
        <f t="array" ref="N1509">_xlfn.IFS(C1509&gt;35,"HIGH",C1509&gt;25,"MIDDLE",TRUE,"LOW")</f>
        <v>MIDDLE</v>
      </c>
      <c r="O1509" s="4" t="str">
        <f t="shared" si="70"/>
        <v>OTHERS</v>
      </c>
      <c r="P1509" s="4" t="str">
        <f t="shared" si="71"/>
        <v>OTHERS</v>
      </c>
    </row>
    <row r="1510" spans="1:16" x14ac:dyDescent="0.3">
      <c r="A1510" s="4">
        <v>14</v>
      </c>
      <c r="B1510" t="s">
        <v>11</v>
      </c>
      <c r="C1510" s="4">
        <v>32.82</v>
      </c>
      <c r="D1510" t="s">
        <v>12</v>
      </c>
      <c r="E1510" t="s">
        <v>17</v>
      </c>
      <c r="F1510" s="4" t="s">
        <v>28</v>
      </c>
      <c r="G1510" s="4" t="s">
        <v>36</v>
      </c>
      <c r="H1510" s="4">
        <v>3</v>
      </c>
      <c r="I1510" s="4">
        <v>9</v>
      </c>
      <c r="J1510" s="1">
        <v>45553</v>
      </c>
      <c r="K1510" s="2">
        <v>2.0704861111111111E-2</v>
      </c>
      <c r="M1510" s="4" t="str">
        <f t="shared" si="69"/>
        <v>LOW</v>
      </c>
      <c r="N1510" s="4" t="str" cm="1">
        <f t="array" ref="N1510">_xlfn.IFS(C1510&gt;35,"HIGH",C1510&gt;25,"MIDDLE",TRUE,"LOW")</f>
        <v>MIDDLE</v>
      </c>
      <c r="O1510" s="4" t="str">
        <f t="shared" si="70"/>
        <v>OTHERS</v>
      </c>
      <c r="P1510" s="4" t="str">
        <f t="shared" si="71"/>
        <v>OTHERS</v>
      </c>
    </row>
    <row r="1511" spans="1:16" x14ac:dyDescent="0.3">
      <c r="A1511" s="4">
        <v>17</v>
      </c>
      <c r="B1511" t="s">
        <v>11</v>
      </c>
      <c r="C1511" s="4">
        <v>32.82</v>
      </c>
      <c r="D1511" t="s">
        <v>12</v>
      </c>
      <c r="E1511" t="s">
        <v>20</v>
      </c>
      <c r="F1511" s="4" t="s">
        <v>28</v>
      </c>
      <c r="G1511" s="4" t="s">
        <v>36</v>
      </c>
      <c r="H1511" s="4">
        <v>3</v>
      </c>
      <c r="I1511" s="4">
        <v>9</v>
      </c>
      <c r="J1511" s="1">
        <v>45553</v>
      </c>
      <c r="K1511" s="2">
        <v>2.3839120370370368E-2</v>
      </c>
      <c r="M1511" s="4" t="str">
        <f t="shared" si="69"/>
        <v>LOW</v>
      </c>
      <c r="N1511" s="4" t="str" cm="1">
        <f t="array" ref="N1511">_xlfn.IFS(C1511&gt;35,"HIGH",C1511&gt;25,"MIDDLE",TRUE,"LOW")</f>
        <v>MIDDLE</v>
      </c>
      <c r="O1511" s="4" t="str">
        <f t="shared" si="70"/>
        <v>OTHERS</v>
      </c>
      <c r="P1511" s="4" t="str">
        <f t="shared" si="71"/>
        <v>OTHERS</v>
      </c>
    </row>
    <row r="1512" spans="1:16" x14ac:dyDescent="0.3">
      <c r="A1512" s="4">
        <v>21</v>
      </c>
      <c r="B1512" t="s">
        <v>11</v>
      </c>
      <c r="C1512" s="4">
        <v>27.92</v>
      </c>
      <c r="D1512" t="s">
        <v>19</v>
      </c>
      <c r="E1512" t="s">
        <v>20</v>
      </c>
      <c r="F1512" s="4" t="s">
        <v>28</v>
      </c>
      <c r="G1512" s="4" t="s">
        <v>36</v>
      </c>
      <c r="H1512" s="4">
        <v>3</v>
      </c>
      <c r="I1512" s="4">
        <v>9</v>
      </c>
      <c r="J1512" s="1">
        <v>45553</v>
      </c>
      <c r="K1512" s="2">
        <v>1.086574074074074E-2</v>
      </c>
      <c r="M1512" s="4" t="str">
        <f t="shared" si="69"/>
        <v>LOW</v>
      </c>
      <c r="N1512" s="4" t="str" cm="1">
        <f t="array" ref="N1512">_xlfn.IFS(C1512&gt;35,"HIGH",C1512&gt;25,"MIDDLE",TRUE,"LOW")</f>
        <v>MIDDLE</v>
      </c>
      <c r="O1512" s="4" t="str">
        <f t="shared" si="70"/>
        <v>OTHERS</v>
      </c>
      <c r="P1512" s="4" t="str">
        <f t="shared" si="71"/>
        <v>OTHERS</v>
      </c>
    </row>
    <row r="1513" spans="1:16" x14ac:dyDescent="0.3">
      <c r="A1513" s="4">
        <v>21</v>
      </c>
      <c r="B1513" t="s">
        <v>11</v>
      </c>
      <c r="C1513" s="4">
        <v>27.92</v>
      </c>
      <c r="D1513" t="s">
        <v>19</v>
      </c>
      <c r="E1513" t="s">
        <v>20</v>
      </c>
      <c r="F1513" s="4" t="s">
        <v>28</v>
      </c>
      <c r="G1513" s="4" t="s">
        <v>36</v>
      </c>
      <c r="H1513" s="4">
        <v>3</v>
      </c>
      <c r="I1513" s="4">
        <v>9</v>
      </c>
      <c r="J1513" s="1">
        <v>45553</v>
      </c>
      <c r="K1513" s="2">
        <v>1.2749999999999999E-2</v>
      </c>
      <c r="M1513" s="4" t="str">
        <f t="shared" si="69"/>
        <v>LOW</v>
      </c>
      <c r="N1513" s="4" t="str" cm="1">
        <f t="array" ref="N1513">_xlfn.IFS(C1513&gt;35,"HIGH",C1513&gt;25,"MIDDLE",TRUE,"LOW")</f>
        <v>MIDDLE</v>
      </c>
      <c r="O1513" s="4" t="str">
        <f t="shared" si="70"/>
        <v>OTHERS</v>
      </c>
      <c r="P1513" s="4" t="str">
        <f t="shared" si="71"/>
        <v>OTHERS</v>
      </c>
    </row>
    <row r="1514" spans="1:16" x14ac:dyDescent="0.3">
      <c r="A1514" s="4">
        <v>8</v>
      </c>
      <c r="B1514" t="s">
        <v>11</v>
      </c>
      <c r="C1514" s="4">
        <v>27.92</v>
      </c>
      <c r="D1514" t="s">
        <v>19</v>
      </c>
      <c r="E1514" t="s">
        <v>13</v>
      </c>
      <c r="F1514" s="4" t="s">
        <v>30</v>
      </c>
      <c r="G1514" s="4" t="s">
        <v>36</v>
      </c>
      <c r="H1514" s="4">
        <v>4</v>
      </c>
      <c r="I1514" s="4">
        <v>9</v>
      </c>
      <c r="J1514" s="1">
        <v>45554</v>
      </c>
      <c r="K1514" s="2">
        <v>1.2021990740740741E-2</v>
      </c>
      <c r="M1514" s="4" t="str">
        <f t="shared" si="69"/>
        <v>LOW</v>
      </c>
      <c r="N1514" s="4" t="str" cm="1">
        <f t="array" ref="N1514">_xlfn.IFS(C1514&gt;35,"HIGH",C1514&gt;25,"MIDDLE",TRUE,"LOW")</f>
        <v>MIDDLE</v>
      </c>
      <c r="O1514" s="4" t="str">
        <f t="shared" si="70"/>
        <v>OTHERS</v>
      </c>
      <c r="P1514" s="4" t="str">
        <f t="shared" si="71"/>
        <v>PREMINUM MORNING</v>
      </c>
    </row>
    <row r="1515" spans="1:16" x14ac:dyDescent="0.3">
      <c r="A1515" s="4">
        <v>8</v>
      </c>
      <c r="B1515" t="s">
        <v>11</v>
      </c>
      <c r="C1515" s="4">
        <v>23.02</v>
      </c>
      <c r="D1515" t="s">
        <v>24</v>
      </c>
      <c r="E1515" t="s">
        <v>13</v>
      </c>
      <c r="F1515" s="4" t="s">
        <v>30</v>
      </c>
      <c r="G1515" s="4" t="s">
        <v>36</v>
      </c>
      <c r="H1515" s="4">
        <v>4</v>
      </c>
      <c r="I1515" s="4">
        <v>9</v>
      </c>
      <c r="J1515" s="1">
        <v>45554</v>
      </c>
      <c r="K1515" s="2">
        <v>2.1168981481481483E-2</v>
      </c>
      <c r="M1515" s="4" t="str">
        <f t="shared" si="69"/>
        <v>LOW</v>
      </c>
      <c r="N1515" s="4" t="str" cm="1">
        <f t="array" ref="N1515">_xlfn.IFS(C1515&gt;35,"HIGH",C1515&gt;25,"MIDDLE",TRUE,"LOW")</f>
        <v>LOW</v>
      </c>
      <c r="O1515" s="4" t="str">
        <f t="shared" si="70"/>
        <v>OTHERS</v>
      </c>
      <c r="P1515" s="4" t="str">
        <f t="shared" si="71"/>
        <v>PREMINUM MORNING</v>
      </c>
    </row>
    <row r="1516" spans="1:16" x14ac:dyDescent="0.3">
      <c r="A1516" s="4">
        <v>10</v>
      </c>
      <c r="B1516" t="s">
        <v>11</v>
      </c>
      <c r="C1516" s="4">
        <v>32.82</v>
      </c>
      <c r="D1516" t="s">
        <v>12</v>
      </c>
      <c r="E1516" t="s">
        <v>13</v>
      </c>
      <c r="F1516" s="4" t="s">
        <v>30</v>
      </c>
      <c r="G1516" s="4" t="s">
        <v>36</v>
      </c>
      <c r="H1516" s="4">
        <v>4</v>
      </c>
      <c r="I1516" s="4">
        <v>9</v>
      </c>
      <c r="J1516" s="1">
        <v>45554</v>
      </c>
      <c r="K1516" s="2">
        <v>1.0486111111111111E-3</v>
      </c>
      <c r="M1516" s="4" t="str">
        <f t="shared" si="69"/>
        <v>LOW</v>
      </c>
      <c r="N1516" s="4" t="str" cm="1">
        <f t="array" ref="N1516">_xlfn.IFS(C1516&gt;35,"HIGH",C1516&gt;25,"MIDDLE",TRUE,"LOW")</f>
        <v>MIDDLE</v>
      </c>
      <c r="O1516" s="4" t="str">
        <f t="shared" si="70"/>
        <v>OTHERS</v>
      </c>
      <c r="P1516" s="4" t="str">
        <f t="shared" si="71"/>
        <v>PREMINUM MORNING</v>
      </c>
    </row>
    <row r="1517" spans="1:16" x14ac:dyDescent="0.3">
      <c r="A1517" s="4">
        <v>12</v>
      </c>
      <c r="B1517" t="s">
        <v>11</v>
      </c>
      <c r="C1517" s="4">
        <v>23.02</v>
      </c>
      <c r="D1517" t="s">
        <v>18</v>
      </c>
      <c r="E1517" t="s">
        <v>17</v>
      </c>
      <c r="F1517" s="4" t="s">
        <v>30</v>
      </c>
      <c r="G1517" s="4" t="s">
        <v>36</v>
      </c>
      <c r="H1517" s="4">
        <v>4</v>
      </c>
      <c r="I1517" s="4">
        <v>9</v>
      </c>
      <c r="J1517" s="1">
        <v>45554</v>
      </c>
      <c r="K1517" s="2">
        <v>4.1361111111111112E-2</v>
      </c>
      <c r="M1517" s="4" t="str">
        <f t="shared" si="69"/>
        <v>LOW</v>
      </c>
      <c r="N1517" s="4" t="str" cm="1">
        <f t="array" ref="N1517">_xlfn.IFS(C1517&gt;35,"HIGH",C1517&gt;25,"MIDDLE",TRUE,"LOW")</f>
        <v>LOW</v>
      </c>
      <c r="O1517" s="4" t="str">
        <f t="shared" si="70"/>
        <v>OTHERS</v>
      </c>
      <c r="P1517" s="4" t="str">
        <f t="shared" si="71"/>
        <v>OTHERS</v>
      </c>
    </row>
    <row r="1518" spans="1:16" x14ac:dyDescent="0.3">
      <c r="A1518" s="4">
        <v>13</v>
      </c>
      <c r="B1518" t="s">
        <v>11</v>
      </c>
      <c r="C1518" s="4">
        <v>27.92</v>
      </c>
      <c r="D1518" t="s">
        <v>19</v>
      </c>
      <c r="E1518" t="s">
        <v>17</v>
      </c>
      <c r="F1518" s="4" t="s">
        <v>30</v>
      </c>
      <c r="G1518" s="4" t="s">
        <v>36</v>
      </c>
      <c r="H1518" s="4">
        <v>4</v>
      </c>
      <c r="I1518" s="4">
        <v>9</v>
      </c>
      <c r="J1518" s="1">
        <v>45554</v>
      </c>
      <c r="K1518" s="2">
        <v>3.8888888888888892E-4</v>
      </c>
      <c r="M1518" s="4" t="str">
        <f t="shared" si="69"/>
        <v>LOW</v>
      </c>
      <c r="N1518" s="4" t="str" cm="1">
        <f t="array" ref="N1518">_xlfn.IFS(C1518&gt;35,"HIGH",C1518&gt;25,"MIDDLE",TRUE,"LOW")</f>
        <v>MIDDLE</v>
      </c>
      <c r="O1518" s="4" t="str">
        <f t="shared" si="70"/>
        <v>OTHERS</v>
      </c>
      <c r="P1518" s="4" t="str">
        <f t="shared" si="71"/>
        <v>OTHERS</v>
      </c>
    </row>
    <row r="1519" spans="1:16" x14ac:dyDescent="0.3">
      <c r="A1519" s="4">
        <v>13</v>
      </c>
      <c r="B1519" t="s">
        <v>11</v>
      </c>
      <c r="C1519" s="4">
        <v>23.02</v>
      </c>
      <c r="D1519" t="s">
        <v>24</v>
      </c>
      <c r="E1519" t="s">
        <v>17</v>
      </c>
      <c r="F1519" s="4" t="s">
        <v>30</v>
      </c>
      <c r="G1519" s="4" t="s">
        <v>36</v>
      </c>
      <c r="H1519" s="4">
        <v>4</v>
      </c>
      <c r="I1519" s="4">
        <v>9</v>
      </c>
      <c r="J1519" s="1">
        <v>45554</v>
      </c>
      <c r="K1519" s="2">
        <v>3.1740740740740743E-2</v>
      </c>
      <c r="M1519" s="4" t="str">
        <f t="shared" si="69"/>
        <v>LOW</v>
      </c>
      <c r="N1519" s="4" t="str" cm="1">
        <f t="array" ref="N1519">_xlfn.IFS(C1519&gt;35,"HIGH",C1519&gt;25,"MIDDLE",TRUE,"LOW")</f>
        <v>LOW</v>
      </c>
      <c r="O1519" s="4" t="str">
        <f t="shared" si="70"/>
        <v>OTHERS</v>
      </c>
      <c r="P1519" s="4" t="str">
        <f t="shared" si="71"/>
        <v>OTHERS</v>
      </c>
    </row>
    <row r="1520" spans="1:16" x14ac:dyDescent="0.3">
      <c r="A1520" s="4">
        <v>8</v>
      </c>
      <c r="B1520" t="s">
        <v>11</v>
      </c>
      <c r="C1520" s="4">
        <v>27.92</v>
      </c>
      <c r="D1520" t="s">
        <v>19</v>
      </c>
      <c r="E1520" t="s">
        <v>13</v>
      </c>
      <c r="F1520" s="4" t="s">
        <v>14</v>
      </c>
      <c r="G1520" s="4" t="s">
        <v>36</v>
      </c>
      <c r="H1520" s="4">
        <v>5</v>
      </c>
      <c r="I1520" s="4">
        <v>9</v>
      </c>
      <c r="J1520" s="1">
        <v>45555</v>
      </c>
      <c r="K1520" s="2">
        <v>2.4269675925925927E-2</v>
      </c>
      <c r="M1520" s="4" t="str">
        <f t="shared" si="69"/>
        <v>LOW</v>
      </c>
      <c r="N1520" s="4" t="str" cm="1">
        <f t="array" ref="N1520">_xlfn.IFS(C1520&gt;35,"HIGH",C1520&gt;25,"MIDDLE",TRUE,"LOW")</f>
        <v>MIDDLE</v>
      </c>
      <c r="O1520" s="4" t="str">
        <f t="shared" si="70"/>
        <v>OTHERS</v>
      </c>
      <c r="P1520" s="4" t="str">
        <f t="shared" si="71"/>
        <v>PREMINUM MORNING</v>
      </c>
    </row>
    <row r="1521" spans="1:16" x14ac:dyDescent="0.3">
      <c r="A1521" s="4">
        <v>9</v>
      </c>
      <c r="B1521" t="s">
        <v>11</v>
      </c>
      <c r="C1521" s="4">
        <v>27.92</v>
      </c>
      <c r="D1521" t="s">
        <v>19</v>
      </c>
      <c r="E1521" t="s">
        <v>13</v>
      </c>
      <c r="F1521" s="4" t="s">
        <v>14</v>
      </c>
      <c r="G1521" s="4" t="s">
        <v>36</v>
      </c>
      <c r="H1521" s="4">
        <v>5</v>
      </c>
      <c r="I1521" s="4">
        <v>9</v>
      </c>
      <c r="J1521" s="1">
        <v>45555</v>
      </c>
      <c r="K1521" s="2">
        <v>3.2122685185185185E-2</v>
      </c>
      <c r="M1521" s="4" t="str">
        <f t="shared" si="69"/>
        <v>LOW</v>
      </c>
      <c r="N1521" s="4" t="str" cm="1">
        <f t="array" ref="N1521">_xlfn.IFS(C1521&gt;35,"HIGH",C1521&gt;25,"MIDDLE",TRUE,"LOW")</f>
        <v>MIDDLE</v>
      </c>
      <c r="O1521" s="4" t="str">
        <f t="shared" si="70"/>
        <v>OTHERS</v>
      </c>
      <c r="P1521" s="4" t="str">
        <f t="shared" si="71"/>
        <v>PREMINUM MORNING</v>
      </c>
    </row>
    <row r="1522" spans="1:16" x14ac:dyDescent="0.3">
      <c r="A1522" s="4">
        <v>13</v>
      </c>
      <c r="B1522" t="s">
        <v>11</v>
      </c>
      <c r="C1522" s="4">
        <v>27.92</v>
      </c>
      <c r="D1522" t="s">
        <v>19</v>
      </c>
      <c r="E1522" t="s">
        <v>17</v>
      </c>
      <c r="F1522" s="4" t="s">
        <v>14</v>
      </c>
      <c r="G1522" s="4" t="s">
        <v>36</v>
      </c>
      <c r="H1522" s="4">
        <v>5</v>
      </c>
      <c r="I1522" s="4">
        <v>9</v>
      </c>
      <c r="J1522" s="1">
        <v>45555</v>
      </c>
      <c r="K1522" s="2">
        <v>2.7725694444444445E-2</v>
      </c>
      <c r="M1522" s="4" t="str">
        <f t="shared" si="69"/>
        <v>LOW</v>
      </c>
      <c r="N1522" s="4" t="str" cm="1">
        <f t="array" ref="N1522">_xlfn.IFS(C1522&gt;35,"HIGH",C1522&gt;25,"MIDDLE",TRUE,"LOW")</f>
        <v>MIDDLE</v>
      </c>
      <c r="O1522" s="4" t="str">
        <f t="shared" si="70"/>
        <v>OTHERS</v>
      </c>
      <c r="P1522" s="4" t="str">
        <f t="shared" si="71"/>
        <v>OTHERS</v>
      </c>
    </row>
    <row r="1523" spans="1:16" x14ac:dyDescent="0.3">
      <c r="A1523" s="4">
        <v>16</v>
      </c>
      <c r="B1523" t="s">
        <v>11</v>
      </c>
      <c r="C1523" s="4">
        <v>32.82</v>
      </c>
      <c r="D1523" t="s">
        <v>12</v>
      </c>
      <c r="E1523" t="s">
        <v>17</v>
      </c>
      <c r="F1523" s="4" t="s">
        <v>14</v>
      </c>
      <c r="G1523" s="4" t="s">
        <v>36</v>
      </c>
      <c r="H1523" s="4">
        <v>5</v>
      </c>
      <c r="I1523" s="4">
        <v>9</v>
      </c>
      <c r="J1523" s="1">
        <v>45555</v>
      </c>
      <c r="K1523" s="2">
        <v>2.425925925925926E-3</v>
      </c>
      <c r="M1523" s="4" t="str">
        <f t="shared" si="69"/>
        <v>LOW</v>
      </c>
      <c r="N1523" s="4" t="str" cm="1">
        <f t="array" ref="N1523">_xlfn.IFS(C1523&gt;35,"HIGH",C1523&gt;25,"MIDDLE",TRUE,"LOW")</f>
        <v>MIDDLE</v>
      </c>
      <c r="O1523" s="4" t="str">
        <f t="shared" si="70"/>
        <v>OTHERS</v>
      </c>
      <c r="P1523" s="4" t="str">
        <f t="shared" si="71"/>
        <v>OTHERS</v>
      </c>
    </row>
    <row r="1524" spans="1:16" x14ac:dyDescent="0.3">
      <c r="A1524" s="4">
        <v>20</v>
      </c>
      <c r="B1524" t="s">
        <v>11</v>
      </c>
      <c r="C1524" s="4">
        <v>23.02</v>
      </c>
      <c r="D1524" t="s">
        <v>18</v>
      </c>
      <c r="E1524" t="s">
        <v>20</v>
      </c>
      <c r="F1524" s="4" t="s">
        <v>14</v>
      </c>
      <c r="G1524" s="4" t="s">
        <v>36</v>
      </c>
      <c r="H1524" s="4">
        <v>5</v>
      </c>
      <c r="I1524" s="4">
        <v>9</v>
      </c>
      <c r="J1524" s="1">
        <v>45555</v>
      </c>
      <c r="K1524" s="2">
        <v>2.7350694444444445E-2</v>
      </c>
      <c r="M1524" s="4" t="str">
        <f t="shared" si="69"/>
        <v>LOW</v>
      </c>
      <c r="N1524" s="4" t="str" cm="1">
        <f t="array" ref="N1524">_xlfn.IFS(C1524&gt;35,"HIGH",C1524&gt;25,"MIDDLE",TRUE,"LOW")</f>
        <v>LOW</v>
      </c>
      <c r="O1524" s="4" t="str">
        <f t="shared" si="70"/>
        <v>OTHERS</v>
      </c>
      <c r="P1524" s="4" t="str">
        <f t="shared" si="71"/>
        <v>OTHERS</v>
      </c>
    </row>
    <row r="1525" spans="1:16" x14ac:dyDescent="0.3">
      <c r="A1525" s="4">
        <v>21</v>
      </c>
      <c r="B1525" t="s">
        <v>11</v>
      </c>
      <c r="C1525" s="4">
        <v>27.92</v>
      </c>
      <c r="D1525" t="s">
        <v>19</v>
      </c>
      <c r="E1525" t="s">
        <v>20</v>
      </c>
      <c r="F1525" s="4" t="s">
        <v>14</v>
      </c>
      <c r="G1525" s="4" t="s">
        <v>36</v>
      </c>
      <c r="H1525" s="4">
        <v>5</v>
      </c>
      <c r="I1525" s="4">
        <v>9</v>
      </c>
      <c r="J1525" s="1">
        <v>45555</v>
      </c>
      <c r="K1525" s="2">
        <v>2.1951388888888888E-2</v>
      </c>
      <c r="M1525" s="4" t="str">
        <f t="shared" si="69"/>
        <v>LOW</v>
      </c>
      <c r="N1525" s="4" t="str" cm="1">
        <f t="array" ref="N1525">_xlfn.IFS(C1525&gt;35,"HIGH",C1525&gt;25,"MIDDLE",TRUE,"LOW")</f>
        <v>MIDDLE</v>
      </c>
      <c r="O1525" s="4" t="str">
        <f t="shared" si="70"/>
        <v>OTHERS</v>
      </c>
      <c r="P1525" s="4" t="str">
        <f t="shared" si="71"/>
        <v>OTHERS</v>
      </c>
    </row>
    <row r="1526" spans="1:16" x14ac:dyDescent="0.3">
      <c r="A1526" s="4">
        <v>21</v>
      </c>
      <c r="B1526" t="s">
        <v>11</v>
      </c>
      <c r="C1526" s="4">
        <v>27.92</v>
      </c>
      <c r="D1526" t="s">
        <v>19</v>
      </c>
      <c r="E1526" t="s">
        <v>20</v>
      </c>
      <c r="F1526" s="4" t="s">
        <v>14</v>
      </c>
      <c r="G1526" s="4" t="s">
        <v>36</v>
      </c>
      <c r="H1526" s="4">
        <v>5</v>
      </c>
      <c r="I1526" s="4">
        <v>9</v>
      </c>
      <c r="J1526" s="1">
        <v>45555</v>
      </c>
      <c r="K1526" s="2">
        <v>2.2719907407407407E-2</v>
      </c>
      <c r="M1526" s="4" t="str">
        <f t="shared" si="69"/>
        <v>LOW</v>
      </c>
      <c r="N1526" s="4" t="str" cm="1">
        <f t="array" ref="N1526">_xlfn.IFS(C1526&gt;35,"HIGH",C1526&gt;25,"MIDDLE",TRUE,"LOW")</f>
        <v>MIDDLE</v>
      </c>
      <c r="O1526" s="4" t="str">
        <f t="shared" si="70"/>
        <v>OTHERS</v>
      </c>
      <c r="P1526" s="4" t="str">
        <f t="shared" si="71"/>
        <v>OTHERS</v>
      </c>
    </row>
    <row r="1527" spans="1:16" x14ac:dyDescent="0.3">
      <c r="A1527" s="4">
        <v>11</v>
      </c>
      <c r="B1527" t="s">
        <v>11</v>
      </c>
      <c r="C1527" s="4">
        <v>32.82</v>
      </c>
      <c r="D1527" t="s">
        <v>12</v>
      </c>
      <c r="E1527" t="s">
        <v>13</v>
      </c>
      <c r="F1527" s="4" t="s">
        <v>22</v>
      </c>
      <c r="G1527" s="4" t="s">
        <v>36</v>
      </c>
      <c r="H1527" s="4">
        <v>6</v>
      </c>
      <c r="I1527" s="4">
        <v>9</v>
      </c>
      <c r="J1527" s="1">
        <v>45556</v>
      </c>
      <c r="K1527" s="2">
        <v>8.6689814814814822E-4</v>
      </c>
      <c r="M1527" s="4" t="str">
        <f t="shared" si="69"/>
        <v>LOW</v>
      </c>
      <c r="N1527" s="4" t="str" cm="1">
        <f t="array" ref="N1527">_xlfn.IFS(C1527&gt;35,"HIGH",C1527&gt;25,"MIDDLE",TRUE,"LOW")</f>
        <v>MIDDLE</v>
      </c>
      <c r="O1527" s="4" t="str">
        <f t="shared" si="70"/>
        <v>OTHERS</v>
      </c>
      <c r="P1527" s="4" t="str">
        <f t="shared" si="71"/>
        <v>PREMINUM MORNING</v>
      </c>
    </row>
    <row r="1528" spans="1:16" x14ac:dyDescent="0.3">
      <c r="A1528" s="4">
        <v>11</v>
      </c>
      <c r="B1528" t="s">
        <v>11</v>
      </c>
      <c r="C1528" s="4">
        <v>32.82</v>
      </c>
      <c r="D1528" t="s">
        <v>21</v>
      </c>
      <c r="E1528" t="s">
        <v>13</v>
      </c>
      <c r="F1528" s="4" t="s">
        <v>22</v>
      </c>
      <c r="G1528" s="4" t="s">
        <v>36</v>
      </c>
      <c r="H1528" s="4">
        <v>6</v>
      </c>
      <c r="I1528" s="4">
        <v>9</v>
      </c>
      <c r="J1528" s="1">
        <v>45556</v>
      </c>
      <c r="K1528" s="2">
        <v>1.5486111111111113E-3</v>
      </c>
      <c r="M1528" s="4" t="str">
        <f t="shared" si="69"/>
        <v>LOW</v>
      </c>
      <c r="N1528" s="4" t="str" cm="1">
        <f t="array" ref="N1528">_xlfn.IFS(C1528&gt;35,"HIGH",C1528&gt;25,"MIDDLE",TRUE,"LOW")</f>
        <v>MIDDLE</v>
      </c>
      <c r="O1528" s="4" t="str">
        <f t="shared" si="70"/>
        <v>OTHERS</v>
      </c>
      <c r="P1528" s="4" t="str">
        <f t="shared" si="71"/>
        <v>PREMINUM MORNING</v>
      </c>
    </row>
    <row r="1529" spans="1:16" x14ac:dyDescent="0.3">
      <c r="A1529" s="4">
        <v>11</v>
      </c>
      <c r="B1529" t="s">
        <v>11</v>
      </c>
      <c r="C1529" s="4">
        <v>23.02</v>
      </c>
      <c r="D1529" t="s">
        <v>24</v>
      </c>
      <c r="E1529" t="s">
        <v>13</v>
      </c>
      <c r="F1529" s="4" t="s">
        <v>22</v>
      </c>
      <c r="G1529" s="4" t="s">
        <v>36</v>
      </c>
      <c r="H1529" s="4">
        <v>6</v>
      </c>
      <c r="I1529" s="4">
        <v>9</v>
      </c>
      <c r="J1529" s="1">
        <v>45556</v>
      </c>
      <c r="K1529" s="2">
        <v>2.6240740740740738E-2</v>
      </c>
      <c r="M1529" s="4" t="str">
        <f t="shared" si="69"/>
        <v>LOW</v>
      </c>
      <c r="N1529" s="4" t="str" cm="1">
        <f t="array" ref="N1529">_xlfn.IFS(C1529&gt;35,"HIGH",C1529&gt;25,"MIDDLE",TRUE,"LOW")</f>
        <v>LOW</v>
      </c>
      <c r="O1529" s="4" t="str">
        <f t="shared" si="70"/>
        <v>OTHERS</v>
      </c>
      <c r="P1529" s="4" t="str">
        <f t="shared" si="71"/>
        <v>PREMINUM MORNING</v>
      </c>
    </row>
    <row r="1530" spans="1:16" x14ac:dyDescent="0.3">
      <c r="A1530" s="4">
        <v>11</v>
      </c>
      <c r="B1530" t="s">
        <v>11</v>
      </c>
      <c r="C1530" s="4">
        <v>23.02</v>
      </c>
      <c r="D1530" t="s">
        <v>24</v>
      </c>
      <c r="E1530" t="s">
        <v>13</v>
      </c>
      <c r="F1530" s="4" t="s">
        <v>22</v>
      </c>
      <c r="G1530" s="4" t="s">
        <v>36</v>
      </c>
      <c r="H1530" s="4">
        <v>6</v>
      </c>
      <c r="I1530" s="4">
        <v>9</v>
      </c>
      <c r="J1530" s="1">
        <v>45556</v>
      </c>
      <c r="K1530" s="2">
        <v>2.6909722222222224E-2</v>
      </c>
      <c r="M1530" s="4" t="str">
        <f t="shared" si="69"/>
        <v>LOW</v>
      </c>
      <c r="N1530" s="4" t="str" cm="1">
        <f t="array" ref="N1530">_xlfn.IFS(C1530&gt;35,"HIGH",C1530&gt;25,"MIDDLE",TRUE,"LOW")</f>
        <v>LOW</v>
      </c>
      <c r="O1530" s="4" t="str">
        <f t="shared" si="70"/>
        <v>OTHERS</v>
      </c>
      <c r="P1530" s="4" t="str">
        <f t="shared" si="71"/>
        <v>PREMINUM MORNING</v>
      </c>
    </row>
    <row r="1531" spans="1:16" x14ac:dyDescent="0.3">
      <c r="A1531" s="4">
        <v>15</v>
      </c>
      <c r="B1531" t="s">
        <v>11</v>
      </c>
      <c r="C1531" s="4">
        <v>32.82</v>
      </c>
      <c r="D1531" t="s">
        <v>29</v>
      </c>
      <c r="E1531" t="s">
        <v>17</v>
      </c>
      <c r="F1531" s="4" t="s">
        <v>22</v>
      </c>
      <c r="G1531" s="4" t="s">
        <v>36</v>
      </c>
      <c r="H1531" s="4">
        <v>6</v>
      </c>
      <c r="I1531" s="4">
        <v>9</v>
      </c>
      <c r="J1531" s="1">
        <v>45556</v>
      </c>
      <c r="K1531" s="2">
        <v>7.0532407407407401E-3</v>
      </c>
      <c r="M1531" s="4" t="str">
        <f t="shared" si="69"/>
        <v>LOW</v>
      </c>
      <c r="N1531" s="4" t="str" cm="1">
        <f t="array" ref="N1531">_xlfn.IFS(C1531&gt;35,"HIGH",C1531&gt;25,"MIDDLE",TRUE,"LOW")</f>
        <v>MIDDLE</v>
      </c>
      <c r="O1531" s="4" t="str">
        <f t="shared" si="70"/>
        <v>OTHERS</v>
      </c>
      <c r="P1531" s="4" t="str">
        <f t="shared" si="71"/>
        <v>OTHERS</v>
      </c>
    </row>
    <row r="1532" spans="1:16" x14ac:dyDescent="0.3">
      <c r="A1532" s="4">
        <v>15</v>
      </c>
      <c r="B1532" t="s">
        <v>11</v>
      </c>
      <c r="C1532" s="4">
        <v>32.82</v>
      </c>
      <c r="D1532" t="s">
        <v>12</v>
      </c>
      <c r="E1532" t="s">
        <v>17</v>
      </c>
      <c r="F1532" s="4" t="s">
        <v>22</v>
      </c>
      <c r="G1532" s="4" t="s">
        <v>36</v>
      </c>
      <c r="H1532" s="4">
        <v>6</v>
      </c>
      <c r="I1532" s="4">
        <v>9</v>
      </c>
      <c r="J1532" s="1">
        <v>45556</v>
      </c>
      <c r="K1532" s="2">
        <v>2.5157407407407406E-2</v>
      </c>
      <c r="M1532" s="4" t="str">
        <f t="shared" si="69"/>
        <v>LOW</v>
      </c>
      <c r="N1532" s="4" t="str" cm="1">
        <f t="array" ref="N1532">_xlfn.IFS(C1532&gt;35,"HIGH",C1532&gt;25,"MIDDLE",TRUE,"LOW")</f>
        <v>MIDDLE</v>
      </c>
      <c r="O1532" s="4" t="str">
        <f t="shared" si="70"/>
        <v>OTHERS</v>
      </c>
      <c r="P1532" s="4" t="str">
        <f t="shared" si="71"/>
        <v>OTHERS</v>
      </c>
    </row>
    <row r="1533" spans="1:16" x14ac:dyDescent="0.3">
      <c r="A1533" s="4">
        <v>18</v>
      </c>
      <c r="B1533" t="s">
        <v>11</v>
      </c>
      <c r="C1533" s="4">
        <v>32.82</v>
      </c>
      <c r="D1533" t="s">
        <v>12</v>
      </c>
      <c r="E1533" t="s">
        <v>20</v>
      </c>
      <c r="F1533" s="4" t="s">
        <v>22</v>
      </c>
      <c r="G1533" s="4" t="s">
        <v>36</v>
      </c>
      <c r="H1533" s="4">
        <v>6</v>
      </c>
      <c r="I1533" s="4">
        <v>9</v>
      </c>
      <c r="J1533" s="1">
        <v>45556</v>
      </c>
      <c r="K1533" s="2">
        <v>1.1443287037037038E-2</v>
      </c>
      <c r="M1533" s="4" t="str">
        <f t="shared" si="69"/>
        <v>LOW</v>
      </c>
      <c r="N1533" s="4" t="str" cm="1">
        <f t="array" ref="N1533">_xlfn.IFS(C1533&gt;35,"HIGH",C1533&gt;25,"MIDDLE",TRUE,"LOW")</f>
        <v>MIDDLE</v>
      </c>
      <c r="O1533" s="4" t="str">
        <f t="shared" si="70"/>
        <v>OTHERS</v>
      </c>
      <c r="P1533" s="4" t="str">
        <f t="shared" si="71"/>
        <v>OTHERS</v>
      </c>
    </row>
    <row r="1534" spans="1:16" x14ac:dyDescent="0.3">
      <c r="A1534" s="4">
        <v>18</v>
      </c>
      <c r="B1534" t="s">
        <v>11</v>
      </c>
      <c r="C1534" s="4">
        <v>32.82</v>
      </c>
      <c r="D1534" t="s">
        <v>12</v>
      </c>
      <c r="E1534" t="s">
        <v>20</v>
      </c>
      <c r="F1534" s="4" t="s">
        <v>22</v>
      </c>
      <c r="G1534" s="4" t="s">
        <v>36</v>
      </c>
      <c r="H1534" s="4">
        <v>6</v>
      </c>
      <c r="I1534" s="4">
        <v>9</v>
      </c>
      <c r="J1534" s="1">
        <v>45556</v>
      </c>
      <c r="K1534" s="2">
        <v>1.2160879629629631E-2</v>
      </c>
      <c r="M1534" s="4" t="str">
        <f t="shared" si="69"/>
        <v>LOW</v>
      </c>
      <c r="N1534" s="4" t="str" cm="1">
        <f t="array" ref="N1534">_xlfn.IFS(C1534&gt;35,"HIGH",C1534&gt;25,"MIDDLE",TRUE,"LOW")</f>
        <v>MIDDLE</v>
      </c>
      <c r="O1534" s="4" t="str">
        <f t="shared" si="70"/>
        <v>OTHERS</v>
      </c>
      <c r="P1534" s="4" t="str">
        <f t="shared" si="71"/>
        <v>OTHERS</v>
      </c>
    </row>
    <row r="1535" spans="1:16" x14ac:dyDescent="0.3">
      <c r="A1535" s="4">
        <v>20</v>
      </c>
      <c r="B1535" t="s">
        <v>11</v>
      </c>
      <c r="C1535" s="4">
        <v>23.02</v>
      </c>
      <c r="D1535" t="s">
        <v>18</v>
      </c>
      <c r="E1535" t="s">
        <v>20</v>
      </c>
      <c r="F1535" s="4" t="s">
        <v>22</v>
      </c>
      <c r="G1535" s="4" t="s">
        <v>36</v>
      </c>
      <c r="H1535" s="4">
        <v>6</v>
      </c>
      <c r="I1535" s="4">
        <v>9</v>
      </c>
      <c r="J1535" s="1">
        <v>45556</v>
      </c>
      <c r="K1535" s="2">
        <v>2.0635416666666666E-2</v>
      </c>
      <c r="M1535" s="4" t="str">
        <f t="shared" si="69"/>
        <v>LOW</v>
      </c>
      <c r="N1535" s="4" t="str" cm="1">
        <f t="array" ref="N1535">_xlfn.IFS(C1535&gt;35,"HIGH",C1535&gt;25,"MIDDLE",TRUE,"LOW")</f>
        <v>LOW</v>
      </c>
      <c r="O1535" s="4" t="str">
        <f t="shared" si="70"/>
        <v>OTHERS</v>
      </c>
      <c r="P1535" s="4" t="str">
        <f t="shared" si="71"/>
        <v>OTHERS</v>
      </c>
    </row>
    <row r="1536" spans="1:16" x14ac:dyDescent="0.3">
      <c r="A1536" s="4">
        <v>20</v>
      </c>
      <c r="B1536" t="s">
        <v>11</v>
      </c>
      <c r="C1536" s="4">
        <v>23.02</v>
      </c>
      <c r="D1536" t="s">
        <v>18</v>
      </c>
      <c r="E1536" t="s">
        <v>20</v>
      </c>
      <c r="F1536" s="4" t="s">
        <v>22</v>
      </c>
      <c r="G1536" s="4" t="s">
        <v>36</v>
      </c>
      <c r="H1536" s="4">
        <v>6</v>
      </c>
      <c r="I1536" s="4">
        <v>9</v>
      </c>
      <c r="J1536" s="1">
        <v>45556</v>
      </c>
      <c r="K1536" s="2">
        <v>2.1283564814814814E-2</v>
      </c>
      <c r="M1536" s="4" t="str">
        <f t="shared" si="69"/>
        <v>LOW</v>
      </c>
      <c r="N1536" s="4" t="str" cm="1">
        <f t="array" ref="N1536">_xlfn.IFS(C1536&gt;35,"HIGH",C1536&gt;25,"MIDDLE",TRUE,"LOW")</f>
        <v>LOW</v>
      </c>
      <c r="O1536" s="4" t="str">
        <f t="shared" si="70"/>
        <v>OTHERS</v>
      </c>
      <c r="P1536" s="4" t="str">
        <f t="shared" si="71"/>
        <v>OTHERS</v>
      </c>
    </row>
    <row r="1537" spans="1:16" x14ac:dyDescent="0.3">
      <c r="A1537" s="4">
        <v>20</v>
      </c>
      <c r="B1537" t="s">
        <v>11</v>
      </c>
      <c r="C1537" s="4">
        <v>32.82</v>
      </c>
      <c r="D1537" t="s">
        <v>12</v>
      </c>
      <c r="E1537" t="s">
        <v>20</v>
      </c>
      <c r="F1537" s="4" t="s">
        <v>22</v>
      </c>
      <c r="G1537" s="4" t="s">
        <v>36</v>
      </c>
      <c r="H1537" s="4">
        <v>6</v>
      </c>
      <c r="I1537" s="4">
        <v>9</v>
      </c>
      <c r="J1537" s="1">
        <v>45556</v>
      </c>
      <c r="K1537" s="2">
        <v>2.3590277777777779E-2</v>
      </c>
      <c r="M1537" s="4" t="str">
        <f t="shared" si="69"/>
        <v>LOW</v>
      </c>
      <c r="N1537" s="4" t="str" cm="1">
        <f t="array" ref="N1537">_xlfn.IFS(C1537&gt;35,"HIGH",C1537&gt;25,"MIDDLE",TRUE,"LOW")</f>
        <v>MIDDLE</v>
      </c>
      <c r="O1537" s="4" t="str">
        <f t="shared" si="70"/>
        <v>OTHERS</v>
      </c>
      <c r="P1537" s="4" t="str">
        <f t="shared" si="71"/>
        <v>OTHERS</v>
      </c>
    </row>
    <row r="1538" spans="1:16" x14ac:dyDescent="0.3">
      <c r="A1538" s="4">
        <v>20</v>
      </c>
      <c r="B1538" t="s">
        <v>11</v>
      </c>
      <c r="C1538" s="4">
        <v>32.82</v>
      </c>
      <c r="D1538" t="s">
        <v>12</v>
      </c>
      <c r="E1538" t="s">
        <v>20</v>
      </c>
      <c r="F1538" s="4" t="s">
        <v>22</v>
      </c>
      <c r="G1538" s="4" t="s">
        <v>36</v>
      </c>
      <c r="H1538" s="4">
        <v>6</v>
      </c>
      <c r="I1538" s="4">
        <v>9</v>
      </c>
      <c r="J1538" s="1">
        <v>45556</v>
      </c>
      <c r="K1538" s="2">
        <v>2.465509259259259E-2</v>
      </c>
      <c r="M1538" s="4" t="str">
        <f t="shared" si="69"/>
        <v>LOW</v>
      </c>
      <c r="N1538" s="4" t="str" cm="1">
        <f t="array" ref="N1538">_xlfn.IFS(C1538&gt;35,"HIGH",C1538&gt;25,"MIDDLE",TRUE,"LOW")</f>
        <v>MIDDLE</v>
      </c>
      <c r="O1538" s="4" t="str">
        <f t="shared" si="70"/>
        <v>OTHERS</v>
      </c>
      <c r="P1538" s="4" t="str">
        <f t="shared" si="71"/>
        <v>OTHERS</v>
      </c>
    </row>
    <row r="1539" spans="1:16" x14ac:dyDescent="0.3">
      <c r="A1539" s="4">
        <v>22</v>
      </c>
      <c r="B1539" t="s">
        <v>11</v>
      </c>
      <c r="C1539" s="4">
        <v>27.92</v>
      </c>
      <c r="D1539" t="s">
        <v>19</v>
      </c>
      <c r="E1539" t="s">
        <v>20</v>
      </c>
      <c r="F1539" s="4" t="s">
        <v>22</v>
      </c>
      <c r="G1539" s="4" t="s">
        <v>36</v>
      </c>
      <c r="H1539" s="4">
        <v>6</v>
      </c>
      <c r="I1539" s="4">
        <v>9</v>
      </c>
      <c r="J1539" s="1">
        <v>45556</v>
      </c>
      <c r="K1539" s="2">
        <v>1.3033564814814814E-2</v>
      </c>
      <c r="M1539" s="4" t="str">
        <f t="shared" ref="M1539:M1602" si="72">IF(C1539&gt;35,"HIGH","LOW")</f>
        <v>LOW</v>
      </c>
      <c r="N1539" s="4" t="str" cm="1">
        <f t="array" ref="N1539">_xlfn.IFS(C1539&gt;35,"HIGH",C1539&gt;25,"MIDDLE",TRUE,"LOW")</f>
        <v>MIDDLE</v>
      </c>
      <c r="O1539" s="4" t="str">
        <f t="shared" ref="O1539:O1602" si="73">IF(AND(C1539&gt;35,E1539="MORNING"),"PREMINUM MORNING","OTHERS")</f>
        <v>OTHERS</v>
      </c>
      <c r="P1539" s="4" t="str">
        <f t="shared" ref="P1539:P1602" si="74">IF(OR(C1539&gt;35,E1539="MORNING"),"PREMINUM MORNING","OTHERS")</f>
        <v>OTHERS</v>
      </c>
    </row>
    <row r="1540" spans="1:16" x14ac:dyDescent="0.3">
      <c r="A1540" s="4">
        <v>22</v>
      </c>
      <c r="B1540" t="s">
        <v>11</v>
      </c>
      <c r="C1540" s="4">
        <v>23.02</v>
      </c>
      <c r="D1540" t="s">
        <v>18</v>
      </c>
      <c r="E1540" t="s">
        <v>20</v>
      </c>
      <c r="F1540" s="4" t="s">
        <v>22</v>
      </c>
      <c r="G1540" s="4" t="s">
        <v>36</v>
      </c>
      <c r="H1540" s="4">
        <v>6</v>
      </c>
      <c r="I1540" s="4">
        <v>9</v>
      </c>
      <c r="J1540" s="1">
        <v>45556</v>
      </c>
      <c r="K1540" s="2">
        <v>1.3774305555555555E-2</v>
      </c>
      <c r="M1540" s="4" t="str">
        <f t="shared" si="72"/>
        <v>LOW</v>
      </c>
      <c r="N1540" s="4" t="str" cm="1">
        <f t="array" ref="N1540">_xlfn.IFS(C1540&gt;35,"HIGH",C1540&gt;25,"MIDDLE",TRUE,"LOW")</f>
        <v>LOW</v>
      </c>
      <c r="O1540" s="4" t="str">
        <f t="shared" si="73"/>
        <v>OTHERS</v>
      </c>
      <c r="P1540" s="4" t="str">
        <f t="shared" si="74"/>
        <v>OTHERS</v>
      </c>
    </row>
    <row r="1541" spans="1:16" x14ac:dyDescent="0.3">
      <c r="A1541" s="4">
        <v>22</v>
      </c>
      <c r="B1541" t="s">
        <v>11</v>
      </c>
      <c r="C1541" s="4">
        <v>23.02</v>
      </c>
      <c r="D1541" t="s">
        <v>18</v>
      </c>
      <c r="E1541" t="s">
        <v>20</v>
      </c>
      <c r="F1541" s="4" t="s">
        <v>22</v>
      </c>
      <c r="G1541" s="4" t="s">
        <v>36</v>
      </c>
      <c r="H1541" s="4">
        <v>6</v>
      </c>
      <c r="I1541" s="4">
        <v>9</v>
      </c>
      <c r="J1541" s="1">
        <v>45556</v>
      </c>
      <c r="K1541" s="2">
        <v>1.4449074074074076E-2</v>
      </c>
      <c r="M1541" s="4" t="str">
        <f t="shared" si="72"/>
        <v>LOW</v>
      </c>
      <c r="N1541" s="4" t="str" cm="1">
        <f t="array" ref="N1541">_xlfn.IFS(C1541&gt;35,"HIGH",C1541&gt;25,"MIDDLE",TRUE,"LOW")</f>
        <v>LOW</v>
      </c>
      <c r="O1541" s="4" t="str">
        <f t="shared" si="73"/>
        <v>OTHERS</v>
      </c>
      <c r="P1541" s="4" t="str">
        <f t="shared" si="74"/>
        <v>OTHERS</v>
      </c>
    </row>
    <row r="1542" spans="1:16" x14ac:dyDescent="0.3">
      <c r="A1542" s="4">
        <v>8</v>
      </c>
      <c r="B1542" t="s">
        <v>11</v>
      </c>
      <c r="C1542" s="4">
        <v>23.02</v>
      </c>
      <c r="D1542" t="s">
        <v>18</v>
      </c>
      <c r="E1542" t="s">
        <v>13</v>
      </c>
      <c r="F1542" s="4" t="s">
        <v>23</v>
      </c>
      <c r="G1542" s="4" t="s">
        <v>36</v>
      </c>
      <c r="H1542" s="4">
        <v>7</v>
      </c>
      <c r="I1542" s="4">
        <v>9</v>
      </c>
      <c r="J1542" s="1">
        <v>45557</v>
      </c>
      <c r="K1542" s="2">
        <v>2.2849537037037036E-2</v>
      </c>
      <c r="M1542" s="4" t="str">
        <f t="shared" si="72"/>
        <v>LOW</v>
      </c>
      <c r="N1542" s="4" t="str" cm="1">
        <f t="array" ref="N1542">_xlfn.IFS(C1542&gt;35,"HIGH",C1542&gt;25,"MIDDLE",TRUE,"LOW")</f>
        <v>LOW</v>
      </c>
      <c r="O1542" s="4" t="str">
        <f t="shared" si="73"/>
        <v>OTHERS</v>
      </c>
      <c r="P1542" s="4" t="str">
        <f t="shared" si="74"/>
        <v>PREMINUM MORNING</v>
      </c>
    </row>
    <row r="1543" spans="1:16" x14ac:dyDescent="0.3">
      <c r="A1543" s="4">
        <v>10</v>
      </c>
      <c r="B1543" t="s">
        <v>11</v>
      </c>
      <c r="C1543" s="4">
        <v>27.92</v>
      </c>
      <c r="D1543" t="s">
        <v>19</v>
      </c>
      <c r="E1543" t="s">
        <v>13</v>
      </c>
      <c r="F1543" s="4" t="s">
        <v>23</v>
      </c>
      <c r="G1543" s="4" t="s">
        <v>36</v>
      </c>
      <c r="H1543" s="4">
        <v>7</v>
      </c>
      <c r="I1543" s="4">
        <v>9</v>
      </c>
      <c r="J1543" s="1">
        <v>45557</v>
      </c>
      <c r="K1543" s="2">
        <v>8.446759259259258E-3</v>
      </c>
      <c r="M1543" s="4" t="str">
        <f t="shared" si="72"/>
        <v>LOW</v>
      </c>
      <c r="N1543" s="4" t="str" cm="1">
        <f t="array" ref="N1543">_xlfn.IFS(C1543&gt;35,"HIGH",C1543&gt;25,"MIDDLE",TRUE,"LOW")</f>
        <v>MIDDLE</v>
      </c>
      <c r="O1543" s="4" t="str">
        <f t="shared" si="73"/>
        <v>OTHERS</v>
      </c>
      <c r="P1543" s="4" t="str">
        <f t="shared" si="74"/>
        <v>PREMINUM MORNING</v>
      </c>
    </row>
    <row r="1544" spans="1:16" x14ac:dyDescent="0.3">
      <c r="A1544" s="4">
        <v>10</v>
      </c>
      <c r="B1544" t="s">
        <v>11</v>
      </c>
      <c r="C1544" s="4">
        <v>32.82</v>
      </c>
      <c r="D1544" t="s">
        <v>12</v>
      </c>
      <c r="E1544" t="s">
        <v>13</v>
      </c>
      <c r="F1544" s="4" t="s">
        <v>23</v>
      </c>
      <c r="G1544" s="4" t="s">
        <v>36</v>
      </c>
      <c r="H1544" s="4">
        <v>7</v>
      </c>
      <c r="I1544" s="4">
        <v>9</v>
      </c>
      <c r="J1544" s="1">
        <v>45557</v>
      </c>
      <c r="K1544" s="2">
        <v>9.1273148148148155E-3</v>
      </c>
      <c r="M1544" s="4" t="str">
        <f t="shared" si="72"/>
        <v>LOW</v>
      </c>
      <c r="N1544" s="4" t="str" cm="1">
        <f t="array" ref="N1544">_xlfn.IFS(C1544&gt;35,"HIGH",C1544&gt;25,"MIDDLE",TRUE,"LOW")</f>
        <v>MIDDLE</v>
      </c>
      <c r="O1544" s="4" t="str">
        <f t="shared" si="73"/>
        <v>OTHERS</v>
      </c>
      <c r="P1544" s="4" t="str">
        <f t="shared" si="74"/>
        <v>PREMINUM MORNING</v>
      </c>
    </row>
    <row r="1545" spans="1:16" x14ac:dyDescent="0.3">
      <c r="A1545" s="4">
        <v>11</v>
      </c>
      <c r="B1545" t="s">
        <v>11</v>
      </c>
      <c r="C1545" s="4">
        <v>23.02</v>
      </c>
      <c r="D1545" t="s">
        <v>24</v>
      </c>
      <c r="E1545" t="s">
        <v>13</v>
      </c>
      <c r="F1545" s="4" t="s">
        <v>23</v>
      </c>
      <c r="G1545" s="4" t="s">
        <v>36</v>
      </c>
      <c r="H1545" s="4">
        <v>7</v>
      </c>
      <c r="I1545" s="4">
        <v>9</v>
      </c>
      <c r="J1545" s="1">
        <v>45557</v>
      </c>
      <c r="K1545" s="2">
        <v>4.4710648148148149E-3</v>
      </c>
      <c r="M1545" s="4" t="str">
        <f t="shared" si="72"/>
        <v>LOW</v>
      </c>
      <c r="N1545" s="4" t="str" cm="1">
        <f t="array" ref="N1545">_xlfn.IFS(C1545&gt;35,"HIGH",C1545&gt;25,"MIDDLE",TRUE,"LOW")</f>
        <v>LOW</v>
      </c>
      <c r="O1545" s="4" t="str">
        <f t="shared" si="73"/>
        <v>OTHERS</v>
      </c>
      <c r="P1545" s="4" t="str">
        <f t="shared" si="74"/>
        <v>PREMINUM MORNING</v>
      </c>
    </row>
    <row r="1546" spans="1:16" x14ac:dyDescent="0.3">
      <c r="A1546" s="4">
        <v>11</v>
      </c>
      <c r="B1546" t="s">
        <v>11</v>
      </c>
      <c r="C1546" s="4">
        <v>23.02</v>
      </c>
      <c r="D1546" t="s">
        <v>24</v>
      </c>
      <c r="E1546" t="s">
        <v>13</v>
      </c>
      <c r="F1546" s="4" t="s">
        <v>23</v>
      </c>
      <c r="G1546" s="4" t="s">
        <v>36</v>
      </c>
      <c r="H1546" s="4">
        <v>7</v>
      </c>
      <c r="I1546" s="4">
        <v>9</v>
      </c>
      <c r="J1546" s="1">
        <v>45557</v>
      </c>
      <c r="K1546" s="2">
        <v>5.2824074074074075E-3</v>
      </c>
      <c r="M1546" s="4" t="str">
        <f t="shared" si="72"/>
        <v>LOW</v>
      </c>
      <c r="N1546" s="4" t="str" cm="1">
        <f t="array" ref="N1546">_xlfn.IFS(C1546&gt;35,"HIGH",C1546&gt;25,"MIDDLE",TRUE,"LOW")</f>
        <v>LOW</v>
      </c>
      <c r="O1546" s="4" t="str">
        <f t="shared" si="73"/>
        <v>OTHERS</v>
      </c>
      <c r="P1546" s="4" t="str">
        <f t="shared" si="74"/>
        <v>PREMINUM MORNING</v>
      </c>
    </row>
    <row r="1547" spans="1:16" x14ac:dyDescent="0.3">
      <c r="A1547" s="4">
        <v>11</v>
      </c>
      <c r="B1547" t="s">
        <v>11</v>
      </c>
      <c r="C1547" s="4">
        <v>27.92</v>
      </c>
      <c r="D1547" t="s">
        <v>19</v>
      </c>
      <c r="E1547" t="s">
        <v>13</v>
      </c>
      <c r="F1547" s="4" t="s">
        <v>23</v>
      </c>
      <c r="G1547" s="4" t="s">
        <v>36</v>
      </c>
      <c r="H1547" s="4">
        <v>7</v>
      </c>
      <c r="I1547" s="4">
        <v>9</v>
      </c>
      <c r="J1547" s="1">
        <v>45557</v>
      </c>
      <c r="K1547" s="2">
        <v>3.6109953703703707E-2</v>
      </c>
      <c r="M1547" s="4" t="str">
        <f t="shared" si="72"/>
        <v>LOW</v>
      </c>
      <c r="N1547" s="4" t="str" cm="1">
        <f t="array" ref="N1547">_xlfn.IFS(C1547&gt;35,"HIGH",C1547&gt;25,"MIDDLE",TRUE,"LOW")</f>
        <v>MIDDLE</v>
      </c>
      <c r="O1547" s="4" t="str">
        <f t="shared" si="73"/>
        <v>OTHERS</v>
      </c>
      <c r="P1547" s="4" t="str">
        <f t="shared" si="74"/>
        <v>PREMINUM MORNING</v>
      </c>
    </row>
    <row r="1548" spans="1:16" x14ac:dyDescent="0.3">
      <c r="A1548" s="4">
        <v>11</v>
      </c>
      <c r="B1548" t="s">
        <v>11</v>
      </c>
      <c r="C1548" s="4">
        <v>23.02</v>
      </c>
      <c r="D1548" t="s">
        <v>18</v>
      </c>
      <c r="E1548" t="s">
        <v>13</v>
      </c>
      <c r="F1548" s="4" t="s">
        <v>23</v>
      </c>
      <c r="G1548" s="4" t="s">
        <v>36</v>
      </c>
      <c r="H1548" s="4">
        <v>7</v>
      </c>
      <c r="I1548" s="4">
        <v>9</v>
      </c>
      <c r="J1548" s="1">
        <v>45557</v>
      </c>
      <c r="K1548" s="2">
        <v>3.8343750000000003E-2</v>
      </c>
      <c r="M1548" s="4" t="str">
        <f t="shared" si="72"/>
        <v>LOW</v>
      </c>
      <c r="N1548" s="4" t="str" cm="1">
        <f t="array" ref="N1548">_xlfn.IFS(C1548&gt;35,"HIGH",C1548&gt;25,"MIDDLE",TRUE,"LOW")</f>
        <v>LOW</v>
      </c>
      <c r="O1548" s="4" t="str">
        <f t="shared" si="73"/>
        <v>OTHERS</v>
      </c>
      <c r="P1548" s="4" t="str">
        <f t="shared" si="74"/>
        <v>PREMINUM MORNING</v>
      </c>
    </row>
    <row r="1549" spans="1:16" x14ac:dyDescent="0.3">
      <c r="A1549" s="4">
        <v>12</v>
      </c>
      <c r="B1549" t="s">
        <v>11</v>
      </c>
      <c r="C1549" s="4">
        <v>27.92</v>
      </c>
      <c r="D1549" t="s">
        <v>19</v>
      </c>
      <c r="E1549" t="s">
        <v>17</v>
      </c>
      <c r="F1549" s="4" t="s">
        <v>23</v>
      </c>
      <c r="G1549" s="4" t="s">
        <v>36</v>
      </c>
      <c r="H1549" s="4">
        <v>7</v>
      </c>
      <c r="I1549" s="4">
        <v>9</v>
      </c>
      <c r="J1549" s="1">
        <v>45557</v>
      </c>
      <c r="K1549" s="2">
        <v>5.1018518518518522E-3</v>
      </c>
      <c r="M1549" s="4" t="str">
        <f t="shared" si="72"/>
        <v>LOW</v>
      </c>
      <c r="N1549" s="4" t="str" cm="1">
        <f t="array" ref="N1549">_xlfn.IFS(C1549&gt;35,"HIGH",C1549&gt;25,"MIDDLE",TRUE,"LOW")</f>
        <v>MIDDLE</v>
      </c>
      <c r="O1549" s="4" t="str">
        <f t="shared" si="73"/>
        <v>OTHERS</v>
      </c>
      <c r="P1549" s="4" t="str">
        <f t="shared" si="74"/>
        <v>OTHERS</v>
      </c>
    </row>
    <row r="1550" spans="1:16" x14ac:dyDescent="0.3">
      <c r="A1550" s="4">
        <v>13</v>
      </c>
      <c r="B1550" t="s">
        <v>11</v>
      </c>
      <c r="C1550" s="4">
        <v>27.92</v>
      </c>
      <c r="D1550" t="s">
        <v>19</v>
      </c>
      <c r="E1550" t="s">
        <v>17</v>
      </c>
      <c r="F1550" s="4" t="s">
        <v>23</v>
      </c>
      <c r="G1550" s="4" t="s">
        <v>36</v>
      </c>
      <c r="H1550" s="4">
        <v>7</v>
      </c>
      <c r="I1550" s="4">
        <v>9</v>
      </c>
      <c r="J1550" s="1">
        <v>45557</v>
      </c>
      <c r="K1550" s="2">
        <v>1.9614583333333335E-2</v>
      </c>
      <c r="M1550" s="4" t="str">
        <f t="shared" si="72"/>
        <v>LOW</v>
      </c>
      <c r="N1550" s="4" t="str" cm="1">
        <f t="array" ref="N1550">_xlfn.IFS(C1550&gt;35,"HIGH",C1550&gt;25,"MIDDLE",TRUE,"LOW")</f>
        <v>MIDDLE</v>
      </c>
      <c r="O1550" s="4" t="str">
        <f t="shared" si="73"/>
        <v>OTHERS</v>
      </c>
      <c r="P1550" s="4" t="str">
        <f t="shared" si="74"/>
        <v>OTHERS</v>
      </c>
    </row>
    <row r="1551" spans="1:16" x14ac:dyDescent="0.3">
      <c r="A1551" s="4">
        <v>13</v>
      </c>
      <c r="B1551" t="s">
        <v>11</v>
      </c>
      <c r="C1551" s="4">
        <v>27.92</v>
      </c>
      <c r="D1551" t="s">
        <v>19</v>
      </c>
      <c r="E1551" t="s">
        <v>17</v>
      </c>
      <c r="F1551" s="4" t="s">
        <v>23</v>
      </c>
      <c r="G1551" s="4" t="s">
        <v>36</v>
      </c>
      <c r="H1551" s="4">
        <v>7</v>
      </c>
      <c r="I1551" s="4">
        <v>9</v>
      </c>
      <c r="J1551" s="1">
        <v>45557</v>
      </c>
      <c r="K1551" s="2">
        <v>2.0554398148148148E-2</v>
      </c>
      <c r="M1551" s="4" t="str">
        <f t="shared" si="72"/>
        <v>LOW</v>
      </c>
      <c r="N1551" s="4" t="str" cm="1">
        <f t="array" ref="N1551">_xlfn.IFS(C1551&gt;35,"HIGH",C1551&gt;25,"MIDDLE",TRUE,"LOW")</f>
        <v>MIDDLE</v>
      </c>
      <c r="O1551" s="4" t="str">
        <f t="shared" si="73"/>
        <v>OTHERS</v>
      </c>
      <c r="P1551" s="4" t="str">
        <f t="shared" si="74"/>
        <v>OTHERS</v>
      </c>
    </row>
    <row r="1552" spans="1:16" x14ac:dyDescent="0.3">
      <c r="A1552" s="4">
        <v>13</v>
      </c>
      <c r="B1552" t="s">
        <v>11</v>
      </c>
      <c r="C1552" s="4">
        <v>27.92</v>
      </c>
      <c r="D1552" t="s">
        <v>19</v>
      </c>
      <c r="E1552" t="s">
        <v>17</v>
      </c>
      <c r="F1552" s="4" t="s">
        <v>23</v>
      </c>
      <c r="G1552" s="4" t="s">
        <v>36</v>
      </c>
      <c r="H1552" s="4">
        <v>7</v>
      </c>
      <c r="I1552" s="4">
        <v>9</v>
      </c>
      <c r="J1552" s="1">
        <v>45557</v>
      </c>
      <c r="K1552" s="2">
        <v>2.3317129629629629E-2</v>
      </c>
      <c r="M1552" s="4" t="str">
        <f t="shared" si="72"/>
        <v>LOW</v>
      </c>
      <c r="N1552" s="4" t="str" cm="1">
        <f t="array" ref="N1552">_xlfn.IFS(C1552&gt;35,"HIGH",C1552&gt;25,"MIDDLE",TRUE,"LOW")</f>
        <v>MIDDLE</v>
      </c>
      <c r="O1552" s="4" t="str">
        <f t="shared" si="73"/>
        <v>OTHERS</v>
      </c>
      <c r="P1552" s="4" t="str">
        <f t="shared" si="74"/>
        <v>OTHERS</v>
      </c>
    </row>
    <row r="1553" spans="1:16" x14ac:dyDescent="0.3">
      <c r="A1553" s="4">
        <v>15</v>
      </c>
      <c r="B1553" t="s">
        <v>11</v>
      </c>
      <c r="C1553" s="4">
        <v>32.82</v>
      </c>
      <c r="D1553" t="s">
        <v>12</v>
      </c>
      <c r="E1553" t="s">
        <v>17</v>
      </c>
      <c r="F1553" s="4" t="s">
        <v>23</v>
      </c>
      <c r="G1553" s="4" t="s">
        <v>36</v>
      </c>
      <c r="H1553" s="4">
        <v>7</v>
      </c>
      <c r="I1553" s="4">
        <v>9</v>
      </c>
      <c r="J1553" s="1">
        <v>45557</v>
      </c>
      <c r="K1553" s="2">
        <v>2.3728009259259258E-2</v>
      </c>
      <c r="M1553" s="4" t="str">
        <f t="shared" si="72"/>
        <v>LOW</v>
      </c>
      <c r="N1553" s="4" t="str" cm="1">
        <f t="array" ref="N1553">_xlfn.IFS(C1553&gt;35,"HIGH",C1553&gt;25,"MIDDLE",TRUE,"LOW")</f>
        <v>MIDDLE</v>
      </c>
      <c r="O1553" s="4" t="str">
        <f t="shared" si="73"/>
        <v>OTHERS</v>
      </c>
      <c r="P1553" s="4" t="str">
        <f t="shared" si="74"/>
        <v>OTHERS</v>
      </c>
    </row>
    <row r="1554" spans="1:16" x14ac:dyDescent="0.3">
      <c r="A1554" s="4">
        <v>15</v>
      </c>
      <c r="B1554" t="s">
        <v>11</v>
      </c>
      <c r="C1554" s="4">
        <v>27.92</v>
      </c>
      <c r="D1554" t="s">
        <v>19</v>
      </c>
      <c r="E1554" t="s">
        <v>17</v>
      </c>
      <c r="F1554" s="4" t="s">
        <v>23</v>
      </c>
      <c r="G1554" s="4" t="s">
        <v>36</v>
      </c>
      <c r="H1554" s="4">
        <v>7</v>
      </c>
      <c r="I1554" s="4">
        <v>9</v>
      </c>
      <c r="J1554" s="1">
        <v>45557</v>
      </c>
      <c r="K1554" s="2">
        <v>2.4585648148148145E-2</v>
      </c>
      <c r="M1554" s="4" t="str">
        <f t="shared" si="72"/>
        <v>LOW</v>
      </c>
      <c r="N1554" s="4" t="str" cm="1">
        <f t="array" ref="N1554">_xlfn.IFS(C1554&gt;35,"HIGH",C1554&gt;25,"MIDDLE",TRUE,"LOW")</f>
        <v>MIDDLE</v>
      </c>
      <c r="O1554" s="4" t="str">
        <f t="shared" si="73"/>
        <v>OTHERS</v>
      </c>
      <c r="P1554" s="4" t="str">
        <f t="shared" si="74"/>
        <v>OTHERS</v>
      </c>
    </row>
    <row r="1555" spans="1:16" x14ac:dyDescent="0.3">
      <c r="A1555" s="4">
        <v>16</v>
      </c>
      <c r="B1555" t="s">
        <v>11</v>
      </c>
      <c r="C1555" s="4">
        <v>32.82</v>
      </c>
      <c r="D1555" t="s">
        <v>21</v>
      </c>
      <c r="E1555" t="s">
        <v>17</v>
      </c>
      <c r="F1555" s="4" t="s">
        <v>23</v>
      </c>
      <c r="G1555" s="4" t="s">
        <v>36</v>
      </c>
      <c r="H1555" s="4">
        <v>7</v>
      </c>
      <c r="I1555" s="4">
        <v>9</v>
      </c>
      <c r="J1555" s="1">
        <v>45557</v>
      </c>
      <c r="K1555" s="2">
        <v>1.7401620370370369E-2</v>
      </c>
      <c r="M1555" s="4" t="str">
        <f t="shared" si="72"/>
        <v>LOW</v>
      </c>
      <c r="N1555" s="4" t="str" cm="1">
        <f t="array" ref="N1555">_xlfn.IFS(C1555&gt;35,"HIGH",C1555&gt;25,"MIDDLE",TRUE,"LOW")</f>
        <v>MIDDLE</v>
      </c>
      <c r="O1555" s="4" t="str">
        <f t="shared" si="73"/>
        <v>OTHERS</v>
      </c>
      <c r="P1555" s="4" t="str">
        <f t="shared" si="74"/>
        <v>OTHERS</v>
      </c>
    </row>
    <row r="1556" spans="1:16" x14ac:dyDescent="0.3">
      <c r="A1556" s="4">
        <v>20</v>
      </c>
      <c r="B1556" t="s">
        <v>11</v>
      </c>
      <c r="C1556" s="4">
        <v>32.82</v>
      </c>
      <c r="D1556" t="s">
        <v>12</v>
      </c>
      <c r="E1556" t="s">
        <v>20</v>
      </c>
      <c r="F1556" s="4" t="s">
        <v>23</v>
      </c>
      <c r="G1556" s="4" t="s">
        <v>36</v>
      </c>
      <c r="H1556" s="4">
        <v>7</v>
      </c>
      <c r="I1556" s="4">
        <v>9</v>
      </c>
      <c r="J1556" s="1">
        <v>45557</v>
      </c>
      <c r="K1556" s="2">
        <v>1.3311342592592592E-2</v>
      </c>
      <c r="M1556" s="4" t="str">
        <f t="shared" si="72"/>
        <v>LOW</v>
      </c>
      <c r="N1556" s="4" t="str" cm="1">
        <f t="array" ref="N1556">_xlfn.IFS(C1556&gt;35,"HIGH",C1556&gt;25,"MIDDLE",TRUE,"LOW")</f>
        <v>MIDDLE</v>
      </c>
      <c r="O1556" s="4" t="str">
        <f t="shared" si="73"/>
        <v>OTHERS</v>
      </c>
      <c r="P1556" s="4" t="str">
        <f t="shared" si="74"/>
        <v>OTHERS</v>
      </c>
    </row>
    <row r="1557" spans="1:16" x14ac:dyDescent="0.3">
      <c r="A1557" s="4">
        <v>20</v>
      </c>
      <c r="B1557" t="s">
        <v>11</v>
      </c>
      <c r="C1557" s="4">
        <v>32.82</v>
      </c>
      <c r="D1557" t="s">
        <v>29</v>
      </c>
      <c r="E1557" t="s">
        <v>20</v>
      </c>
      <c r="F1557" s="4" t="s">
        <v>23</v>
      </c>
      <c r="G1557" s="4" t="s">
        <v>36</v>
      </c>
      <c r="H1557" s="4">
        <v>7</v>
      </c>
      <c r="I1557" s="4">
        <v>9</v>
      </c>
      <c r="J1557" s="1">
        <v>45557</v>
      </c>
      <c r="K1557" s="2">
        <v>1.4300925925925925E-2</v>
      </c>
      <c r="M1557" s="4" t="str">
        <f t="shared" si="72"/>
        <v>LOW</v>
      </c>
      <c r="N1557" s="4" t="str" cm="1">
        <f t="array" ref="N1557">_xlfn.IFS(C1557&gt;35,"HIGH",C1557&gt;25,"MIDDLE",TRUE,"LOW")</f>
        <v>MIDDLE</v>
      </c>
      <c r="O1557" s="4" t="str">
        <f t="shared" si="73"/>
        <v>OTHERS</v>
      </c>
      <c r="P1557" s="4" t="str">
        <f t="shared" si="74"/>
        <v>OTHERS</v>
      </c>
    </row>
    <row r="1558" spans="1:16" x14ac:dyDescent="0.3">
      <c r="A1558" s="4">
        <v>20</v>
      </c>
      <c r="B1558" t="s">
        <v>11</v>
      </c>
      <c r="C1558" s="4">
        <v>27.92</v>
      </c>
      <c r="D1558" t="s">
        <v>19</v>
      </c>
      <c r="E1558" t="s">
        <v>20</v>
      </c>
      <c r="F1558" s="4" t="s">
        <v>23</v>
      </c>
      <c r="G1558" s="4" t="s">
        <v>36</v>
      </c>
      <c r="H1558" s="4">
        <v>7</v>
      </c>
      <c r="I1558" s="4">
        <v>9</v>
      </c>
      <c r="J1558" s="1">
        <v>45557</v>
      </c>
      <c r="K1558" s="2">
        <v>3.2247685185185185E-2</v>
      </c>
      <c r="M1558" s="4" t="str">
        <f t="shared" si="72"/>
        <v>LOW</v>
      </c>
      <c r="N1558" s="4" t="str" cm="1">
        <f t="array" ref="N1558">_xlfn.IFS(C1558&gt;35,"HIGH",C1558&gt;25,"MIDDLE",TRUE,"LOW")</f>
        <v>MIDDLE</v>
      </c>
      <c r="O1558" s="4" t="str">
        <f t="shared" si="73"/>
        <v>OTHERS</v>
      </c>
      <c r="P1558" s="4" t="str">
        <f t="shared" si="74"/>
        <v>OTHERS</v>
      </c>
    </row>
    <row r="1559" spans="1:16" x14ac:dyDescent="0.3">
      <c r="A1559" s="4">
        <v>20</v>
      </c>
      <c r="B1559" t="s">
        <v>11</v>
      </c>
      <c r="C1559" s="4">
        <v>27.92</v>
      </c>
      <c r="D1559" t="s">
        <v>19</v>
      </c>
      <c r="E1559" t="s">
        <v>20</v>
      </c>
      <c r="F1559" s="4" t="s">
        <v>23</v>
      </c>
      <c r="G1559" s="4" t="s">
        <v>36</v>
      </c>
      <c r="H1559" s="4">
        <v>7</v>
      </c>
      <c r="I1559" s="4">
        <v>9</v>
      </c>
      <c r="J1559" s="1">
        <v>45557</v>
      </c>
      <c r="K1559" s="2">
        <v>3.3045138888888888E-2</v>
      </c>
      <c r="M1559" s="4" t="str">
        <f t="shared" si="72"/>
        <v>LOW</v>
      </c>
      <c r="N1559" s="4" t="str" cm="1">
        <f t="array" ref="N1559">_xlfn.IFS(C1559&gt;35,"HIGH",C1559&gt;25,"MIDDLE",TRUE,"LOW")</f>
        <v>MIDDLE</v>
      </c>
      <c r="O1559" s="4" t="str">
        <f t="shared" si="73"/>
        <v>OTHERS</v>
      </c>
      <c r="P1559" s="4" t="str">
        <f t="shared" si="74"/>
        <v>OTHERS</v>
      </c>
    </row>
    <row r="1560" spans="1:16" x14ac:dyDescent="0.3">
      <c r="A1560" s="4">
        <v>21</v>
      </c>
      <c r="B1560" t="s">
        <v>11</v>
      </c>
      <c r="C1560" s="4">
        <v>27.92</v>
      </c>
      <c r="D1560" t="s">
        <v>19</v>
      </c>
      <c r="E1560" t="s">
        <v>20</v>
      </c>
      <c r="F1560" s="4" t="s">
        <v>23</v>
      </c>
      <c r="G1560" s="4" t="s">
        <v>36</v>
      </c>
      <c r="H1560" s="4">
        <v>7</v>
      </c>
      <c r="I1560" s="4">
        <v>9</v>
      </c>
      <c r="J1560" s="1">
        <v>45557</v>
      </c>
      <c r="K1560" s="2">
        <v>4.9166666666666664E-3</v>
      </c>
      <c r="M1560" s="4" t="str">
        <f t="shared" si="72"/>
        <v>LOW</v>
      </c>
      <c r="N1560" s="4" t="str" cm="1">
        <f t="array" ref="N1560">_xlfn.IFS(C1560&gt;35,"HIGH",C1560&gt;25,"MIDDLE",TRUE,"LOW")</f>
        <v>MIDDLE</v>
      </c>
      <c r="O1560" s="4" t="str">
        <f t="shared" si="73"/>
        <v>OTHERS</v>
      </c>
      <c r="P1560" s="4" t="str">
        <f t="shared" si="74"/>
        <v>OTHERS</v>
      </c>
    </row>
    <row r="1561" spans="1:16" x14ac:dyDescent="0.3">
      <c r="A1561" s="4">
        <v>21</v>
      </c>
      <c r="B1561" t="s">
        <v>11</v>
      </c>
      <c r="C1561" s="4">
        <v>27.92</v>
      </c>
      <c r="D1561" t="s">
        <v>19</v>
      </c>
      <c r="E1561" t="s">
        <v>20</v>
      </c>
      <c r="F1561" s="4" t="s">
        <v>23</v>
      </c>
      <c r="G1561" s="4" t="s">
        <v>36</v>
      </c>
      <c r="H1561" s="4">
        <v>7</v>
      </c>
      <c r="I1561" s="4">
        <v>9</v>
      </c>
      <c r="J1561" s="1">
        <v>45557</v>
      </c>
      <c r="K1561" s="2">
        <v>5.7268518518518519E-3</v>
      </c>
      <c r="M1561" s="4" t="str">
        <f t="shared" si="72"/>
        <v>LOW</v>
      </c>
      <c r="N1561" s="4" t="str" cm="1">
        <f t="array" ref="N1561">_xlfn.IFS(C1561&gt;35,"HIGH",C1561&gt;25,"MIDDLE",TRUE,"LOW")</f>
        <v>MIDDLE</v>
      </c>
      <c r="O1561" s="4" t="str">
        <f t="shared" si="73"/>
        <v>OTHERS</v>
      </c>
      <c r="P1561" s="4" t="str">
        <f t="shared" si="74"/>
        <v>OTHERS</v>
      </c>
    </row>
    <row r="1562" spans="1:16" x14ac:dyDescent="0.3">
      <c r="A1562" s="4">
        <v>21</v>
      </c>
      <c r="B1562" t="s">
        <v>11</v>
      </c>
      <c r="C1562" s="4">
        <v>32.82</v>
      </c>
      <c r="D1562" t="s">
        <v>16</v>
      </c>
      <c r="E1562" t="s">
        <v>20</v>
      </c>
      <c r="F1562" s="4" t="s">
        <v>23</v>
      </c>
      <c r="G1562" s="4" t="s">
        <v>36</v>
      </c>
      <c r="H1562" s="4">
        <v>7</v>
      </c>
      <c r="I1562" s="4">
        <v>9</v>
      </c>
      <c r="J1562" s="1">
        <v>45557</v>
      </c>
      <c r="K1562" s="2">
        <v>3.7547453703703701E-2</v>
      </c>
      <c r="M1562" s="4" t="str">
        <f t="shared" si="72"/>
        <v>LOW</v>
      </c>
      <c r="N1562" s="4" t="str" cm="1">
        <f t="array" ref="N1562">_xlfn.IFS(C1562&gt;35,"HIGH",C1562&gt;25,"MIDDLE",TRUE,"LOW")</f>
        <v>MIDDLE</v>
      </c>
      <c r="O1562" s="4" t="str">
        <f t="shared" si="73"/>
        <v>OTHERS</v>
      </c>
      <c r="P1562" s="4" t="str">
        <f t="shared" si="74"/>
        <v>OTHERS</v>
      </c>
    </row>
    <row r="1563" spans="1:16" x14ac:dyDescent="0.3">
      <c r="A1563" s="4">
        <v>21</v>
      </c>
      <c r="B1563" t="s">
        <v>11</v>
      </c>
      <c r="C1563" s="4">
        <v>32.82</v>
      </c>
      <c r="D1563" t="s">
        <v>16</v>
      </c>
      <c r="E1563" t="s">
        <v>20</v>
      </c>
      <c r="F1563" s="4" t="s">
        <v>23</v>
      </c>
      <c r="G1563" s="4" t="s">
        <v>36</v>
      </c>
      <c r="H1563" s="4">
        <v>7</v>
      </c>
      <c r="I1563" s="4">
        <v>9</v>
      </c>
      <c r="J1563" s="1">
        <v>45557</v>
      </c>
      <c r="K1563" s="2">
        <v>3.8130787037037039E-2</v>
      </c>
      <c r="M1563" s="4" t="str">
        <f t="shared" si="72"/>
        <v>LOW</v>
      </c>
      <c r="N1563" s="4" t="str" cm="1">
        <f t="array" ref="N1563">_xlfn.IFS(C1563&gt;35,"HIGH",C1563&gt;25,"MIDDLE",TRUE,"LOW")</f>
        <v>MIDDLE</v>
      </c>
      <c r="O1563" s="4" t="str">
        <f t="shared" si="73"/>
        <v>OTHERS</v>
      </c>
      <c r="P1563" s="4" t="str">
        <f t="shared" si="74"/>
        <v>OTHERS</v>
      </c>
    </row>
    <row r="1564" spans="1:16" x14ac:dyDescent="0.3">
      <c r="A1564" s="4">
        <v>22</v>
      </c>
      <c r="B1564" t="s">
        <v>11</v>
      </c>
      <c r="C1564" s="4">
        <v>23.02</v>
      </c>
      <c r="D1564" t="s">
        <v>18</v>
      </c>
      <c r="E1564" t="s">
        <v>20</v>
      </c>
      <c r="F1564" s="4" t="s">
        <v>23</v>
      </c>
      <c r="G1564" s="4" t="s">
        <v>36</v>
      </c>
      <c r="H1564" s="4">
        <v>7</v>
      </c>
      <c r="I1564" s="4">
        <v>9</v>
      </c>
      <c r="J1564" s="1">
        <v>45557</v>
      </c>
      <c r="K1564" s="2">
        <v>2.5722222222222223E-2</v>
      </c>
      <c r="M1564" s="4" t="str">
        <f t="shared" si="72"/>
        <v>LOW</v>
      </c>
      <c r="N1564" s="4" t="str" cm="1">
        <f t="array" ref="N1564">_xlfn.IFS(C1564&gt;35,"HIGH",C1564&gt;25,"MIDDLE",TRUE,"LOW")</f>
        <v>LOW</v>
      </c>
      <c r="O1564" s="4" t="str">
        <f t="shared" si="73"/>
        <v>OTHERS</v>
      </c>
      <c r="P1564" s="4" t="str">
        <f t="shared" si="74"/>
        <v>OTHERS</v>
      </c>
    </row>
    <row r="1565" spans="1:16" x14ac:dyDescent="0.3">
      <c r="A1565" s="4">
        <v>22</v>
      </c>
      <c r="B1565" t="s">
        <v>11</v>
      </c>
      <c r="C1565" s="4">
        <v>27.92</v>
      </c>
      <c r="D1565" t="s">
        <v>19</v>
      </c>
      <c r="E1565" t="s">
        <v>20</v>
      </c>
      <c r="F1565" s="4" t="s">
        <v>23</v>
      </c>
      <c r="G1565" s="4" t="s">
        <v>36</v>
      </c>
      <c r="H1565" s="4">
        <v>7</v>
      </c>
      <c r="I1565" s="4">
        <v>9</v>
      </c>
      <c r="J1565" s="1">
        <v>45557</v>
      </c>
      <c r="K1565" s="2">
        <v>2.637037037037037E-2</v>
      </c>
      <c r="M1565" s="4" t="str">
        <f t="shared" si="72"/>
        <v>LOW</v>
      </c>
      <c r="N1565" s="4" t="str" cm="1">
        <f t="array" ref="N1565">_xlfn.IFS(C1565&gt;35,"HIGH",C1565&gt;25,"MIDDLE",TRUE,"LOW")</f>
        <v>MIDDLE</v>
      </c>
      <c r="O1565" s="4" t="str">
        <f t="shared" si="73"/>
        <v>OTHERS</v>
      </c>
      <c r="P1565" s="4" t="str">
        <f t="shared" si="74"/>
        <v>OTHERS</v>
      </c>
    </row>
    <row r="1566" spans="1:16" x14ac:dyDescent="0.3">
      <c r="A1566" s="4">
        <v>9</v>
      </c>
      <c r="B1566" t="s">
        <v>11</v>
      </c>
      <c r="C1566" s="4">
        <v>27.92</v>
      </c>
      <c r="D1566" t="s">
        <v>19</v>
      </c>
      <c r="E1566" t="s">
        <v>13</v>
      </c>
      <c r="F1566" s="4" t="s">
        <v>25</v>
      </c>
      <c r="G1566" s="4" t="s">
        <v>36</v>
      </c>
      <c r="H1566" s="4">
        <v>1</v>
      </c>
      <c r="I1566" s="4">
        <v>9</v>
      </c>
      <c r="J1566" s="1">
        <v>45558</v>
      </c>
      <c r="K1566" s="2">
        <v>2.5115740740740741E-3</v>
      </c>
      <c r="M1566" s="4" t="str">
        <f t="shared" si="72"/>
        <v>LOW</v>
      </c>
      <c r="N1566" s="4" t="str" cm="1">
        <f t="array" ref="N1566">_xlfn.IFS(C1566&gt;35,"HIGH",C1566&gt;25,"MIDDLE",TRUE,"LOW")</f>
        <v>MIDDLE</v>
      </c>
      <c r="O1566" s="4" t="str">
        <f t="shared" si="73"/>
        <v>OTHERS</v>
      </c>
      <c r="P1566" s="4" t="str">
        <f t="shared" si="74"/>
        <v>PREMINUM MORNING</v>
      </c>
    </row>
    <row r="1567" spans="1:16" x14ac:dyDescent="0.3">
      <c r="A1567" s="4">
        <v>10</v>
      </c>
      <c r="B1567" t="s">
        <v>11</v>
      </c>
      <c r="C1567" s="4">
        <v>23.02</v>
      </c>
      <c r="D1567" t="s">
        <v>24</v>
      </c>
      <c r="E1567" t="s">
        <v>13</v>
      </c>
      <c r="F1567" s="4" t="s">
        <v>25</v>
      </c>
      <c r="G1567" s="4" t="s">
        <v>36</v>
      </c>
      <c r="H1567" s="4">
        <v>1</v>
      </c>
      <c r="I1567" s="4">
        <v>9</v>
      </c>
      <c r="J1567" s="1">
        <v>45558</v>
      </c>
      <c r="K1567" s="2">
        <v>2.9780092592592592E-3</v>
      </c>
      <c r="M1567" s="4" t="str">
        <f t="shared" si="72"/>
        <v>LOW</v>
      </c>
      <c r="N1567" s="4" t="str" cm="1">
        <f t="array" ref="N1567">_xlfn.IFS(C1567&gt;35,"HIGH",C1567&gt;25,"MIDDLE",TRUE,"LOW")</f>
        <v>LOW</v>
      </c>
      <c r="O1567" s="4" t="str">
        <f t="shared" si="73"/>
        <v>OTHERS</v>
      </c>
      <c r="P1567" s="4" t="str">
        <f t="shared" si="74"/>
        <v>PREMINUM MORNING</v>
      </c>
    </row>
    <row r="1568" spans="1:16" x14ac:dyDescent="0.3">
      <c r="A1568" s="4">
        <v>12</v>
      </c>
      <c r="B1568" t="s">
        <v>11</v>
      </c>
      <c r="C1568" s="4">
        <v>23.02</v>
      </c>
      <c r="D1568" t="s">
        <v>18</v>
      </c>
      <c r="E1568" t="s">
        <v>17</v>
      </c>
      <c r="F1568" s="4" t="s">
        <v>25</v>
      </c>
      <c r="G1568" s="4" t="s">
        <v>36</v>
      </c>
      <c r="H1568" s="4">
        <v>1</v>
      </c>
      <c r="I1568" s="4">
        <v>9</v>
      </c>
      <c r="J1568" s="1">
        <v>45558</v>
      </c>
      <c r="K1568" s="2">
        <v>7.6898148148148143E-3</v>
      </c>
      <c r="M1568" s="4" t="str">
        <f t="shared" si="72"/>
        <v>LOW</v>
      </c>
      <c r="N1568" s="4" t="str" cm="1">
        <f t="array" ref="N1568">_xlfn.IFS(C1568&gt;35,"HIGH",C1568&gt;25,"MIDDLE",TRUE,"LOW")</f>
        <v>LOW</v>
      </c>
      <c r="O1568" s="4" t="str">
        <f t="shared" si="73"/>
        <v>OTHERS</v>
      </c>
      <c r="P1568" s="4" t="str">
        <f t="shared" si="74"/>
        <v>OTHERS</v>
      </c>
    </row>
    <row r="1569" spans="1:16" x14ac:dyDescent="0.3">
      <c r="A1569" s="4">
        <v>14</v>
      </c>
      <c r="B1569" t="s">
        <v>11</v>
      </c>
      <c r="C1569" s="4">
        <v>27.92</v>
      </c>
      <c r="D1569" t="s">
        <v>19</v>
      </c>
      <c r="E1569" t="s">
        <v>17</v>
      </c>
      <c r="F1569" s="4" t="s">
        <v>25</v>
      </c>
      <c r="G1569" s="4" t="s">
        <v>36</v>
      </c>
      <c r="H1569" s="4">
        <v>1</v>
      </c>
      <c r="I1569" s="4">
        <v>9</v>
      </c>
      <c r="J1569" s="1">
        <v>45558</v>
      </c>
      <c r="K1569" s="2">
        <v>6.1562499999999994E-3</v>
      </c>
      <c r="M1569" s="4" t="str">
        <f t="shared" si="72"/>
        <v>LOW</v>
      </c>
      <c r="N1569" s="4" t="str" cm="1">
        <f t="array" ref="N1569">_xlfn.IFS(C1569&gt;35,"HIGH",C1569&gt;25,"MIDDLE",TRUE,"LOW")</f>
        <v>MIDDLE</v>
      </c>
      <c r="O1569" s="4" t="str">
        <f t="shared" si="73"/>
        <v>OTHERS</v>
      </c>
      <c r="P1569" s="4" t="str">
        <f t="shared" si="74"/>
        <v>OTHERS</v>
      </c>
    </row>
    <row r="1570" spans="1:16" x14ac:dyDescent="0.3">
      <c r="A1570" s="4">
        <v>17</v>
      </c>
      <c r="B1570" t="s">
        <v>11</v>
      </c>
      <c r="C1570" s="4">
        <v>32.82</v>
      </c>
      <c r="D1570" t="s">
        <v>29</v>
      </c>
      <c r="E1570" t="s">
        <v>20</v>
      </c>
      <c r="F1570" s="4" t="s">
        <v>25</v>
      </c>
      <c r="G1570" s="4" t="s">
        <v>36</v>
      </c>
      <c r="H1570" s="4">
        <v>1</v>
      </c>
      <c r="I1570" s="4">
        <v>9</v>
      </c>
      <c r="J1570" s="1">
        <v>45558</v>
      </c>
      <c r="K1570" s="2">
        <v>1.9300925925925926E-2</v>
      </c>
      <c r="M1570" s="4" t="str">
        <f t="shared" si="72"/>
        <v>LOW</v>
      </c>
      <c r="N1570" s="4" t="str" cm="1">
        <f t="array" ref="N1570">_xlfn.IFS(C1570&gt;35,"HIGH",C1570&gt;25,"MIDDLE",TRUE,"LOW")</f>
        <v>MIDDLE</v>
      </c>
      <c r="O1570" s="4" t="str">
        <f t="shared" si="73"/>
        <v>OTHERS</v>
      </c>
      <c r="P1570" s="4" t="str">
        <f t="shared" si="74"/>
        <v>OTHERS</v>
      </c>
    </row>
    <row r="1571" spans="1:16" x14ac:dyDescent="0.3">
      <c r="A1571" s="4">
        <v>18</v>
      </c>
      <c r="B1571" t="s">
        <v>11</v>
      </c>
      <c r="C1571" s="4">
        <v>23.02</v>
      </c>
      <c r="D1571" t="s">
        <v>18</v>
      </c>
      <c r="E1571" t="s">
        <v>20</v>
      </c>
      <c r="F1571" s="4" t="s">
        <v>25</v>
      </c>
      <c r="G1571" s="4" t="s">
        <v>36</v>
      </c>
      <c r="H1571" s="4">
        <v>1</v>
      </c>
      <c r="I1571" s="4">
        <v>9</v>
      </c>
      <c r="J1571" s="1">
        <v>45558</v>
      </c>
      <c r="K1571" s="2">
        <v>3.3685185185185186E-2</v>
      </c>
      <c r="M1571" s="4" t="str">
        <f t="shared" si="72"/>
        <v>LOW</v>
      </c>
      <c r="N1571" s="4" t="str" cm="1">
        <f t="array" ref="N1571">_xlfn.IFS(C1571&gt;35,"HIGH",C1571&gt;25,"MIDDLE",TRUE,"LOW")</f>
        <v>LOW</v>
      </c>
      <c r="O1571" s="4" t="str">
        <f t="shared" si="73"/>
        <v>OTHERS</v>
      </c>
      <c r="P1571" s="4" t="str">
        <f t="shared" si="74"/>
        <v>OTHERS</v>
      </c>
    </row>
    <row r="1572" spans="1:16" x14ac:dyDescent="0.3">
      <c r="A1572" s="4">
        <v>19</v>
      </c>
      <c r="B1572" t="s">
        <v>11</v>
      </c>
      <c r="C1572" s="4">
        <v>32.82</v>
      </c>
      <c r="D1572" t="s">
        <v>12</v>
      </c>
      <c r="E1572" t="s">
        <v>20</v>
      </c>
      <c r="F1572" s="4" t="s">
        <v>25</v>
      </c>
      <c r="G1572" s="4" t="s">
        <v>36</v>
      </c>
      <c r="H1572" s="4">
        <v>1</v>
      </c>
      <c r="I1572" s="4">
        <v>9</v>
      </c>
      <c r="J1572" s="1">
        <v>45558</v>
      </c>
      <c r="K1572" s="2">
        <v>3.2892361111111115E-2</v>
      </c>
      <c r="M1572" s="4" t="str">
        <f t="shared" si="72"/>
        <v>LOW</v>
      </c>
      <c r="N1572" s="4" t="str" cm="1">
        <f t="array" ref="N1572">_xlfn.IFS(C1572&gt;35,"HIGH",C1572&gt;25,"MIDDLE",TRUE,"LOW")</f>
        <v>MIDDLE</v>
      </c>
      <c r="O1572" s="4" t="str">
        <f t="shared" si="73"/>
        <v>OTHERS</v>
      </c>
      <c r="P1572" s="4" t="str">
        <f t="shared" si="74"/>
        <v>OTHERS</v>
      </c>
    </row>
    <row r="1573" spans="1:16" x14ac:dyDescent="0.3">
      <c r="A1573" s="4">
        <v>20</v>
      </c>
      <c r="B1573" t="s">
        <v>11</v>
      </c>
      <c r="C1573" s="4">
        <v>32.82</v>
      </c>
      <c r="D1573" t="s">
        <v>29</v>
      </c>
      <c r="E1573" t="s">
        <v>20</v>
      </c>
      <c r="F1573" s="4" t="s">
        <v>25</v>
      </c>
      <c r="G1573" s="4" t="s">
        <v>36</v>
      </c>
      <c r="H1573" s="4">
        <v>1</v>
      </c>
      <c r="I1573" s="4">
        <v>9</v>
      </c>
      <c r="J1573" s="1">
        <v>45558</v>
      </c>
      <c r="K1573" s="2">
        <v>6.78125E-3</v>
      </c>
      <c r="M1573" s="4" t="str">
        <f t="shared" si="72"/>
        <v>LOW</v>
      </c>
      <c r="N1573" s="4" t="str" cm="1">
        <f t="array" ref="N1573">_xlfn.IFS(C1573&gt;35,"HIGH",C1573&gt;25,"MIDDLE",TRUE,"LOW")</f>
        <v>MIDDLE</v>
      </c>
      <c r="O1573" s="4" t="str">
        <f t="shared" si="73"/>
        <v>OTHERS</v>
      </c>
      <c r="P1573" s="4" t="str">
        <f t="shared" si="74"/>
        <v>OTHERS</v>
      </c>
    </row>
    <row r="1574" spans="1:16" x14ac:dyDescent="0.3">
      <c r="A1574" s="4">
        <v>22</v>
      </c>
      <c r="B1574" t="s">
        <v>11</v>
      </c>
      <c r="C1574" s="4">
        <v>27.92</v>
      </c>
      <c r="D1574" t="s">
        <v>19</v>
      </c>
      <c r="E1574" t="s">
        <v>20</v>
      </c>
      <c r="F1574" s="4" t="s">
        <v>25</v>
      </c>
      <c r="G1574" s="4" t="s">
        <v>36</v>
      </c>
      <c r="H1574" s="4">
        <v>1</v>
      </c>
      <c r="I1574" s="4">
        <v>9</v>
      </c>
      <c r="J1574" s="1">
        <v>45558</v>
      </c>
      <c r="K1574" s="2">
        <v>9.3807870370370364E-3</v>
      </c>
      <c r="M1574" s="4" t="str">
        <f t="shared" si="72"/>
        <v>LOW</v>
      </c>
      <c r="N1574" s="4" t="str" cm="1">
        <f t="array" ref="N1574">_xlfn.IFS(C1574&gt;35,"HIGH",C1574&gt;25,"MIDDLE",TRUE,"LOW")</f>
        <v>MIDDLE</v>
      </c>
      <c r="O1574" s="4" t="str">
        <f t="shared" si="73"/>
        <v>OTHERS</v>
      </c>
      <c r="P1574" s="4" t="str">
        <f t="shared" si="74"/>
        <v>OTHERS</v>
      </c>
    </row>
    <row r="1575" spans="1:16" x14ac:dyDescent="0.3">
      <c r="A1575" s="4">
        <v>22</v>
      </c>
      <c r="B1575" t="s">
        <v>11</v>
      </c>
      <c r="C1575" s="4">
        <v>27.92</v>
      </c>
      <c r="D1575" t="s">
        <v>19</v>
      </c>
      <c r="E1575" t="s">
        <v>20</v>
      </c>
      <c r="F1575" s="4" t="s">
        <v>25</v>
      </c>
      <c r="G1575" s="4" t="s">
        <v>36</v>
      </c>
      <c r="H1575" s="4">
        <v>1</v>
      </c>
      <c r="I1575" s="4">
        <v>9</v>
      </c>
      <c r="J1575" s="1">
        <v>45558</v>
      </c>
      <c r="K1575" s="2">
        <v>1.0590277777777778E-2</v>
      </c>
      <c r="M1575" s="4" t="str">
        <f t="shared" si="72"/>
        <v>LOW</v>
      </c>
      <c r="N1575" s="4" t="str" cm="1">
        <f t="array" ref="N1575">_xlfn.IFS(C1575&gt;35,"HIGH",C1575&gt;25,"MIDDLE",TRUE,"LOW")</f>
        <v>MIDDLE</v>
      </c>
      <c r="O1575" s="4" t="str">
        <f t="shared" si="73"/>
        <v>OTHERS</v>
      </c>
      <c r="P1575" s="4" t="str">
        <f t="shared" si="74"/>
        <v>OTHERS</v>
      </c>
    </row>
    <row r="1576" spans="1:16" x14ac:dyDescent="0.3">
      <c r="A1576" s="4">
        <v>8</v>
      </c>
      <c r="B1576" t="s">
        <v>11</v>
      </c>
      <c r="C1576" s="4">
        <v>27.92</v>
      </c>
      <c r="D1576" t="s">
        <v>19</v>
      </c>
      <c r="E1576" t="s">
        <v>13</v>
      </c>
      <c r="F1576" s="4" t="s">
        <v>27</v>
      </c>
      <c r="G1576" s="4" t="s">
        <v>36</v>
      </c>
      <c r="H1576" s="4">
        <v>2</v>
      </c>
      <c r="I1576" s="4">
        <v>9</v>
      </c>
      <c r="J1576" s="1">
        <v>45559</v>
      </c>
      <c r="K1576" s="2">
        <v>2.3293981481481481E-2</v>
      </c>
      <c r="M1576" s="4" t="str">
        <f t="shared" si="72"/>
        <v>LOW</v>
      </c>
      <c r="N1576" s="4" t="str" cm="1">
        <f t="array" ref="N1576">_xlfn.IFS(C1576&gt;35,"HIGH",C1576&gt;25,"MIDDLE",TRUE,"LOW")</f>
        <v>MIDDLE</v>
      </c>
      <c r="O1576" s="4" t="str">
        <f t="shared" si="73"/>
        <v>OTHERS</v>
      </c>
      <c r="P1576" s="4" t="str">
        <f t="shared" si="74"/>
        <v>PREMINUM MORNING</v>
      </c>
    </row>
    <row r="1577" spans="1:16" x14ac:dyDescent="0.3">
      <c r="A1577" s="4">
        <v>12</v>
      </c>
      <c r="B1577" t="s">
        <v>11</v>
      </c>
      <c r="C1577" s="4">
        <v>32.82</v>
      </c>
      <c r="D1577" t="s">
        <v>12</v>
      </c>
      <c r="E1577" t="s">
        <v>17</v>
      </c>
      <c r="F1577" s="4" t="s">
        <v>27</v>
      </c>
      <c r="G1577" s="4" t="s">
        <v>36</v>
      </c>
      <c r="H1577" s="4">
        <v>2</v>
      </c>
      <c r="I1577" s="4">
        <v>9</v>
      </c>
      <c r="J1577" s="1">
        <v>45559</v>
      </c>
      <c r="K1577" s="2">
        <v>1.6631944444444446E-2</v>
      </c>
      <c r="M1577" s="4" t="str">
        <f t="shared" si="72"/>
        <v>LOW</v>
      </c>
      <c r="N1577" s="4" t="str" cm="1">
        <f t="array" ref="N1577">_xlfn.IFS(C1577&gt;35,"HIGH",C1577&gt;25,"MIDDLE",TRUE,"LOW")</f>
        <v>MIDDLE</v>
      </c>
      <c r="O1577" s="4" t="str">
        <f t="shared" si="73"/>
        <v>OTHERS</v>
      </c>
      <c r="P1577" s="4" t="str">
        <f t="shared" si="74"/>
        <v>OTHERS</v>
      </c>
    </row>
    <row r="1578" spans="1:16" x14ac:dyDescent="0.3">
      <c r="A1578" s="4">
        <v>12</v>
      </c>
      <c r="B1578" t="s">
        <v>11</v>
      </c>
      <c r="C1578" s="4">
        <v>32.82</v>
      </c>
      <c r="D1578" t="s">
        <v>12</v>
      </c>
      <c r="E1578" t="s">
        <v>17</v>
      </c>
      <c r="F1578" s="4" t="s">
        <v>27</v>
      </c>
      <c r="G1578" s="4" t="s">
        <v>36</v>
      </c>
      <c r="H1578" s="4">
        <v>2</v>
      </c>
      <c r="I1578" s="4">
        <v>9</v>
      </c>
      <c r="J1578" s="1">
        <v>45559</v>
      </c>
      <c r="K1578" s="2">
        <v>1.7300925925925924E-2</v>
      </c>
      <c r="M1578" s="4" t="str">
        <f t="shared" si="72"/>
        <v>LOW</v>
      </c>
      <c r="N1578" s="4" t="str" cm="1">
        <f t="array" ref="N1578">_xlfn.IFS(C1578&gt;35,"HIGH",C1578&gt;25,"MIDDLE",TRUE,"LOW")</f>
        <v>MIDDLE</v>
      </c>
      <c r="O1578" s="4" t="str">
        <f t="shared" si="73"/>
        <v>OTHERS</v>
      </c>
      <c r="P1578" s="4" t="str">
        <f t="shared" si="74"/>
        <v>OTHERS</v>
      </c>
    </row>
    <row r="1579" spans="1:16" x14ac:dyDescent="0.3">
      <c r="A1579" s="4">
        <v>12</v>
      </c>
      <c r="B1579" t="s">
        <v>11</v>
      </c>
      <c r="C1579" s="4">
        <v>32.82</v>
      </c>
      <c r="D1579" t="s">
        <v>12</v>
      </c>
      <c r="E1579" t="s">
        <v>17</v>
      </c>
      <c r="F1579" s="4" t="s">
        <v>27</v>
      </c>
      <c r="G1579" s="4" t="s">
        <v>36</v>
      </c>
      <c r="H1579" s="4">
        <v>2</v>
      </c>
      <c r="I1579" s="4">
        <v>9</v>
      </c>
      <c r="J1579" s="1">
        <v>45559</v>
      </c>
      <c r="K1579" s="2">
        <v>3.2458333333333332E-2</v>
      </c>
      <c r="M1579" s="4" t="str">
        <f t="shared" si="72"/>
        <v>LOW</v>
      </c>
      <c r="N1579" s="4" t="str" cm="1">
        <f t="array" ref="N1579">_xlfn.IFS(C1579&gt;35,"HIGH",C1579&gt;25,"MIDDLE",TRUE,"LOW")</f>
        <v>MIDDLE</v>
      </c>
      <c r="O1579" s="4" t="str">
        <f t="shared" si="73"/>
        <v>OTHERS</v>
      </c>
      <c r="P1579" s="4" t="str">
        <f t="shared" si="74"/>
        <v>OTHERS</v>
      </c>
    </row>
    <row r="1580" spans="1:16" x14ac:dyDescent="0.3">
      <c r="A1580" s="4">
        <v>12</v>
      </c>
      <c r="B1580" t="s">
        <v>11</v>
      </c>
      <c r="C1580" s="4">
        <v>32.82</v>
      </c>
      <c r="D1580" t="s">
        <v>12</v>
      </c>
      <c r="E1580" t="s">
        <v>17</v>
      </c>
      <c r="F1580" s="4" t="s">
        <v>27</v>
      </c>
      <c r="G1580" s="4" t="s">
        <v>36</v>
      </c>
      <c r="H1580" s="4">
        <v>2</v>
      </c>
      <c r="I1580" s="4">
        <v>9</v>
      </c>
      <c r="J1580" s="1">
        <v>45559</v>
      </c>
      <c r="K1580" s="2">
        <v>3.3210648148148149E-2</v>
      </c>
      <c r="M1580" s="4" t="str">
        <f t="shared" si="72"/>
        <v>LOW</v>
      </c>
      <c r="N1580" s="4" t="str" cm="1">
        <f t="array" ref="N1580">_xlfn.IFS(C1580&gt;35,"HIGH",C1580&gt;25,"MIDDLE",TRUE,"LOW")</f>
        <v>MIDDLE</v>
      </c>
      <c r="O1580" s="4" t="str">
        <f t="shared" si="73"/>
        <v>OTHERS</v>
      </c>
      <c r="P1580" s="4" t="str">
        <f t="shared" si="74"/>
        <v>OTHERS</v>
      </c>
    </row>
    <row r="1581" spans="1:16" x14ac:dyDescent="0.3">
      <c r="A1581" s="4">
        <v>14</v>
      </c>
      <c r="B1581" t="s">
        <v>11</v>
      </c>
      <c r="C1581" s="4">
        <v>32.82</v>
      </c>
      <c r="D1581" t="s">
        <v>12</v>
      </c>
      <c r="E1581" t="s">
        <v>17</v>
      </c>
      <c r="F1581" s="4" t="s">
        <v>27</v>
      </c>
      <c r="G1581" s="4" t="s">
        <v>36</v>
      </c>
      <c r="H1581" s="4">
        <v>2</v>
      </c>
      <c r="I1581" s="4">
        <v>9</v>
      </c>
      <c r="J1581" s="1">
        <v>45559</v>
      </c>
      <c r="K1581" s="2">
        <v>8.0937500000000002E-3</v>
      </c>
      <c r="M1581" s="4" t="str">
        <f t="shared" si="72"/>
        <v>LOW</v>
      </c>
      <c r="N1581" s="4" t="str" cm="1">
        <f t="array" ref="N1581">_xlfn.IFS(C1581&gt;35,"HIGH",C1581&gt;25,"MIDDLE",TRUE,"LOW")</f>
        <v>MIDDLE</v>
      </c>
      <c r="O1581" s="4" t="str">
        <f t="shared" si="73"/>
        <v>OTHERS</v>
      </c>
      <c r="P1581" s="4" t="str">
        <f t="shared" si="74"/>
        <v>OTHERS</v>
      </c>
    </row>
    <row r="1582" spans="1:16" x14ac:dyDescent="0.3">
      <c r="A1582" s="4">
        <v>14</v>
      </c>
      <c r="B1582" t="s">
        <v>11</v>
      </c>
      <c r="C1582" s="4">
        <v>23.02</v>
      </c>
      <c r="D1582" t="s">
        <v>24</v>
      </c>
      <c r="E1582" t="s">
        <v>17</v>
      </c>
      <c r="F1582" s="4" t="s">
        <v>27</v>
      </c>
      <c r="G1582" s="4" t="s">
        <v>36</v>
      </c>
      <c r="H1582" s="4">
        <v>2</v>
      </c>
      <c r="I1582" s="4">
        <v>9</v>
      </c>
      <c r="J1582" s="1">
        <v>45559</v>
      </c>
      <c r="K1582" s="2">
        <v>2.1859953703703704E-2</v>
      </c>
      <c r="M1582" s="4" t="str">
        <f t="shared" si="72"/>
        <v>LOW</v>
      </c>
      <c r="N1582" s="4" t="str" cm="1">
        <f t="array" ref="N1582">_xlfn.IFS(C1582&gt;35,"HIGH",C1582&gt;25,"MIDDLE",TRUE,"LOW")</f>
        <v>LOW</v>
      </c>
      <c r="O1582" s="4" t="str">
        <f t="shared" si="73"/>
        <v>OTHERS</v>
      </c>
      <c r="P1582" s="4" t="str">
        <f t="shared" si="74"/>
        <v>OTHERS</v>
      </c>
    </row>
    <row r="1583" spans="1:16" x14ac:dyDescent="0.3">
      <c r="A1583" s="4">
        <v>15</v>
      </c>
      <c r="B1583" t="s">
        <v>11</v>
      </c>
      <c r="C1583" s="4">
        <v>32.82</v>
      </c>
      <c r="D1583" t="s">
        <v>29</v>
      </c>
      <c r="E1583" t="s">
        <v>17</v>
      </c>
      <c r="F1583" s="4" t="s">
        <v>27</v>
      </c>
      <c r="G1583" s="4" t="s">
        <v>36</v>
      </c>
      <c r="H1583" s="4">
        <v>2</v>
      </c>
      <c r="I1583" s="4">
        <v>9</v>
      </c>
      <c r="J1583" s="1">
        <v>45559</v>
      </c>
      <c r="K1583" s="2">
        <v>2.5968749999999999E-2</v>
      </c>
      <c r="M1583" s="4" t="str">
        <f t="shared" si="72"/>
        <v>LOW</v>
      </c>
      <c r="N1583" s="4" t="str" cm="1">
        <f t="array" ref="N1583">_xlfn.IFS(C1583&gt;35,"HIGH",C1583&gt;25,"MIDDLE",TRUE,"LOW")</f>
        <v>MIDDLE</v>
      </c>
      <c r="O1583" s="4" t="str">
        <f t="shared" si="73"/>
        <v>OTHERS</v>
      </c>
      <c r="P1583" s="4" t="str">
        <f t="shared" si="74"/>
        <v>OTHERS</v>
      </c>
    </row>
    <row r="1584" spans="1:16" x14ac:dyDescent="0.3">
      <c r="A1584" s="4">
        <v>16</v>
      </c>
      <c r="B1584" t="s">
        <v>11</v>
      </c>
      <c r="C1584" s="4">
        <v>32.82</v>
      </c>
      <c r="D1584" t="s">
        <v>12</v>
      </c>
      <c r="E1584" t="s">
        <v>17</v>
      </c>
      <c r="F1584" s="4" t="s">
        <v>27</v>
      </c>
      <c r="G1584" s="4" t="s">
        <v>36</v>
      </c>
      <c r="H1584" s="4">
        <v>2</v>
      </c>
      <c r="I1584" s="4">
        <v>9</v>
      </c>
      <c r="J1584" s="1">
        <v>45559</v>
      </c>
      <c r="K1584" s="2">
        <v>2.6947916666666669E-2</v>
      </c>
      <c r="M1584" s="4" t="str">
        <f t="shared" si="72"/>
        <v>LOW</v>
      </c>
      <c r="N1584" s="4" t="str" cm="1">
        <f t="array" ref="N1584">_xlfn.IFS(C1584&gt;35,"HIGH",C1584&gt;25,"MIDDLE",TRUE,"LOW")</f>
        <v>MIDDLE</v>
      </c>
      <c r="O1584" s="4" t="str">
        <f t="shared" si="73"/>
        <v>OTHERS</v>
      </c>
      <c r="P1584" s="4" t="str">
        <f t="shared" si="74"/>
        <v>OTHERS</v>
      </c>
    </row>
    <row r="1585" spans="1:16" x14ac:dyDescent="0.3">
      <c r="A1585" s="4">
        <v>18</v>
      </c>
      <c r="B1585" t="s">
        <v>11</v>
      </c>
      <c r="C1585" s="4">
        <v>23.02</v>
      </c>
      <c r="D1585" t="s">
        <v>18</v>
      </c>
      <c r="E1585" t="s">
        <v>20</v>
      </c>
      <c r="F1585" s="4" t="s">
        <v>27</v>
      </c>
      <c r="G1585" s="4" t="s">
        <v>36</v>
      </c>
      <c r="H1585" s="4">
        <v>2</v>
      </c>
      <c r="I1585" s="4">
        <v>9</v>
      </c>
      <c r="J1585" s="1">
        <v>45559</v>
      </c>
      <c r="K1585" s="2">
        <v>2.9894675925925929E-2</v>
      </c>
      <c r="M1585" s="4" t="str">
        <f t="shared" si="72"/>
        <v>LOW</v>
      </c>
      <c r="N1585" s="4" t="str" cm="1">
        <f t="array" ref="N1585">_xlfn.IFS(C1585&gt;35,"HIGH",C1585&gt;25,"MIDDLE",TRUE,"LOW")</f>
        <v>LOW</v>
      </c>
      <c r="O1585" s="4" t="str">
        <f t="shared" si="73"/>
        <v>OTHERS</v>
      </c>
      <c r="P1585" s="4" t="str">
        <f t="shared" si="74"/>
        <v>OTHERS</v>
      </c>
    </row>
    <row r="1586" spans="1:16" x14ac:dyDescent="0.3">
      <c r="A1586" s="4">
        <v>18</v>
      </c>
      <c r="B1586" t="s">
        <v>11</v>
      </c>
      <c r="C1586" s="4">
        <v>23.02</v>
      </c>
      <c r="D1586" t="s">
        <v>18</v>
      </c>
      <c r="E1586" t="s">
        <v>20</v>
      </c>
      <c r="F1586" s="4" t="s">
        <v>27</v>
      </c>
      <c r="G1586" s="4" t="s">
        <v>36</v>
      </c>
      <c r="H1586" s="4">
        <v>2</v>
      </c>
      <c r="I1586" s="4">
        <v>9</v>
      </c>
      <c r="J1586" s="1">
        <v>45559</v>
      </c>
      <c r="K1586" s="2">
        <v>3.0487268518518518E-2</v>
      </c>
      <c r="M1586" s="4" t="str">
        <f t="shared" si="72"/>
        <v>LOW</v>
      </c>
      <c r="N1586" s="4" t="str" cm="1">
        <f t="array" ref="N1586">_xlfn.IFS(C1586&gt;35,"HIGH",C1586&gt;25,"MIDDLE",TRUE,"LOW")</f>
        <v>LOW</v>
      </c>
      <c r="O1586" s="4" t="str">
        <f t="shared" si="73"/>
        <v>OTHERS</v>
      </c>
      <c r="P1586" s="4" t="str">
        <f t="shared" si="74"/>
        <v>OTHERS</v>
      </c>
    </row>
    <row r="1587" spans="1:16" x14ac:dyDescent="0.3">
      <c r="A1587" s="4">
        <v>20</v>
      </c>
      <c r="B1587" t="s">
        <v>11</v>
      </c>
      <c r="C1587" s="4">
        <v>32.82</v>
      </c>
      <c r="D1587" t="s">
        <v>16</v>
      </c>
      <c r="E1587" t="s">
        <v>20</v>
      </c>
      <c r="F1587" s="4" t="s">
        <v>27</v>
      </c>
      <c r="G1587" s="4" t="s">
        <v>36</v>
      </c>
      <c r="H1587" s="4">
        <v>2</v>
      </c>
      <c r="I1587" s="4">
        <v>9</v>
      </c>
      <c r="J1587" s="1">
        <v>45559</v>
      </c>
      <c r="K1587" s="2">
        <v>1.0999999999999999E-2</v>
      </c>
      <c r="M1587" s="4" t="str">
        <f t="shared" si="72"/>
        <v>LOW</v>
      </c>
      <c r="N1587" s="4" t="str" cm="1">
        <f t="array" ref="N1587">_xlfn.IFS(C1587&gt;35,"HIGH",C1587&gt;25,"MIDDLE",TRUE,"LOW")</f>
        <v>MIDDLE</v>
      </c>
      <c r="O1587" s="4" t="str">
        <f t="shared" si="73"/>
        <v>OTHERS</v>
      </c>
      <c r="P1587" s="4" t="str">
        <f t="shared" si="74"/>
        <v>OTHERS</v>
      </c>
    </row>
    <row r="1588" spans="1:16" x14ac:dyDescent="0.3">
      <c r="A1588" s="4">
        <v>21</v>
      </c>
      <c r="B1588" t="s">
        <v>11</v>
      </c>
      <c r="C1588" s="4">
        <v>32.82</v>
      </c>
      <c r="D1588" t="s">
        <v>12</v>
      </c>
      <c r="E1588" t="s">
        <v>20</v>
      </c>
      <c r="F1588" s="4" t="s">
        <v>27</v>
      </c>
      <c r="G1588" s="4" t="s">
        <v>36</v>
      </c>
      <c r="H1588" s="4">
        <v>2</v>
      </c>
      <c r="I1588" s="4">
        <v>9</v>
      </c>
      <c r="J1588" s="1">
        <v>45559</v>
      </c>
      <c r="K1588" s="2">
        <v>3.6365740740740738E-3</v>
      </c>
      <c r="M1588" s="4" t="str">
        <f t="shared" si="72"/>
        <v>LOW</v>
      </c>
      <c r="N1588" s="4" t="str" cm="1">
        <f t="array" ref="N1588">_xlfn.IFS(C1588&gt;35,"HIGH",C1588&gt;25,"MIDDLE",TRUE,"LOW")</f>
        <v>MIDDLE</v>
      </c>
      <c r="O1588" s="4" t="str">
        <f t="shared" si="73"/>
        <v>OTHERS</v>
      </c>
      <c r="P1588" s="4" t="str">
        <f t="shared" si="74"/>
        <v>OTHERS</v>
      </c>
    </row>
    <row r="1589" spans="1:16" x14ac:dyDescent="0.3">
      <c r="A1589" s="4">
        <v>21</v>
      </c>
      <c r="B1589" t="s">
        <v>11</v>
      </c>
      <c r="C1589" s="4">
        <v>27.92</v>
      </c>
      <c r="D1589" t="s">
        <v>19</v>
      </c>
      <c r="E1589" t="s">
        <v>20</v>
      </c>
      <c r="F1589" s="4" t="s">
        <v>27</v>
      </c>
      <c r="G1589" s="4" t="s">
        <v>36</v>
      </c>
      <c r="H1589" s="4">
        <v>2</v>
      </c>
      <c r="I1589" s="4">
        <v>9</v>
      </c>
      <c r="J1589" s="1">
        <v>45559</v>
      </c>
      <c r="K1589" s="2">
        <v>4.5416666666666661E-3</v>
      </c>
      <c r="M1589" s="4" t="str">
        <f t="shared" si="72"/>
        <v>LOW</v>
      </c>
      <c r="N1589" s="4" t="str" cm="1">
        <f t="array" ref="N1589">_xlfn.IFS(C1589&gt;35,"HIGH",C1589&gt;25,"MIDDLE",TRUE,"LOW")</f>
        <v>MIDDLE</v>
      </c>
      <c r="O1589" s="4" t="str">
        <f t="shared" si="73"/>
        <v>OTHERS</v>
      </c>
      <c r="P1589" s="4" t="str">
        <f t="shared" si="74"/>
        <v>OTHERS</v>
      </c>
    </row>
    <row r="1590" spans="1:16" x14ac:dyDescent="0.3">
      <c r="A1590" s="4">
        <v>21</v>
      </c>
      <c r="B1590" t="s">
        <v>11</v>
      </c>
      <c r="C1590" s="4">
        <v>27.92</v>
      </c>
      <c r="D1590" t="s">
        <v>19</v>
      </c>
      <c r="E1590" t="s">
        <v>20</v>
      </c>
      <c r="F1590" s="4" t="s">
        <v>27</v>
      </c>
      <c r="G1590" s="4" t="s">
        <v>36</v>
      </c>
      <c r="H1590" s="4">
        <v>2</v>
      </c>
      <c r="I1590" s="4">
        <v>9</v>
      </c>
      <c r="J1590" s="1">
        <v>45559</v>
      </c>
      <c r="K1590" s="2">
        <v>5.2662037037037035E-3</v>
      </c>
      <c r="M1590" s="4" t="str">
        <f t="shared" si="72"/>
        <v>LOW</v>
      </c>
      <c r="N1590" s="4" t="str" cm="1">
        <f t="array" ref="N1590">_xlfn.IFS(C1590&gt;35,"HIGH",C1590&gt;25,"MIDDLE",TRUE,"LOW")</f>
        <v>MIDDLE</v>
      </c>
      <c r="O1590" s="4" t="str">
        <f t="shared" si="73"/>
        <v>OTHERS</v>
      </c>
      <c r="P1590" s="4" t="str">
        <f t="shared" si="74"/>
        <v>OTHERS</v>
      </c>
    </row>
    <row r="1591" spans="1:16" x14ac:dyDescent="0.3">
      <c r="A1591" s="4">
        <v>7</v>
      </c>
      <c r="B1591" t="s">
        <v>11</v>
      </c>
      <c r="C1591" s="4">
        <v>32.82</v>
      </c>
      <c r="D1591" t="s">
        <v>29</v>
      </c>
      <c r="E1591" t="s">
        <v>13</v>
      </c>
      <c r="F1591" s="4" t="s">
        <v>28</v>
      </c>
      <c r="G1591" s="4" t="s">
        <v>36</v>
      </c>
      <c r="H1591" s="4">
        <v>3</v>
      </c>
      <c r="I1591" s="4">
        <v>9</v>
      </c>
      <c r="J1591" s="1">
        <v>45560</v>
      </c>
      <c r="K1591" s="2">
        <v>3.5660879629629626E-2</v>
      </c>
      <c r="M1591" s="4" t="str">
        <f t="shared" si="72"/>
        <v>LOW</v>
      </c>
      <c r="N1591" s="4" t="str" cm="1">
        <f t="array" ref="N1591">_xlfn.IFS(C1591&gt;35,"HIGH",C1591&gt;25,"MIDDLE",TRUE,"LOW")</f>
        <v>MIDDLE</v>
      </c>
      <c r="O1591" s="4" t="str">
        <f t="shared" si="73"/>
        <v>OTHERS</v>
      </c>
      <c r="P1591" s="4" t="str">
        <f t="shared" si="74"/>
        <v>PREMINUM MORNING</v>
      </c>
    </row>
    <row r="1592" spans="1:16" x14ac:dyDescent="0.3">
      <c r="A1592" s="4">
        <v>11</v>
      </c>
      <c r="B1592" t="s">
        <v>11</v>
      </c>
      <c r="C1592" s="4">
        <v>23.02</v>
      </c>
      <c r="D1592" t="s">
        <v>24</v>
      </c>
      <c r="E1592" t="s">
        <v>13</v>
      </c>
      <c r="F1592" s="4" t="s">
        <v>28</v>
      </c>
      <c r="G1592" s="4" t="s">
        <v>36</v>
      </c>
      <c r="H1592" s="4">
        <v>3</v>
      </c>
      <c r="I1592" s="4">
        <v>9</v>
      </c>
      <c r="J1592" s="1">
        <v>45560</v>
      </c>
      <c r="K1592" s="2">
        <v>2.4681712962962964E-2</v>
      </c>
      <c r="M1592" s="4" t="str">
        <f t="shared" si="72"/>
        <v>LOW</v>
      </c>
      <c r="N1592" s="4" t="str" cm="1">
        <f t="array" ref="N1592">_xlfn.IFS(C1592&gt;35,"HIGH",C1592&gt;25,"MIDDLE",TRUE,"LOW")</f>
        <v>LOW</v>
      </c>
      <c r="O1592" s="4" t="str">
        <f t="shared" si="73"/>
        <v>OTHERS</v>
      </c>
      <c r="P1592" s="4" t="str">
        <f t="shared" si="74"/>
        <v>PREMINUM MORNING</v>
      </c>
    </row>
    <row r="1593" spans="1:16" x14ac:dyDescent="0.3">
      <c r="A1593" s="4">
        <v>11</v>
      </c>
      <c r="B1593" t="s">
        <v>11</v>
      </c>
      <c r="C1593" s="4">
        <v>27.92</v>
      </c>
      <c r="D1593" t="s">
        <v>19</v>
      </c>
      <c r="E1593" t="s">
        <v>13</v>
      </c>
      <c r="F1593" s="4" t="s">
        <v>28</v>
      </c>
      <c r="G1593" s="4" t="s">
        <v>36</v>
      </c>
      <c r="H1593" s="4">
        <v>3</v>
      </c>
      <c r="I1593" s="4">
        <v>9</v>
      </c>
      <c r="J1593" s="1">
        <v>45560</v>
      </c>
      <c r="K1593" s="2">
        <v>3.5592592592592592E-2</v>
      </c>
      <c r="M1593" s="4" t="str">
        <f t="shared" si="72"/>
        <v>LOW</v>
      </c>
      <c r="N1593" s="4" t="str" cm="1">
        <f t="array" ref="N1593">_xlfn.IFS(C1593&gt;35,"HIGH",C1593&gt;25,"MIDDLE",TRUE,"LOW")</f>
        <v>MIDDLE</v>
      </c>
      <c r="O1593" s="4" t="str">
        <f t="shared" si="73"/>
        <v>OTHERS</v>
      </c>
      <c r="P1593" s="4" t="str">
        <f t="shared" si="74"/>
        <v>PREMINUM MORNING</v>
      </c>
    </row>
    <row r="1594" spans="1:16" x14ac:dyDescent="0.3">
      <c r="A1594" s="4">
        <v>11</v>
      </c>
      <c r="B1594" t="s">
        <v>11</v>
      </c>
      <c r="C1594" s="4">
        <v>32.82</v>
      </c>
      <c r="D1594" t="s">
        <v>12</v>
      </c>
      <c r="E1594" t="s">
        <v>13</v>
      </c>
      <c r="F1594" s="4" t="s">
        <v>28</v>
      </c>
      <c r="G1594" s="4" t="s">
        <v>36</v>
      </c>
      <c r="H1594" s="4">
        <v>3</v>
      </c>
      <c r="I1594" s="4">
        <v>9</v>
      </c>
      <c r="J1594" s="1">
        <v>45560</v>
      </c>
      <c r="K1594" s="2">
        <v>3.6729166666666667E-2</v>
      </c>
      <c r="M1594" s="4" t="str">
        <f t="shared" si="72"/>
        <v>LOW</v>
      </c>
      <c r="N1594" s="4" t="str" cm="1">
        <f t="array" ref="N1594">_xlfn.IFS(C1594&gt;35,"HIGH",C1594&gt;25,"MIDDLE",TRUE,"LOW")</f>
        <v>MIDDLE</v>
      </c>
      <c r="O1594" s="4" t="str">
        <f t="shared" si="73"/>
        <v>OTHERS</v>
      </c>
      <c r="P1594" s="4" t="str">
        <f t="shared" si="74"/>
        <v>PREMINUM MORNING</v>
      </c>
    </row>
    <row r="1595" spans="1:16" x14ac:dyDescent="0.3">
      <c r="A1595" s="4">
        <v>13</v>
      </c>
      <c r="B1595" t="s">
        <v>11</v>
      </c>
      <c r="C1595" s="4">
        <v>27.92</v>
      </c>
      <c r="D1595" t="s">
        <v>19</v>
      </c>
      <c r="E1595" t="s">
        <v>17</v>
      </c>
      <c r="F1595" s="4" t="s">
        <v>28</v>
      </c>
      <c r="G1595" s="4" t="s">
        <v>36</v>
      </c>
      <c r="H1595" s="4">
        <v>3</v>
      </c>
      <c r="I1595" s="4">
        <v>9</v>
      </c>
      <c r="J1595" s="1">
        <v>45560</v>
      </c>
      <c r="K1595" s="2">
        <v>3.8096064814814812E-2</v>
      </c>
      <c r="M1595" s="4" t="str">
        <f t="shared" si="72"/>
        <v>LOW</v>
      </c>
      <c r="N1595" s="4" t="str" cm="1">
        <f t="array" ref="N1595">_xlfn.IFS(C1595&gt;35,"HIGH",C1595&gt;25,"MIDDLE",TRUE,"LOW")</f>
        <v>MIDDLE</v>
      </c>
      <c r="O1595" s="4" t="str">
        <f t="shared" si="73"/>
        <v>OTHERS</v>
      </c>
      <c r="P1595" s="4" t="str">
        <f t="shared" si="74"/>
        <v>OTHERS</v>
      </c>
    </row>
    <row r="1596" spans="1:16" x14ac:dyDescent="0.3">
      <c r="A1596" s="4">
        <v>13</v>
      </c>
      <c r="B1596" t="s">
        <v>11</v>
      </c>
      <c r="C1596" s="4">
        <v>27.92</v>
      </c>
      <c r="D1596" t="s">
        <v>19</v>
      </c>
      <c r="E1596" t="s">
        <v>17</v>
      </c>
      <c r="F1596" s="4" t="s">
        <v>28</v>
      </c>
      <c r="G1596" s="4" t="s">
        <v>36</v>
      </c>
      <c r="H1596" s="4">
        <v>3</v>
      </c>
      <c r="I1596" s="4">
        <v>9</v>
      </c>
      <c r="J1596" s="1">
        <v>45560</v>
      </c>
      <c r="K1596" s="2">
        <v>3.888078703703704E-2</v>
      </c>
      <c r="M1596" s="4" t="str">
        <f t="shared" si="72"/>
        <v>LOW</v>
      </c>
      <c r="N1596" s="4" t="str" cm="1">
        <f t="array" ref="N1596">_xlfn.IFS(C1596&gt;35,"HIGH",C1596&gt;25,"MIDDLE",TRUE,"LOW")</f>
        <v>MIDDLE</v>
      </c>
      <c r="O1596" s="4" t="str">
        <f t="shared" si="73"/>
        <v>OTHERS</v>
      </c>
      <c r="P1596" s="4" t="str">
        <f t="shared" si="74"/>
        <v>OTHERS</v>
      </c>
    </row>
    <row r="1597" spans="1:16" x14ac:dyDescent="0.3">
      <c r="A1597" s="4">
        <v>17</v>
      </c>
      <c r="B1597" t="s">
        <v>11</v>
      </c>
      <c r="C1597" s="4">
        <v>27.92</v>
      </c>
      <c r="D1597" t="s">
        <v>19</v>
      </c>
      <c r="E1597" t="s">
        <v>20</v>
      </c>
      <c r="F1597" s="4" t="s">
        <v>28</v>
      </c>
      <c r="G1597" s="4" t="s">
        <v>36</v>
      </c>
      <c r="H1597" s="4">
        <v>3</v>
      </c>
      <c r="I1597" s="4">
        <v>9</v>
      </c>
      <c r="J1597" s="1">
        <v>45560</v>
      </c>
      <c r="K1597" s="2">
        <v>2.5430555555555553E-2</v>
      </c>
      <c r="M1597" s="4" t="str">
        <f t="shared" si="72"/>
        <v>LOW</v>
      </c>
      <c r="N1597" s="4" t="str" cm="1">
        <f t="array" ref="N1597">_xlfn.IFS(C1597&gt;35,"HIGH",C1597&gt;25,"MIDDLE",TRUE,"LOW")</f>
        <v>MIDDLE</v>
      </c>
      <c r="O1597" s="4" t="str">
        <f t="shared" si="73"/>
        <v>OTHERS</v>
      </c>
      <c r="P1597" s="4" t="str">
        <f t="shared" si="74"/>
        <v>OTHERS</v>
      </c>
    </row>
    <row r="1598" spans="1:16" x14ac:dyDescent="0.3">
      <c r="A1598" s="4">
        <v>17</v>
      </c>
      <c r="B1598" t="s">
        <v>11</v>
      </c>
      <c r="C1598" s="4">
        <v>27.92</v>
      </c>
      <c r="D1598" t="s">
        <v>19</v>
      </c>
      <c r="E1598" t="s">
        <v>20</v>
      </c>
      <c r="F1598" s="4" t="s">
        <v>28</v>
      </c>
      <c r="G1598" s="4" t="s">
        <v>36</v>
      </c>
      <c r="H1598" s="4">
        <v>3</v>
      </c>
      <c r="I1598" s="4">
        <v>9</v>
      </c>
      <c r="J1598" s="1">
        <v>45560</v>
      </c>
      <c r="K1598" s="2">
        <v>2.6062500000000002E-2</v>
      </c>
      <c r="M1598" s="4" t="str">
        <f t="shared" si="72"/>
        <v>LOW</v>
      </c>
      <c r="N1598" s="4" t="str" cm="1">
        <f t="array" ref="N1598">_xlfn.IFS(C1598&gt;35,"HIGH",C1598&gt;25,"MIDDLE",TRUE,"LOW")</f>
        <v>MIDDLE</v>
      </c>
      <c r="O1598" s="4" t="str">
        <f t="shared" si="73"/>
        <v>OTHERS</v>
      </c>
      <c r="P1598" s="4" t="str">
        <f t="shared" si="74"/>
        <v>OTHERS</v>
      </c>
    </row>
    <row r="1599" spans="1:16" x14ac:dyDescent="0.3">
      <c r="A1599" s="4">
        <v>21</v>
      </c>
      <c r="B1599" t="s">
        <v>11</v>
      </c>
      <c r="C1599" s="4">
        <v>23.02</v>
      </c>
      <c r="D1599" t="s">
        <v>18</v>
      </c>
      <c r="E1599" t="s">
        <v>20</v>
      </c>
      <c r="F1599" s="4" t="s">
        <v>28</v>
      </c>
      <c r="G1599" s="4" t="s">
        <v>36</v>
      </c>
      <c r="H1599" s="4">
        <v>3</v>
      </c>
      <c r="I1599" s="4">
        <v>9</v>
      </c>
      <c r="J1599" s="1">
        <v>45560</v>
      </c>
      <c r="K1599" s="2">
        <v>2.4089120370370372E-2</v>
      </c>
      <c r="M1599" s="4" t="str">
        <f t="shared" si="72"/>
        <v>LOW</v>
      </c>
      <c r="N1599" s="4" t="str" cm="1">
        <f t="array" ref="N1599">_xlfn.IFS(C1599&gt;35,"HIGH",C1599&gt;25,"MIDDLE",TRUE,"LOW")</f>
        <v>LOW</v>
      </c>
      <c r="O1599" s="4" t="str">
        <f t="shared" si="73"/>
        <v>OTHERS</v>
      </c>
      <c r="P1599" s="4" t="str">
        <f t="shared" si="74"/>
        <v>OTHERS</v>
      </c>
    </row>
    <row r="1600" spans="1:16" x14ac:dyDescent="0.3">
      <c r="A1600" s="4">
        <v>22</v>
      </c>
      <c r="B1600" t="s">
        <v>11</v>
      </c>
      <c r="C1600" s="4">
        <v>27.92</v>
      </c>
      <c r="D1600" t="s">
        <v>19</v>
      </c>
      <c r="E1600" t="s">
        <v>20</v>
      </c>
      <c r="F1600" s="4" t="s">
        <v>28</v>
      </c>
      <c r="G1600" s="4" t="s">
        <v>36</v>
      </c>
      <c r="H1600" s="4">
        <v>3</v>
      </c>
      <c r="I1600" s="4">
        <v>9</v>
      </c>
      <c r="J1600" s="1">
        <v>45560</v>
      </c>
      <c r="K1600" s="2">
        <v>1.3099537037037036E-2</v>
      </c>
      <c r="M1600" s="4" t="str">
        <f t="shared" si="72"/>
        <v>LOW</v>
      </c>
      <c r="N1600" s="4" t="str" cm="1">
        <f t="array" ref="N1600">_xlfn.IFS(C1600&gt;35,"HIGH",C1600&gt;25,"MIDDLE",TRUE,"LOW")</f>
        <v>MIDDLE</v>
      </c>
      <c r="O1600" s="4" t="str">
        <f t="shared" si="73"/>
        <v>OTHERS</v>
      </c>
      <c r="P1600" s="4" t="str">
        <f t="shared" si="74"/>
        <v>OTHERS</v>
      </c>
    </row>
    <row r="1601" spans="1:16" x14ac:dyDescent="0.3">
      <c r="A1601" s="4">
        <v>8</v>
      </c>
      <c r="B1601" t="s">
        <v>11</v>
      </c>
      <c r="C1601" s="4">
        <v>32.82</v>
      </c>
      <c r="D1601" t="s">
        <v>12</v>
      </c>
      <c r="E1601" t="s">
        <v>13</v>
      </c>
      <c r="F1601" s="4" t="s">
        <v>30</v>
      </c>
      <c r="G1601" s="4" t="s">
        <v>36</v>
      </c>
      <c r="H1601" s="4">
        <v>4</v>
      </c>
      <c r="I1601" s="4">
        <v>9</v>
      </c>
      <c r="J1601" s="1">
        <v>45561</v>
      </c>
      <c r="K1601" s="2">
        <v>3.0266203703703705E-2</v>
      </c>
      <c r="M1601" s="4" t="str">
        <f t="shared" si="72"/>
        <v>LOW</v>
      </c>
      <c r="N1601" s="4" t="str" cm="1">
        <f t="array" ref="N1601">_xlfn.IFS(C1601&gt;35,"HIGH",C1601&gt;25,"MIDDLE",TRUE,"LOW")</f>
        <v>MIDDLE</v>
      </c>
      <c r="O1601" s="4" t="str">
        <f t="shared" si="73"/>
        <v>OTHERS</v>
      </c>
      <c r="P1601" s="4" t="str">
        <f t="shared" si="74"/>
        <v>PREMINUM MORNING</v>
      </c>
    </row>
    <row r="1602" spans="1:16" x14ac:dyDescent="0.3">
      <c r="A1602" s="4">
        <v>10</v>
      </c>
      <c r="B1602" t="s">
        <v>11</v>
      </c>
      <c r="C1602" s="4">
        <v>27.92</v>
      </c>
      <c r="D1602" t="s">
        <v>19</v>
      </c>
      <c r="E1602" t="s">
        <v>13</v>
      </c>
      <c r="F1602" s="4" t="s">
        <v>30</v>
      </c>
      <c r="G1602" s="4" t="s">
        <v>36</v>
      </c>
      <c r="H1602" s="4">
        <v>4</v>
      </c>
      <c r="I1602" s="4">
        <v>9</v>
      </c>
      <c r="J1602" s="1">
        <v>45561</v>
      </c>
      <c r="K1602" s="2">
        <v>2.5769675925925925E-2</v>
      </c>
      <c r="M1602" s="4" t="str">
        <f t="shared" si="72"/>
        <v>LOW</v>
      </c>
      <c r="N1602" s="4" t="str" cm="1">
        <f t="array" ref="N1602">_xlfn.IFS(C1602&gt;35,"HIGH",C1602&gt;25,"MIDDLE",TRUE,"LOW")</f>
        <v>MIDDLE</v>
      </c>
      <c r="O1602" s="4" t="str">
        <f t="shared" si="73"/>
        <v>OTHERS</v>
      </c>
      <c r="P1602" s="4" t="str">
        <f t="shared" si="74"/>
        <v>PREMINUM MORNING</v>
      </c>
    </row>
    <row r="1603" spans="1:16" x14ac:dyDescent="0.3">
      <c r="A1603" s="4">
        <v>10</v>
      </c>
      <c r="B1603" t="s">
        <v>11</v>
      </c>
      <c r="C1603" s="4">
        <v>18.12</v>
      </c>
      <c r="D1603" t="s">
        <v>26</v>
      </c>
      <c r="E1603" t="s">
        <v>13</v>
      </c>
      <c r="F1603" s="4" t="s">
        <v>30</v>
      </c>
      <c r="G1603" s="4" t="s">
        <v>36</v>
      </c>
      <c r="H1603" s="4">
        <v>4</v>
      </c>
      <c r="I1603" s="4">
        <v>9</v>
      </c>
      <c r="J1603" s="1">
        <v>45561</v>
      </c>
      <c r="K1603" s="2">
        <v>3.8800925925925926E-2</v>
      </c>
      <c r="M1603" s="4" t="str">
        <f t="shared" ref="M1603:M1666" si="75">IF(C1603&gt;35,"HIGH","LOW")</f>
        <v>LOW</v>
      </c>
      <c r="N1603" s="4" t="str" cm="1">
        <f t="array" ref="N1603">_xlfn.IFS(C1603&gt;35,"HIGH",C1603&gt;25,"MIDDLE",TRUE,"LOW")</f>
        <v>LOW</v>
      </c>
      <c r="O1603" s="4" t="str">
        <f t="shared" ref="O1603:O1666" si="76">IF(AND(C1603&gt;35,E1603="MORNING"),"PREMINUM MORNING","OTHERS")</f>
        <v>OTHERS</v>
      </c>
      <c r="P1603" s="4" t="str">
        <f t="shared" ref="P1603:P1666" si="77">IF(OR(C1603&gt;35,E1603="MORNING"),"PREMINUM MORNING","OTHERS")</f>
        <v>PREMINUM MORNING</v>
      </c>
    </row>
    <row r="1604" spans="1:16" x14ac:dyDescent="0.3">
      <c r="A1604" s="4">
        <v>11</v>
      </c>
      <c r="B1604" t="s">
        <v>11</v>
      </c>
      <c r="C1604" s="4">
        <v>32.82</v>
      </c>
      <c r="D1604" t="s">
        <v>29</v>
      </c>
      <c r="E1604" t="s">
        <v>13</v>
      </c>
      <c r="F1604" s="4" t="s">
        <v>30</v>
      </c>
      <c r="G1604" s="4" t="s">
        <v>36</v>
      </c>
      <c r="H1604" s="4">
        <v>4</v>
      </c>
      <c r="I1604" s="4">
        <v>9</v>
      </c>
      <c r="J1604" s="1">
        <v>45561</v>
      </c>
      <c r="K1604" s="2">
        <v>2.4173611111111111E-2</v>
      </c>
      <c r="M1604" s="4" t="str">
        <f t="shared" si="75"/>
        <v>LOW</v>
      </c>
      <c r="N1604" s="4" t="str" cm="1">
        <f t="array" ref="N1604">_xlfn.IFS(C1604&gt;35,"HIGH",C1604&gt;25,"MIDDLE",TRUE,"LOW")</f>
        <v>MIDDLE</v>
      </c>
      <c r="O1604" s="4" t="str">
        <f t="shared" si="76"/>
        <v>OTHERS</v>
      </c>
      <c r="P1604" s="4" t="str">
        <f t="shared" si="77"/>
        <v>PREMINUM MORNING</v>
      </c>
    </row>
    <row r="1605" spans="1:16" x14ac:dyDescent="0.3">
      <c r="A1605" s="4">
        <v>12</v>
      </c>
      <c r="B1605" t="s">
        <v>11</v>
      </c>
      <c r="C1605" s="4">
        <v>32.82</v>
      </c>
      <c r="D1605" t="s">
        <v>12</v>
      </c>
      <c r="E1605" t="s">
        <v>17</v>
      </c>
      <c r="F1605" s="4" t="s">
        <v>30</v>
      </c>
      <c r="G1605" s="4" t="s">
        <v>36</v>
      </c>
      <c r="H1605" s="4">
        <v>4</v>
      </c>
      <c r="I1605" s="4">
        <v>9</v>
      </c>
      <c r="J1605" s="1">
        <v>45561</v>
      </c>
      <c r="K1605" s="2">
        <v>3.3349537037037039E-2</v>
      </c>
      <c r="M1605" s="4" t="str">
        <f t="shared" si="75"/>
        <v>LOW</v>
      </c>
      <c r="N1605" s="4" t="str" cm="1">
        <f t="array" ref="N1605">_xlfn.IFS(C1605&gt;35,"HIGH",C1605&gt;25,"MIDDLE",TRUE,"LOW")</f>
        <v>MIDDLE</v>
      </c>
      <c r="O1605" s="4" t="str">
        <f t="shared" si="76"/>
        <v>OTHERS</v>
      </c>
      <c r="P1605" s="4" t="str">
        <f t="shared" si="77"/>
        <v>OTHERS</v>
      </c>
    </row>
    <row r="1606" spans="1:16" x14ac:dyDescent="0.3">
      <c r="A1606" s="4">
        <v>18</v>
      </c>
      <c r="B1606" t="s">
        <v>11</v>
      </c>
      <c r="C1606" s="4">
        <v>32.82</v>
      </c>
      <c r="D1606" t="s">
        <v>12</v>
      </c>
      <c r="E1606" t="s">
        <v>20</v>
      </c>
      <c r="F1606" s="4" t="s">
        <v>30</v>
      </c>
      <c r="G1606" s="4" t="s">
        <v>36</v>
      </c>
      <c r="H1606" s="4">
        <v>4</v>
      </c>
      <c r="I1606" s="4">
        <v>9</v>
      </c>
      <c r="J1606" s="1">
        <v>45561</v>
      </c>
      <c r="K1606" s="2">
        <v>1.5228009259259261E-2</v>
      </c>
      <c r="M1606" s="4" t="str">
        <f t="shared" si="75"/>
        <v>LOW</v>
      </c>
      <c r="N1606" s="4" t="str" cm="1">
        <f t="array" ref="N1606">_xlfn.IFS(C1606&gt;35,"HIGH",C1606&gt;25,"MIDDLE",TRUE,"LOW")</f>
        <v>MIDDLE</v>
      </c>
      <c r="O1606" s="4" t="str">
        <f t="shared" si="76"/>
        <v>OTHERS</v>
      </c>
      <c r="P1606" s="4" t="str">
        <f t="shared" si="77"/>
        <v>OTHERS</v>
      </c>
    </row>
    <row r="1607" spans="1:16" x14ac:dyDescent="0.3">
      <c r="A1607" s="4">
        <v>22</v>
      </c>
      <c r="B1607" t="s">
        <v>11</v>
      </c>
      <c r="C1607" s="4">
        <v>32.82</v>
      </c>
      <c r="D1607" t="s">
        <v>12</v>
      </c>
      <c r="E1607" t="s">
        <v>20</v>
      </c>
      <c r="F1607" s="4" t="s">
        <v>30</v>
      </c>
      <c r="G1607" s="4" t="s">
        <v>36</v>
      </c>
      <c r="H1607" s="4">
        <v>4</v>
      </c>
      <c r="I1607" s="4">
        <v>9</v>
      </c>
      <c r="J1607" s="1">
        <v>45561</v>
      </c>
      <c r="K1607" s="2">
        <v>3.1424768518518519E-2</v>
      </c>
      <c r="M1607" s="4" t="str">
        <f t="shared" si="75"/>
        <v>LOW</v>
      </c>
      <c r="N1607" s="4" t="str" cm="1">
        <f t="array" ref="N1607">_xlfn.IFS(C1607&gt;35,"HIGH",C1607&gt;25,"MIDDLE",TRUE,"LOW")</f>
        <v>MIDDLE</v>
      </c>
      <c r="O1607" s="4" t="str">
        <f t="shared" si="76"/>
        <v>OTHERS</v>
      </c>
      <c r="P1607" s="4" t="str">
        <f t="shared" si="77"/>
        <v>OTHERS</v>
      </c>
    </row>
    <row r="1608" spans="1:16" x14ac:dyDescent="0.3">
      <c r="A1608" s="4">
        <v>22</v>
      </c>
      <c r="B1608" t="s">
        <v>11</v>
      </c>
      <c r="C1608" s="4">
        <v>23.02</v>
      </c>
      <c r="D1608" t="s">
        <v>24</v>
      </c>
      <c r="E1608" t="s">
        <v>20</v>
      </c>
      <c r="F1608" s="4" t="s">
        <v>30</v>
      </c>
      <c r="G1608" s="4" t="s">
        <v>36</v>
      </c>
      <c r="H1608" s="4">
        <v>4</v>
      </c>
      <c r="I1608" s="4">
        <v>9</v>
      </c>
      <c r="J1608" s="1">
        <v>45561</v>
      </c>
      <c r="K1608" s="2">
        <v>3.2148148148148148E-2</v>
      </c>
      <c r="M1608" s="4" t="str">
        <f t="shared" si="75"/>
        <v>LOW</v>
      </c>
      <c r="N1608" s="4" t="str" cm="1">
        <f t="array" ref="N1608">_xlfn.IFS(C1608&gt;35,"HIGH",C1608&gt;25,"MIDDLE",TRUE,"LOW")</f>
        <v>LOW</v>
      </c>
      <c r="O1608" s="4" t="str">
        <f t="shared" si="76"/>
        <v>OTHERS</v>
      </c>
      <c r="P1608" s="4" t="str">
        <f t="shared" si="77"/>
        <v>OTHERS</v>
      </c>
    </row>
    <row r="1609" spans="1:16" x14ac:dyDescent="0.3">
      <c r="A1609" s="4">
        <v>22</v>
      </c>
      <c r="B1609" t="s">
        <v>11</v>
      </c>
      <c r="C1609" s="4">
        <v>27.92</v>
      </c>
      <c r="D1609" t="s">
        <v>19</v>
      </c>
      <c r="E1609" t="s">
        <v>20</v>
      </c>
      <c r="F1609" s="4" t="s">
        <v>30</v>
      </c>
      <c r="G1609" s="4" t="s">
        <v>36</v>
      </c>
      <c r="H1609" s="4">
        <v>4</v>
      </c>
      <c r="I1609" s="4">
        <v>9</v>
      </c>
      <c r="J1609" s="1">
        <v>45561</v>
      </c>
      <c r="K1609" s="2">
        <v>3.2927083333333336E-2</v>
      </c>
      <c r="M1609" s="4" t="str">
        <f t="shared" si="75"/>
        <v>LOW</v>
      </c>
      <c r="N1609" s="4" t="str" cm="1">
        <f t="array" ref="N1609">_xlfn.IFS(C1609&gt;35,"HIGH",C1609&gt;25,"MIDDLE",TRUE,"LOW")</f>
        <v>MIDDLE</v>
      </c>
      <c r="O1609" s="4" t="str">
        <f t="shared" si="76"/>
        <v>OTHERS</v>
      </c>
      <c r="P1609" s="4" t="str">
        <f t="shared" si="77"/>
        <v>OTHERS</v>
      </c>
    </row>
    <row r="1610" spans="1:16" x14ac:dyDescent="0.3">
      <c r="A1610" s="4">
        <v>9</v>
      </c>
      <c r="B1610" t="s">
        <v>11</v>
      </c>
      <c r="C1610" s="4">
        <v>27.92</v>
      </c>
      <c r="D1610" t="s">
        <v>19</v>
      </c>
      <c r="E1610" t="s">
        <v>13</v>
      </c>
      <c r="F1610" s="4" t="s">
        <v>14</v>
      </c>
      <c r="G1610" s="4" t="s">
        <v>36</v>
      </c>
      <c r="H1610" s="4">
        <v>5</v>
      </c>
      <c r="I1610" s="4">
        <v>9</v>
      </c>
      <c r="J1610" s="1">
        <v>45562</v>
      </c>
      <c r="K1610" s="2">
        <v>2.0666666666666667E-2</v>
      </c>
      <c r="M1610" s="4" t="str">
        <f t="shared" si="75"/>
        <v>LOW</v>
      </c>
      <c r="N1610" s="4" t="str" cm="1">
        <f t="array" ref="N1610">_xlfn.IFS(C1610&gt;35,"HIGH",C1610&gt;25,"MIDDLE",TRUE,"LOW")</f>
        <v>MIDDLE</v>
      </c>
      <c r="O1610" s="4" t="str">
        <f t="shared" si="76"/>
        <v>OTHERS</v>
      </c>
      <c r="P1610" s="4" t="str">
        <f t="shared" si="77"/>
        <v>PREMINUM MORNING</v>
      </c>
    </row>
    <row r="1611" spans="1:16" x14ac:dyDescent="0.3">
      <c r="A1611" s="4">
        <v>9</v>
      </c>
      <c r="B1611" t="s">
        <v>11</v>
      </c>
      <c r="C1611" s="4">
        <v>23.02</v>
      </c>
      <c r="D1611" t="s">
        <v>24</v>
      </c>
      <c r="E1611" t="s">
        <v>13</v>
      </c>
      <c r="F1611" s="4" t="s">
        <v>14</v>
      </c>
      <c r="G1611" s="4" t="s">
        <v>36</v>
      </c>
      <c r="H1611" s="4">
        <v>5</v>
      </c>
      <c r="I1611" s="4">
        <v>9</v>
      </c>
      <c r="J1611" s="1">
        <v>45562</v>
      </c>
      <c r="K1611" s="2">
        <v>2.3425925925925926E-2</v>
      </c>
      <c r="M1611" s="4" t="str">
        <f t="shared" si="75"/>
        <v>LOW</v>
      </c>
      <c r="N1611" s="4" t="str" cm="1">
        <f t="array" ref="N1611">_xlfn.IFS(C1611&gt;35,"HIGH",C1611&gt;25,"MIDDLE",TRUE,"LOW")</f>
        <v>LOW</v>
      </c>
      <c r="O1611" s="4" t="str">
        <f t="shared" si="76"/>
        <v>OTHERS</v>
      </c>
      <c r="P1611" s="4" t="str">
        <f t="shared" si="77"/>
        <v>PREMINUM MORNING</v>
      </c>
    </row>
    <row r="1612" spans="1:16" x14ac:dyDescent="0.3">
      <c r="A1612" s="4">
        <v>9</v>
      </c>
      <c r="B1612" t="s">
        <v>11</v>
      </c>
      <c r="C1612" s="4">
        <v>32.82</v>
      </c>
      <c r="D1612" t="s">
        <v>29</v>
      </c>
      <c r="E1612" t="s">
        <v>13</v>
      </c>
      <c r="F1612" s="4" t="s">
        <v>14</v>
      </c>
      <c r="G1612" s="4" t="s">
        <v>36</v>
      </c>
      <c r="H1612" s="4">
        <v>5</v>
      </c>
      <c r="I1612" s="4">
        <v>9</v>
      </c>
      <c r="J1612" s="1">
        <v>45562</v>
      </c>
      <c r="K1612" s="2">
        <v>2.8526620370370369E-2</v>
      </c>
      <c r="M1612" s="4" t="str">
        <f t="shared" si="75"/>
        <v>LOW</v>
      </c>
      <c r="N1612" s="4" t="str" cm="1">
        <f t="array" ref="N1612">_xlfn.IFS(C1612&gt;35,"HIGH",C1612&gt;25,"MIDDLE",TRUE,"LOW")</f>
        <v>MIDDLE</v>
      </c>
      <c r="O1612" s="4" t="str">
        <f t="shared" si="76"/>
        <v>OTHERS</v>
      </c>
      <c r="P1612" s="4" t="str">
        <f t="shared" si="77"/>
        <v>PREMINUM MORNING</v>
      </c>
    </row>
    <row r="1613" spans="1:16" x14ac:dyDescent="0.3">
      <c r="A1613" s="4">
        <v>10</v>
      </c>
      <c r="B1613" t="s">
        <v>11</v>
      </c>
      <c r="C1613" s="4">
        <v>27.92</v>
      </c>
      <c r="D1613" t="s">
        <v>19</v>
      </c>
      <c r="E1613" t="s">
        <v>13</v>
      </c>
      <c r="F1613" s="4" t="s">
        <v>14</v>
      </c>
      <c r="G1613" s="4" t="s">
        <v>36</v>
      </c>
      <c r="H1613" s="4">
        <v>5</v>
      </c>
      <c r="I1613" s="4">
        <v>9</v>
      </c>
      <c r="J1613" s="1">
        <v>45562</v>
      </c>
      <c r="K1613" s="2">
        <v>3.2599537037037038E-2</v>
      </c>
      <c r="M1613" s="4" t="str">
        <f t="shared" si="75"/>
        <v>LOW</v>
      </c>
      <c r="N1613" s="4" t="str" cm="1">
        <f t="array" ref="N1613">_xlfn.IFS(C1613&gt;35,"HIGH",C1613&gt;25,"MIDDLE",TRUE,"LOW")</f>
        <v>MIDDLE</v>
      </c>
      <c r="O1613" s="4" t="str">
        <f t="shared" si="76"/>
        <v>OTHERS</v>
      </c>
      <c r="P1613" s="4" t="str">
        <f t="shared" si="77"/>
        <v>PREMINUM MORNING</v>
      </c>
    </row>
    <row r="1614" spans="1:16" x14ac:dyDescent="0.3">
      <c r="A1614" s="4">
        <v>11</v>
      </c>
      <c r="B1614" t="s">
        <v>11</v>
      </c>
      <c r="C1614" s="4">
        <v>27.92</v>
      </c>
      <c r="D1614" t="s">
        <v>19</v>
      </c>
      <c r="E1614" t="s">
        <v>13</v>
      </c>
      <c r="F1614" s="4" t="s">
        <v>14</v>
      </c>
      <c r="G1614" s="4" t="s">
        <v>36</v>
      </c>
      <c r="H1614" s="4">
        <v>5</v>
      </c>
      <c r="I1614" s="4">
        <v>9</v>
      </c>
      <c r="J1614" s="1">
        <v>45562</v>
      </c>
      <c r="K1614" s="2">
        <v>2.430902777777778E-2</v>
      </c>
      <c r="M1614" s="4" t="str">
        <f t="shared" si="75"/>
        <v>LOW</v>
      </c>
      <c r="N1614" s="4" t="str" cm="1">
        <f t="array" ref="N1614">_xlfn.IFS(C1614&gt;35,"HIGH",C1614&gt;25,"MIDDLE",TRUE,"LOW")</f>
        <v>MIDDLE</v>
      </c>
      <c r="O1614" s="4" t="str">
        <f t="shared" si="76"/>
        <v>OTHERS</v>
      </c>
      <c r="P1614" s="4" t="str">
        <f t="shared" si="77"/>
        <v>PREMINUM MORNING</v>
      </c>
    </row>
    <row r="1615" spans="1:16" x14ac:dyDescent="0.3">
      <c r="A1615" s="4">
        <v>13</v>
      </c>
      <c r="B1615" t="s">
        <v>11</v>
      </c>
      <c r="C1615" s="4">
        <v>32.82</v>
      </c>
      <c r="D1615" t="s">
        <v>29</v>
      </c>
      <c r="E1615" t="s">
        <v>17</v>
      </c>
      <c r="F1615" s="4" t="s">
        <v>14</v>
      </c>
      <c r="G1615" s="4" t="s">
        <v>36</v>
      </c>
      <c r="H1615" s="4">
        <v>5</v>
      </c>
      <c r="I1615" s="4">
        <v>9</v>
      </c>
      <c r="J1615" s="1">
        <v>45562</v>
      </c>
      <c r="K1615" s="2">
        <v>1.4248842592592591E-2</v>
      </c>
      <c r="M1615" s="4" t="str">
        <f t="shared" si="75"/>
        <v>LOW</v>
      </c>
      <c r="N1615" s="4" t="str" cm="1">
        <f t="array" ref="N1615">_xlfn.IFS(C1615&gt;35,"HIGH",C1615&gt;25,"MIDDLE",TRUE,"LOW")</f>
        <v>MIDDLE</v>
      </c>
      <c r="O1615" s="4" t="str">
        <f t="shared" si="76"/>
        <v>OTHERS</v>
      </c>
      <c r="P1615" s="4" t="str">
        <f t="shared" si="77"/>
        <v>OTHERS</v>
      </c>
    </row>
    <row r="1616" spans="1:16" x14ac:dyDescent="0.3">
      <c r="A1616" s="4">
        <v>13</v>
      </c>
      <c r="B1616" t="s">
        <v>11</v>
      </c>
      <c r="C1616" s="4">
        <v>32.82</v>
      </c>
      <c r="D1616" t="s">
        <v>29</v>
      </c>
      <c r="E1616" t="s">
        <v>17</v>
      </c>
      <c r="F1616" s="4" t="s">
        <v>14</v>
      </c>
      <c r="G1616" s="4" t="s">
        <v>36</v>
      </c>
      <c r="H1616" s="4">
        <v>5</v>
      </c>
      <c r="I1616" s="4">
        <v>9</v>
      </c>
      <c r="J1616" s="1">
        <v>45562</v>
      </c>
      <c r="K1616" s="2">
        <v>1.7422453703703704E-2</v>
      </c>
      <c r="M1616" s="4" t="str">
        <f t="shared" si="75"/>
        <v>LOW</v>
      </c>
      <c r="N1616" s="4" t="str" cm="1">
        <f t="array" ref="N1616">_xlfn.IFS(C1616&gt;35,"HIGH",C1616&gt;25,"MIDDLE",TRUE,"LOW")</f>
        <v>MIDDLE</v>
      </c>
      <c r="O1616" s="4" t="str">
        <f t="shared" si="76"/>
        <v>OTHERS</v>
      </c>
      <c r="P1616" s="4" t="str">
        <f t="shared" si="77"/>
        <v>OTHERS</v>
      </c>
    </row>
    <row r="1617" spans="1:16" x14ac:dyDescent="0.3">
      <c r="A1617" s="4">
        <v>13</v>
      </c>
      <c r="B1617" t="s">
        <v>11</v>
      </c>
      <c r="C1617" s="4">
        <v>23.02</v>
      </c>
      <c r="D1617" t="s">
        <v>18</v>
      </c>
      <c r="E1617" t="s">
        <v>17</v>
      </c>
      <c r="F1617" s="4" t="s">
        <v>14</v>
      </c>
      <c r="G1617" s="4" t="s">
        <v>36</v>
      </c>
      <c r="H1617" s="4">
        <v>5</v>
      </c>
      <c r="I1617" s="4">
        <v>9</v>
      </c>
      <c r="J1617" s="1">
        <v>45562</v>
      </c>
      <c r="K1617" s="2">
        <v>1.9827546296296295E-2</v>
      </c>
      <c r="M1617" s="4" t="str">
        <f t="shared" si="75"/>
        <v>LOW</v>
      </c>
      <c r="N1617" s="4" t="str" cm="1">
        <f t="array" ref="N1617">_xlfn.IFS(C1617&gt;35,"HIGH",C1617&gt;25,"MIDDLE",TRUE,"LOW")</f>
        <v>LOW</v>
      </c>
      <c r="O1617" s="4" t="str">
        <f t="shared" si="76"/>
        <v>OTHERS</v>
      </c>
      <c r="P1617" s="4" t="str">
        <f t="shared" si="77"/>
        <v>OTHERS</v>
      </c>
    </row>
    <row r="1618" spans="1:16" x14ac:dyDescent="0.3">
      <c r="A1618" s="4">
        <v>13</v>
      </c>
      <c r="B1618" t="s">
        <v>11</v>
      </c>
      <c r="C1618" s="4">
        <v>27.92</v>
      </c>
      <c r="D1618" t="s">
        <v>19</v>
      </c>
      <c r="E1618" t="s">
        <v>17</v>
      </c>
      <c r="F1618" s="4" t="s">
        <v>14</v>
      </c>
      <c r="G1618" s="4" t="s">
        <v>36</v>
      </c>
      <c r="H1618" s="4">
        <v>5</v>
      </c>
      <c r="I1618" s="4">
        <v>9</v>
      </c>
      <c r="J1618" s="1">
        <v>45562</v>
      </c>
      <c r="K1618" s="2">
        <v>2.3524305555555555E-2</v>
      </c>
      <c r="M1618" s="4" t="str">
        <f t="shared" si="75"/>
        <v>LOW</v>
      </c>
      <c r="N1618" s="4" t="str" cm="1">
        <f t="array" ref="N1618">_xlfn.IFS(C1618&gt;35,"HIGH",C1618&gt;25,"MIDDLE",TRUE,"LOW")</f>
        <v>MIDDLE</v>
      </c>
      <c r="O1618" s="4" t="str">
        <f t="shared" si="76"/>
        <v>OTHERS</v>
      </c>
      <c r="P1618" s="4" t="str">
        <f t="shared" si="77"/>
        <v>OTHERS</v>
      </c>
    </row>
    <row r="1619" spans="1:16" x14ac:dyDescent="0.3">
      <c r="A1619" s="4">
        <v>18</v>
      </c>
      <c r="B1619" t="s">
        <v>11</v>
      </c>
      <c r="C1619" s="4">
        <v>32.82</v>
      </c>
      <c r="D1619" t="s">
        <v>12</v>
      </c>
      <c r="E1619" t="s">
        <v>20</v>
      </c>
      <c r="F1619" s="4" t="s">
        <v>14</v>
      </c>
      <c r="G1619" s="4" t="s">
        <v>36</v>
      </c>
      <c r="H1619" s="4">
        <v>5</v>
      </c>
      <c r="I1619" s="4">
        <v>9</v>
      </c>
      <c r="J1619" s="1">
        <v>45562</v>
      </c>
      <c r="K1619" s="2">
        <v>5.3668981481481484E-3</v>
      </c>
      <c r="M1619" s="4" t="str">
        <f t="shared" si="75"/>
        <v>LOW</v>
      </c>
      <c r="N1619" s="4" t="str" cm="1">
        <f t="array" ref="N1619">_xlfn.IFS(C1619&gt;35,"HIGH",C1619&gt;25,"MIDDLE",TRUE,"LOW")</f>
        <v>MIDDLE</v>
      </c>
      <c r="O1619" s="4" t="str">
        <f t="shared" si="76"/>
        <v>OTHERS</v>
      </c>
      <c r="P1619" s="4" t="str">
        <f t="shared" si="77"/>
        <v>OTHERS</v>
      </c>
    </row>
    <row r="1620" spans="1:16" x14ac:dyDescent="0.3">
      <c r="A1620" s="4">
        <v>18</v>
      </c>
      <c r="B1620" t="s">
        <v>11</v>
      </c>
      <c r="C1620" s="4">
        <v>32.82</v>
      </c>
      <c r="D1620" t="s">
        <v>12</v>
      </c>
      <c r="E1620" t="s">
        <v>20</v>
      </c>
      <c r="F1620" s="4" t="s">
        <v>14</v>
      </c>
      <c r="G1620" s="4" t="s">
        <v>36</v>
      </c>
      <c r="H1620" s="4">
        <v>5</v>
      </c>
      <c r="I1620" s="4">
        <v>9</v>
      </c>
      <c r="J1620" s="1">
        <v>45562</v>
      </c>
      <c r="K1620" s="2">
        <v>6.2291666666666676E-3</v>
      </c>
      <c r="M1620" s="4" t="str">
        <f t="shared" si="75"/>
        <v>LOW</v>
      </c>
      <c r="N1620" s="4" t="str" cm="1">
        <f t="array" ref="N1620">_xlfn.IFS(C1620&gt;35,"HIGH",C1620&gt;25,"MIDDLE",TRUE,"LOW")</f>
        <v>MIDDLE</v>
      </c>
      <c r="O1620" s="4" t="str">
        <f t="shared" si="76"/>
        <v>OTHERS</v>
      </c>
      <c r="P1620" s="4" t="str">
        <f t="shared" si="77"/>
        <v>OTHERS</v>
      </c>
    </row>
    <row r="1621" spans="1:16" x14ac:dyDescent="0.3">
      <c r="A1621" s="4">
        <v>18</v>
      </c>
      <c r="B1621" t="s">
        <v>11</v>
      </c>
      <c r="C1621" s="4">
        <v>32.82</v>
      </c>
      <c r="D1621" t="s">
        <v>29</v>
      </c>
      <c r="E1621" t="s">
        <v>20</v>
      </c>
      <c r="F1621" s="4" t="s">
        <v>14</v>
      </c>
      <c r="G1621" s="4" t="s">
        <v>36</v>
      </c>
      <c r="H1621" s="4">
        <v>5</v>
      </c>
      <c r="I1621" s="4">
        <v>9</v>
      </c>
      <c r="J1621" s="1">
        <v>45562</v>
      </c>
      <c r="K1621" s="2">
        <v>2.6225694444444444E-2</v>
      </c>
      <c r="M1621" s="4" t="str">
        <f t="shared" si="75"/>
        <v>LOW</v>
      </c>
      <c r="N1621" s="4" t="str" cm="1">
        <f t="array" ref="N1621">_xlfn.IFS(C1621&gt;35,"HIGH",C1621&gt;25,"MIDDLE",TRUE,"LOW")</f>
        <v>MIDDLE</v>
      </c>
      <c r="O1621" s="4" t="str">
        <f t="shared" si="76"/>
        <v>OTHERS</v>
      </c>
      <c r="P1621" s="4" t="str">
        <f t="shared" si="77"/>
        <v>OTHERS</v>
      </c>
    </row>
    <row r="1622" spans="1:16" x14ac:dyDescent="0.3">
      <c r="A1622" s="4">
        <v>18</v>
      </c>
      <c r="B1622" t="s">
        <v>11</v>
      </c>
      <c r="C1622" s="4">
        <v>32.82</v>
      </c>
      <c r="D1622" t="s">
        <v>29</v>
      </c>
      <c r="E1622" t="s">
        <v>20</v>
      </c>
      <c r="F1622" s="4" t="s">
        <v>14</v>
      </c>
      <c r="G1622" s="4" t="s">
        <v>36</v>
      </c>
      <c r="H1622" s="4">
        <v>5</v>
      </c>
      <c r="I1622" s="4">
        <v>9</v>
      </c>
      <c r="J1622" s="1">
        <v>45562</v>
      </c>
      <c r="K1622" s="2">
        <v>2.8400462962962964E-2</v>
      </c>
      <c r="M1622" s="4" t="str">
        <f t="shared" si="75"/>
        <v>LOW</v>
      </c>
      <c r="N1622" s="4" t="str" cm="1">
        <f t="array" ref="N1622">_xlfn.IFS(C1622&gt;35,"HIGH",C1622&gt;25,"MIDDLE",TRUE,"LOW")</f>
        <v>MIDDLE</v>
      </c>
      <c r="O1622" s="4" t="str">
        <f t="shared" si="76"/>
        <v>OTHERS</v>
      </c>
      <c r="P1622" s="4" t="str">
        <f t="shared" si="77"/>
        <v>OTHERS</v>
      </c>
    </row>
    <row r="1623" spans="1:16" x14ac:dyDescent="0.3">
      <c r="A1623" s="4">
        <v>20</v>
      </c>
      <c r="B1623" t="s">
        <v>11</v>
      </c>
      <c r="C1623" s="4">
        <v>32.82</v>
      </c>
      <c r="D1623" t="s">
        <v>29</v>
      </c>
      <c r="E1623" t="s">
        <v>20</v>
      </c>
      <c r="F1623" s="4" t="s">
        <v>14</v>
      </c>
      <c r="G1623" s="4" t="s">
        <v>36</v>
      </c>
      <c r="H1623" s="4">
        <v>5</v>
      </c>
      <c r="I1623" s="4">
        <v>9</v>
      </c>
      <c r="J1623" s="1">
        <v>45562</v>
      </c>
      <c r="K1623" s="2">
        <v>1.2653935185185185E-2</v>
      </c>
      <c r="M1623" s="4" t="str">
        <f t="shared" si="75"/>
        <v>LOW</v>
      </c>
      <c r="N1623" s="4" t="str" cm="1">
        <f t="array" ref="N1623">_xlfn.IFS(C1623&gt;35,"HIGH",C1623&gt;25,"MIDDLE",TRUE,"LOW")</f>
        <v>MIDDLE</v>
      </c>
      <c r="O1623" s="4" t="str">
        <f t="shared" si="76"/>
        <v>OTHERS</v>
      </c>
      <c r="P1623" s="4" t="str">
        <f t="shared" si="77"/>
        <v>OTHERS</v>
      </c>
    </row>
    <row r="1624" spans="1:16" x14ac:dyDescent="0.3">
      <c r="A1624" s="4">
        <v>20</v>
      </c>
      <c r="B1624" t="s">
        <v>11</v>
      </c>
      <c r="C1624" s="4">
        <v>32.82</v>
      </c>
      <c r="D1624" t="s">
        <v>29</v>
      </c>
      <c r="E1624" t="s">
        <v>20</v>
      </c>
      <c r="F1624" s="4" t="s">
        <v>14</v>
      </c>
      <c r="G1624" s="4" t="s">
        <v>36</v>
      </c>
      <c r="H1624" s="4">
        <v>5</v>
      </c>
      <c r="I1624" s="4">
        <v>9</v>
      </c>
      <c r="J1624" s="1">
        <v>45562</v>
      </c>
      <c r="K1624" s="2">
        <v>1.3359953703703704E-2</v>
      </c>
      <c r="M1624" s="4" t="str">
        <f t="shared" si="75"/>
        <v>LOW</v>
      </c>
      <c r="N1624" s="4" t="str" cm="1">
        <f t="array" ref="N1624">_xlfn.IFS(C1624&gt;35,"HIGH",C1624&gt;25,"MIDDLE",TRUE,"LOW")</f>
        <v>MIDDLE</v>
      </c>
      <c r="O1624" s="4" t="str">
        <f t="shared" si="76"/>
        <v>OTHERS</v>
      </c>
      <c r="P1624" s="4" t="str">
        <f t="shared" si="77"/>
        <v>OTHERS</v>
      </c>
    </row>
    <row r="1625" spans="1:16" x14ac:dyDescent="0.3">
      <c r="A1625" s="4">
        <v>20</v>
      </c>
      <c r="B1625" t="s">
        <v>11</v>
      </c>
      <c r="C1625" s="4">
        <v>27.92</v>
      </c>
      <c r="D1625" t="s">
        <v>19</v>
      </c>
      <c r="E1625" t="s">
        <v>20</v>
      </c>
      <c r="F1625" s="4" t="s">
        <v>14</v>
      </c>
      <c r="G1625" s="4" t="s">
        <v>36</v>
      </c>
      <c r="H1625" s="4">
        <v>5</v>
      </c>
      <c r="I1625" s="4">
        <v>9</v>
      </c>
      <c r="J1625" s="1">
        <v>45562</v>
      </c>
      <c r="K1625" s="2">
        <v>4.0451388888888891E-2</v>
      </c>
      <c r="M1625" s="4" t="str">
        <f t="shared" si="75"/>
        <v>LOW</v>
      </c>
      <c r="N1625" s="4" t="str" cm="1">
        <f t="array" ref="N1625">_xlfn.IFS(C1625&gt;35,"HIGH",C1625&gt;25,"MIDDLE",TRUE,"LOW")</f>
        <v>MIDDLE</v>
      </c>
      <c r="O1625" s="4" t="str">
        <f t="shared" si="76"/>
        <v>OTHERS</v>
      </c>
      <c r="P1625" s="4" t="str">
        <f t="shared" si="77"/>
        <v>OTHERS</v>
      </c>
    </row>
    <row r="1626" spans="1:16" x14ac:dyDescent="0.3">
      <c r="A1626" s="4">
        <v>8</v>
      </c>
      <c r="B1626" t="s">
        <v>11</v>
      </c>
      <c r="C1626" s="4">
        <v>27.92</v>
      </c>
      <c r="D1626" t="s">
        <v>19</v>
      </c>
      <c r="E1626" t="s">
        <v>13</v>
      </c>
      <c r="F1626" s="4" t="s">
        <v>22</v>
      </c>
      <c r="G1626" s="4" t="s">
        <v>36</v>
      </c>
      <c r="H1626" s="4">
        <v>6</v>
      </c>
      <c r="I1626" s="4">
        <v>9</v>
      </c>
      <c r="J1626" s="1">
        <v>45563</v>
      </c>
      <c r="K1626" s="2">
        <v>4.6932870370370366E-3</v>
      </c>
      <c r="M1626" s="4" t="str">
        <f t="shared" si="75"/>
        <v>LOW</v>
      </c>
      <c r="N1626" s="4" t="str" cm="1">
        <f t="array" ref="N1626">_xlfn.IFS(C1626&gt;35,"HIGH",C1626&gt;25,"MIDDLE",TRUE,"LOW")</f>
        <v>MIDDLE</v>
      </c>
      <c r="O1626" s="4" t="str">
        <f t="shared" si="76"/>
        <v>OTHERS</v>
      </c>
      <c r="P1626" s="4" t="str">
        <f t="shared" si="77"/>
        <v>PREMINUM MORNING</v>
      </c>
    </row>
    <row r="1627" spans="1:16" x14ac:dyDescent="0.3">
      <c r="A1627" s="4">
        <v>9</v>
      </c>
      <c r="B1627" t="s">
        <v>11</v>
      </c>
      <c r="C1627" s="4">
        <v>27.92</v>
      </c>
      <c r="D1627" t="s">
        <v>19</v>
      </c>
      <c r="E1627" t="s">
        <v>13</v>
      </c>
      <c r="F1627" s="4" t="s">
        <v>22</v>
      </c>
      <c r="G1627" s="4" t="s">
        <v>36</v>
      </c>
      <c r="H1627" s="4">
        <v>6</v>
      </c>
      <c r="I1627" s="4">
        <v>9</v>
      </c>
      <c r="J1627" s="1">
        <v>45563</v>
      </c>
      <c r="K1627" s="2">
        <v>2.1699074074074072E-2</v>
      </c>
      <c r="M1627" s="4" t="str">
        <f t="shared" si="75"/>
        <v>LOW</v>
      </c>
      <c r="N1627" s="4" t="str" cm="1">
        <f t="array" ref="N1627">_xlfn.IFS(C1627&gt;35,"HIGH",C1627&gt;25,"MIDDLE",TRUE,"LOW")</f>
        <v>MIDDLE</v>
      </c>
      <c r="O1627" s="4" t="str">
        <f t="shared" si="76"/>
        <v>OTHERS</v>
      </c>
      <c r="P1627" s="4" t="str">
        <f t="shared" si="77"/>
        <v>PREMINUM MORNING</v>
      </c>
    </row>
    <row r="1628" spans="1:16" x14ac:dyDescent="0.3">
      <c r="A1628" s="4">
        <v>14</v>
      </c>
      <c r="B1628" t="s">
        <v>11</v>
      </c>
      <c r="C1628" s="4">
        <v>35.76</v>
      </c>
      <c r="D1628" t="s">
        <v>12</v>
      </c>
      <c r="E1628" t="s">
        <v>17</v>
      </c>
      <c r="F1628" s="4" t="s">
        <v>22</v>
      </c>
      <c r="G1628" s="4" t="s">
        <v>36</v>
      </c>
      <c r="H1628" s="4">
        <v>6</v>
      </c>
      <c r="I1628" s="4">
        <v>9</v>
      </c>
      <c r="J1628" s="1">
        <v>45563</v>
      </c>
      <c r="K1628" s="2">
        <v>1.7908564814814815E-2</v>
      </c>
      <c r="M1628" s="4" t="str">
        <f t="shared" si="75"/>
        <v>HIGH</v>
      </c>
      <c r="N1628" s="4" t="str" cm="1">
        <f t="array" ref="N1628">_xlfn.IFS(C1628&gt;35,"HIGH",C1628&gt;25,"MIDDLE",TRUE,"LOW")</f>
        <v>HIGH</v>
      </c>
      <c r="O1628" s="4" t="str">
        <f t="shared" si="76"/>
        <v>OTHERS</v>
      </c>
      <c r="P1628" s="4" t="str">
        <f t="shared" si="77"/>
        <v>PREMINUM MORNING</v>
      </c>
    </row>
    <row r="1629" spans="1:16" x14ac:dyDescent="0.3">
      <c r="A1629" s="4">
        <v>16</v>
      </c>
      <c r="B1629" t="s">
        <v>11</v>
      </c>
      <c r="C1629" s="4">
        <v>35.76</v>
      </c>
      <c r="D1629" t="s">
        <v>12</v>
      </c>
      <c r="E1629" t="s">
        <v>17</v>
      </c>
      <c r="F1629" s="4" t="s">
        <v>22</v>
      </c>
      <c r="G1629" s="4" t="s">
        <v>36</v>
      </c>
      <c r="H1629" s="4">
        <v>6</v>
      </c>
      <c r="I1629" s="4">
        <v>9</v>
      </c>
      <c r="J1629" s="1">
        <v>45563</v>
      </c>
      <c r="K1629" s="2">
        <v>3.9815972222222218E-2</v>
      </c>
      <c r="M1629" s="4" t="str">
        <f t="shared" si="75"/>
        <v>HIGH</v>
      </c>
      <c r="N1629" s="4" t="str" cm="1">
        <f t="array" ref="N1629">_xlfn.IFS(C1629&gt;35,"HIGH",C1629&gt;25,"MIDDLE",TRUE,"LOW")</f>
        <v>HIGH</v>
      </c>
      <c r="O1629" s="4" t="str">
        <f t="shared" si="76"/>
        <v>OTHERS</v>
      </c>
      <c r="P1629" s="4" t="str">
        <f t="shared" si="77"/>
        <v>PREMINUM MORNING</v>
      </c>
    </row>
    <row r="1630" spans="1:16" x14ac:dyDescent="0.3">
      <c r="A1630" s="4">
        <v>17</v>
      </c>
      <c r="B1630" t="s">
        <v>11</v>
      </c>
      <c r="C1630" s="4">
        <v>30.86</v>
      </c>
      <c r="D1630" t="s">
        <v>19</v>
      </c>
      <c r="E1630" t="s">
        <v>20</v>
      </c>
      <c r="F1630" s="4" t="s">
        <v>22</v>
      </c>
      <c r="G1630" s="4" t="s">
        <v>36</v>
      </c>
      <c r="H1630" s="4">
        <v>6</v>
      </c>
      <c r="I1630" s="4">
        <v>9</v>
      </c>
      <c r="J1630" s="1">
        <v>45563</v>
      </c>
      <c r="K1630" s="2">
        <v>1.8248842592592594E-2</v>
      </c>
      <c r="M1630" s="4" t="str">
        <f t="shared" si="75"/>
        <v>LOW</v>
      </c>
      <c r="N1630" s="4" t="str" cm="1">
        <f t="array" ref="N1630">_xlfn.IFS(C1630&gt;35,"HIGH",C1630&gt;25,"MIDDLE",TRUE,"LOW")</f>
        <v>MIDDLE</v>
      </c>
      <c r="O1630" s="4" t="str">
        <f t="shared" si="76"/>
        <v>OTHERS</v>
      </c>
      <c r="P1630" s="4" t="str">
        <f t="shared" si="77"/>
        <v>OTHERS</v>
      </c>
    </row>
    <row r="1631" spans="1:16" x14ac:dyDescent="0.3">
      <c r="A1631" s="4">
        <v>20</v>
      </c>
      <c r="B1631" t="s">
        <v>11</v>
      </c>
      <c r="C1631" s="4">
        <v>35.76</v>
      </c>
      <c r="D1631" t="s">
        <v>12</v>
      </c>
      <c r="E1631" t="s">
        <v>20</v>
      </c>
      <c r="F1631" s="4" t="s">
        <v>22</v>
      </c>
      <c r="G1631" s="4" t="s">
        <v>36</v>
      </c>
      <c r="H1631" s="4">
        <v>6</v>
      </c>
      <c r="I1631" s="4">
        <v>9</v>
      </c>
      <c r="J1631" s="1">
        <v>45563</v>
      </c>
      <c r="K1631" s="2">
        <v>2.3971064814814813E-2</v>
      </c>
      <c r="M1631" s="4" t="str">
        <f t="shared" si="75"/>
        <v>HIGH</v>
      </c>
      <c r="N1631" s="4" t="str" cm="1">
        <f t="array" ref="N1631">_xlfn.IFS(C1631&gt;35,"HIGH",C1631&gt;25,"MIDDLE",TRUE,"LOW")</f>
        <v>HIGH</v>
      </c>
      <c r="O1631" s="4" t="str">
        <f t="shared" si="76"/>
        <v>OTHERS</v>
      </c>
      <c r="P1631" s="4" t="str">
        <f t="shared" si="77"/>
        <v>PREMINUM MORNING</v>
      </c>
    </row>
    <row r="1632" spans="1:16" x14ac:dyDescent="0.3">
      <c r="A1632" s="4">
        <v>20</v>
      </c>
      <c r="B1632" t="s">
        <v>11</v>
      </c>
      <c r="C1632" s="4">
        <v>35.76</v>
      </c>
      <c r="D1632" t="s">
        <v>12</v>
      </c>
      <c r="E1632" t="s">
        <v>20</v>
      </c>
      <c r="F1632" s="4" t="s">
        <v>22</v>
      </c>
      <c r="G1632" s="4" t="s">
        <v>36</v>
      </c>
      <c r="H1632" s="4">
        <v>6</v>
      </c>
      <c r="I1632" s="4">
        <v>9</v>
      </c>
      <c r="J1632" s="1">
        <v>45563</v>
      </c>
      <c r="K1632" s="2">
        <v>2.6811342592592591E-2</v>
      </c>
      <c r="M1632" s="4" t="str">
        <f t="shared" si="75"/>
        <v>HIGH</v>
      </c>
      <c r="N1632" s="4" t="str" cm="1">
        <f t="array" ref="N1632">_xlfn.IFS(C1632&gt;35,"HIGH",C1632&gt;25,"MIDDLE",TRUE,"LOW")</f>
        <v>HIGH</v>
      </c>
      <c r="O1632" s="4" t="str">
        <f t="shared" si="76"/>
        <v>OTHERS</v>
      </c>
      <c r="P1632" s="4" t="str">
        <f t="shared" si="77"/>
        <v>PREMINUM MORNING</v>
      </c>
    </row>
    <row r="1633" spans="1:16" x14ac:dyDescent="0.3">
      <c r="A1633" s="4">
        <v>22</v>
      </c>
      <c r="B1633" t="s">
        <v>11</v>
      </c>
      <c r="C1633" s="4">
        <v>35.76</v>
      </c>
      <c r="D1633" t="s">
        <v>29</v>
      </c>
      <c r="E1633" t="s">
        <v>20</v>
      </c>
      <c r="F1633" s="4" t="s">
        <v>22</v>
      </c>
      <c r="G1633" s="4" t="s">
        <v>36</v>
      </c>
      <c r="H1633" s="4">
        <v>6</v>
      </c>
      <c r="I1633" s="4">
        <v>9</v>
      </c>
      <c r="J1633" s="1">
        <v>45563</v>
      </c>
      <c r="K1633" s="2">
        <v>1.1537037037037037E-2</v>
      </c>
      <c r="M1633" s="4" t="str">
        <f t="shared" si="75"/>
        <v>HIGH</v>
      </c>
      <c r="N1633" s="4" t="str" cm="1">
        <f t="array" ref="N1633">_xlfn.IFS(C1633&gt;35,"HIGH",C1633&gt;25,"MIDDLE",TRUE,"LOW")</f>
        <v>HIGH</v>
      </c>
      <c r="O1633" s="4" t="str">
        <f t="shared" si="76"/>
        <v>OTHERS</v>
      </c>
      <c r="P1633" s="4" t="str">
        <f t="shared" si="77"/>
        <v>PREMINUM MORNING</v>
      </c>
    </row>
    <row r="1634" spans="1:16" x14ac:dyDescent="0.3">
      <c r="A1634" s="4">
        <v>22</v>
      </c>
      <c r="B1634" t="s">
        <v>11</v>
      </c>
      <c r="C1634" s="4">
        <v>35.76</v>
      </c>
      <c r="D1634" t="s">
        <v>21</v>
      </c>
      <c r="E1634" t="s">
        <v>20</v>
      </c>
      <c r="F1634" s="4" t="s">
        <v>22</v>
      </c>
      <c r="G1634" s="4" t="s">
        <v>36</v>
      </c>
      <c r="H1634" s="4">
        <v>6</v>
      </c>
      <c r="I1634" s="4">
        <v>9</v>
      </c>
      <c r="J1634" s="1">
        <v>45563</v>
      </c>
      <c r="K1634" s="2">
        <v>1.2148148148148148E-2</v>
      </c>
      <c r="M1634" s="4" t="str">
        <f t="shared" si="75"/>
        <v>HIGH</v>
      </c>
      <c r="N1634" s="4" t="str" cm="1">
        <f t="array" ref="N1634">_xlfn.IFS(C1634&gt;35,"HIGH",C1634&gt;25,"MIDDLE",TRUE,"LOW")</f>
        <v>HIGH</v>
      </c>
      <c r="O1634" s="4" t="str">
        <f t="shared" si="76"/>
        <v>OTHERS</v>
      </c>
      <c r="P1634" s="4" t="str">
        <f t="shared" si="77"/>
        <v>PREMINUM MORNING</v>
      </c>
    </row>
    <row r="1635" spans="1:16" x14ac:dyDescent="0.3">
      <c r="A1635" s="4">
        <v>22</v>
      </c>
      <c r="B1635" t="s">
        <v>11</v>
      </c>
      <c r="C1635" s="4">
        <v>25.96</v>
      </c>
      <c r="D1635" t="s">
        <v>24</v>
      </c>
      <c r="E1635" t="s">
        <v>20</v>
      </c>
      <c r="F1635" s="4" t="s">
        <v>22</v>
      </c>
      <c r="G1635" s="4" t="s">
        <v>36</v>
      </c>
      <c r="H1635" s="4">
        <v>6</v>
      </c>
      <c r="I1635" s="4">
        <v>9</v>
      </c>
      <c r="J1635" s="1">
        <v>45563</v>
      </c>
      <c r="K1635" s="2">
        <v>1.2686342592592591E-2</v>
      </c>
      <c r="M1635" s="4" t="str">
        <f t="shared" si="75"/>
        <v>LOW</v>
      </c>
      <c r="N1635" s="4" t="str" cm="1">
        <f t="array" ref="N1635">_xlfn.IFS(C1635&gt;35,"HIGH",C1635&gt;25,"MIDDLE",TRUE,"LOW")</f>
        <v>MIDDLE</v>
      </c>
      <c r="O1635" s="4" t="str">
        <f t="shared" si="76"/>
        <v>OTHERS</v>
      </c>
      <c r="P1635" s="4" t="str">
        <f t="shared" si="77"/>
        <v>OTHERS</v>
      </c>
    </row>
    <row r="1636" spans="1:16" x14ac:dyDescent="0.3">
      <c r="A1636" s="4">
        <v>22</v>
      </c>
      <c r="B1636" t="s">
        <v>11</v>
      </c>
      <c r="C1636" s="4">
        <v>35.76</v>
      </c>
      <c r="D1636" t="s">
        <v>16</v>
      </c>
      <c r="E1636" t="s">
        <v>20</v>
      </c>
      <c r="F1636" s="4" t="s">
        <v>22</v>
      </c>
      <c r="G1636" s="4" t="s">
        <v>36</v>
      </c>
      <c r="H1636" s="4">
        <v>6</v>
      </c>
      <c r="I1636" s="4">
        <v>9</v>
      </c>
      <c r="J1636" s="1">
        <v>45563</v>
      </c>
      <c r="K1636" s="2">
        <v>1.3344907407407408E-2</v>
      </c>
      <c r="M1636" s="4" t="str">
        <f t="shared" si="75"/>
        <v>HIGH</v>
      </c>
      <c r="N1636" s="4" t="str" cm="1">
        <f t="array" ref="N1636">_xlfn.IFS(C1636&gt;35,"HIGH",C1636&gt;25,"MIDDLE",TRUE,"LOW")</f>
        <v>HIGH</v>
      </c>
      <c r="O1636" s="4" t="str">
        <f t="shared" si="76"/>
        <v>OTHERS</v>
      </c>
      <c r="P1636" s="4" t="str">
        <f t="shared" si="77"/>
        <v>PREMINUM MORNING</v>
      </c>
    </row>
    <row r="1637" spans="1:16" x14ac:dyDescent="0.3">
      <c r="A1637" s="4">
        <v>10</v>
      </c>
      <c r="B1637" t="s">
        <v>11</v>
      </c>
      <c r="C1637" s="4">
        <v>25.96</v>
      </c>
      <c r="D1637" t="s">
        <v>18</v>
      </c>
      <c r="E1637" t="s">
        <v>13</v>
      </c>
      <c r="F1637" s="4" t="s">
        <v>23</v>
      </c>
      <c r="G1637" s="4" t="s">
        <v>36</v>
      </c>
      <c r="H1637" s="4">
        <v>7</v>
      </c>
      <c r="I1637" s="4">
        <v>9</v>
      </c>
      <c r="J1637" s="1">
        <v>45564</v>
      </c>
      <c r="K1637" s="2">
        <v>3.3854166666666664E-2</v>
      </c>
      <c r="M1637" s="4" t="str">
        <f t="shared" si="75"/>
        <v>LOW</v>
      </c>
      <c r="N1637" s="4" t="str" cm="1">
        <f t="array" ref="N1637">_xlfn.IFS(C1637&gt;35,"HIGH",C1637&gt;25,"MIDDLE",TRUE,"LOW")</f>
        <v>MIDDLE</v>
      </c>
      <c r="O1637" s="4" t="str">
        <f t="shared" si="76"/>
        <v>OTHERS</v>
      </c>
      <c r="P1637" s="4" t="str">
        <f t="shared" si="77"/>
        <v>PREMINUM MORNING</v>
      </c>
    </row>
    <row r="1638" spans="1:16" x14ac:dyDescent="0.3">
      <c r="A1638" s="4">
        <v>10</v>
      </c>
      <c r="B1638" t="s">
        <v>11</v>
      </c>
      <c r="C1638" s="4">
        <v>35.76</v>
      </c>
      <c r="D1638" t="s">
        <v>29</v>
      </c>
      <c r="E1638" t="s">
        <v>13</v>
      </c>
      <c r="F1638" s="4" t="s">
        <v>23</v>
      </c>
      <c r="G1638" s="4" t="s">
        <v>36</v>
      </c>
      <c r="H1638" s="4">
        <v>7</v>
      </c>
      <c r="I1638" s="4">
        <v>9</v>
      </c>
      <c r="J1638" s="1">
        <v>45564</v>
      </c>
      <c r="K1638" s="2">
        <v>3.4783564814814816E-2</v>
      </c>
      <c r="M1638" s="4" t="str">
        <f t="shared" si="75"/>
        <v>HIGH</v>
      </c>
      <c r="N1638" s="4" t="str" cm="1">
        <f t="array" ref="N1638">_xlfn.IFS(C1638&gt;35,"HIGH",C1638&gt;25,"MIDDLE",TRUE,"LOW")</f>
        <v>HIGH</v>
      </c>
      <c r="O1638" s="4" t="str">
        <f t="shared" si="76"/>
        <v>PREMINUM MORNING</v>
      </c>
      <c r="P1638" s="4" t="str">
        <f t="shared" si="77"/>
        <v>PREMINUM MORNING</v>
      </c>
    </row>
    <row r="1639" spans="1:16" x14ac:dyDescent="0.3">
      <c r="A1639" s="4">
        <v>10</v>
      </c>
      <c r="B1639" t="s">
        <v>11</v>
      </c>
      <c r="C1639" s="4">
        <v>35.76</v>
      </c>
      <c r="D1639" t="s">
        <v>29</v>
      </c>
      <c r="E1639" t="s">
        <v>13</v>
      </c>
      <c r="F1639" s="4" t="s">
        <v>23</v>
      </c>
      <c r="G1639" s="4" t="s">
        <v>36</v>
      </c>
      <c r="H1639" s="4">
        <v>7</v>
      </c>
      <c r="I1639" s="4">
        <v>9</v>
      </c>
      <c r="J1639" s="1">
        <v>45564</v>
      </c>
      <c r="K1639" s="2">
        <v>3.5454861111111111E-2</v>
      </c>
      <c r="M1639" s="4" t="str">
        <f t="shared" si="75"/>
        <v>HIGH</v>
      </c>
      <c r="N1639" s="4" t="str" cm="1">
        <f t="array" ref="N1639">_xlfn.IFS(C1639&gt;35,"HIGH",C1639&gt;25,"MIDDLE",TRUE,"LOW")</f>
        <v>HIGH</v>
      </c>
      <c r="O1639" s="4" t="str">
        <f t="shared" si="76"/>
        <v>PREMINUM MORNING</v>
      </c>
      <c r="P1639" s="4" t="str">
        <f t="shared" si="77"/>
        <v>PREMINUM MORNING</v>
      </c>
    </row>
    <row r="1640" spans="1:16" x14ac:dyDescent="0.3">
      <c r="A1640" s="4">
        <v>10</v>
      </c>
      <c r="B1640" t="s">
        <v>11</v>
      </c>
      <c r="C1640" s="4">
        <v>35.76</v>
      </c>
      <c r="D1640" t="s">
        <v>29</v>
      </c>
      <c r="E1640" t="s">
        <v>13</v>
      </c>
      <c r="F1640" s="4" t="s">
        <v>23</v>
      </c>
      <c r="G1640" s="4" t="s">
        <v>36</v>
      </c>
      <c r="H1640" s="4">
        <v>7</v>
      </c>
      <c r="I1640" s="4">
        <v>9</v>
      </c>
      <c r="J1640" s="1">
        <v>45564</v>
      </c>
      <c r="K1640" s="2">
        <v>3.6377314814814814E-2</v>
      </c>
      <c r="M1640" s="4" t="str">
        <f t="shared" si="75"/>
        <v>HIGH</v>
      </c>
      <c r="N1640" s="4" t="str" cm="1">
        <f t="array" ref="N1640">_xlfn.IFS(C1640&gt;35,"HIGH",C1640&gt;25,"MIDDLE",TRUE,"LOW")</f>
        <v>HIGH</v>
      </c>
      <c r="O1640" s="4" t="str">
        <f t="shared" si="76"/>
        <v>PREMINUM MORNING</v>
      </c>
      <c r="P1640" s="4" t="str">
        <f t="shared" si="77"/>
        <v>PREMINUM MORNING</v>
      </c>
    </row>
    <row r="1641" spans="1:16" x14ac:dyDescent="0.3">
      <c r="A1641" s="4">
        <v>10</v>
      </c>
      <c r="B1641" t="s">
        <v>11</v>
      </c>
      <c r="C1641" s="4">
        <v>30.86</v>
      </c>
      <c r="D1641" t="s">
        <v>19</v>
      </c>
      <c r="E1641" t="s">
        <v>13</v>
      </c>
      <c r="F1641" s="4" t="s">
        <v>23</v>
      </c>
      <c r="G1641" s="4" t="s">
        <v>36</v>
      </c>
      <c r="H1641" s="4">
        <v>7</v>
      </c>
      <c r="I1641" s="4">
        <v>9</v>
      </c>
      <c r="J1641" s="1">
        <v>45564</v>
      </c>
      <c r="K1641" s="2">
        <v>3.7295138888888892E-2</v>
      </c>
      <c r="M1641" s="4" t="str">
        <f t="shared" si="75"/>
        <v>LOW</v>
      </c>
      <c r="N1641" s="4" t="str" cm="1">
        <f t="array" ref="N1641">_xlfn.IFS(C1641&gt;35,"HIGH",C1641&gt;25,"MIDDLE",TRUE,"LOW")</f>
        <v>MIDDLE</v>
      </c>
      <c r="O1641" s="4" t="str">
        <f t="shared" si="76"/>
        <v>OTHERS</v>
      </c>
      <c r="P1641" s="4" t="str">
        <f t="shared" si="77"/>
        <v>PREMINUM MORNING</v>
      </c>
    </row>
    <row r="1642" spans="1:16" x14ac:dyDescent="0.3">
      <c r="A1642" s="4">
        <v>12</v>
      </c>
      <c r="B1642" t="s">
        <v>11</v>
      </c>
      <c r="C1642" s="4">
        <v>35.76</v>
      </c>
      <c r="D1642" t="s">
        <v>12</v>
      </c>
      <c r="E1642" t="s">
        <v>17</v>
      </c>
      <c r="F1642" s="4" t="s">
        <v>23</v>
      </c>
      <c r="G1642" s="4" t="s">
        <v>36</v>
      </c>
      <c r="H1642" s="4">
        <v>7</v>
      </c>
      <c r="I1642" s="4">
        <v>9</v>
      </c>
      <c r="J1642" s="1">
        <v>45564</v>
      </c>
      <c r="K1642" s="2">
        <v>2.4807870370370372E-2</v>
      </c>
      <c r="M1642" s="4" t="str">
        <f t="shared" si="75"/>
        <v>HIGH</v>
      </c>
      <c r="N1642" s="4" t="str" cm="1">
        <f t="array" ref="N1642">_xlfn.IFS(C1642&gt;35,"HIGH",C1642&gt;25,"MIDDLE",TRUE,"LOW")</f>
        <v>HIGH</v>
      </c>
      <c r="O1642" s="4" t="str">
        <f t="shared" si="76"/>
        <v>OTHERS</v>
      </c>
      <c r="P1642" s="4" t="str">
        <f t="shared" si="77"/>
        <v>PREMINUM MORNING</v>
      </c>
    </row>
    <row r="1643" spans="1:16" x14ac:dyDescent="0.3">
      <c r="A1643" s="4">
        <v>12</v>
      </c>
      <c r="B1643" t="s">
        <v>11</v>
      </c>
      <c r="C1643" s="4">
        <v>25.96</v>
      </c>
      <c r="D1643" t="s">
        <v>24</v>
      </c>
      <c r="E1643" t="s">
        <v>17</v>
      </c>
      <c r="F1643" s="4" t="s">
        <v>23</v>
      </c>
      <c r="G1643" s="4" t="s">
        <v>36</v>
      </c>
      <c r="H1643" s="4">
        <v>7</v>
      </c>
      <c r="I1643" s="4">
        <v>9</v>
      </c>
      <c r="J1643" s="1">
        <v>45564</v>
      </c>
      <c r="K1643" s="2">
        <v>3.5398148148148151E-2</v>
      </c>
      <c r="M1643" s="4" t="str">
        <f t="shared" si="75"/>
        <v>LOW</v>
      </c>
      <c r="N1643" s="4" t="str" cm="1">
        <f t="array" ref="N1643">_xlfn.IFS(C1643&gt;35,"HIGH",C1643&gt;25,"MIDDLE",TRUE,"LOW")</f>
        <v>MIDDLE</v>
      </c>
      <c r="O1643" s="4" t="str">
        <f t="shared" si="76"/>
        <v>OTHERS</v>
      </c>
      <c r="P1643" s="4" t="str">
        <f t="shared" si="77"/>
        <v>OTHERS</v>
      </c>
    </row>
    <row r="1644" spans="1:16" x14ac:dyDescent="0.3">
      <c r="A1644" s="4">
        <v>12</v>
      </c>
      <c r="B1644" t="s">
        <v>11</v>
      </c>
      <c r="C1644" s="4">
        <v>35.76</v>
      </c>
      <c r="D1644" t="s">
        <v>12</v>
      </c>
      <c r="E1644" t="s">
        <v>17</v>
      </c>
      <c r="F1644" s="4" t="s">
        <v>23</v>
      </c>
      <c r="G1644" s="4" t="s">
        <v>36</v>
      </c>
      <c r="H1644" s="4">
        <v>7</v>
      </c>
      <c r="I1644" s="4">
        <v>9</v>
      </c>
      <c r="J1644" s="1">
        <v>45564</v>
      </c>
      <c r="K1644" s="2">
        <v>3.7678240740740741E-2</v>
      </c>
      <c r="M1644" s="4" t="str">
        <f t="shared" si="75"/>
        <v>HIGH</v>
      </c>
      <c r="N1644" s="4" t="str" cm="1">
        <f t="array" ref="N1644">_xlfn.IFS(C1644&gt;35,"HIGH",C1644&gt;25,"MIDDLE",TRUE,"LOW")</f>
        <v>HIGH</v>
      </c>
      <c r="O1644" s="4" t="str">
        <f t="shared" si="76"/>
        <v>OTHERS</v>
      </c>
      <c r="P1644" s="4" t="str">
        <f t="shared" si="77"/>
        <v>PREMINUM MORNING</v>
      </c>
    </row>
    <row r="1645" spans="1:16" x14ac:dyDescent="0.3">
      <c r="A1645" s="4">
        <v>12</v>
      </c>
      <c r="B1645" t="s">
        <v>11</v>
      </c>
      <c r="C1645" s="4">
        <v>35.76</v>
      </c>
      <c r="D1645" t="s">
        <v>12</v>
      </c>
      <c r="E1645" t="s">
        <v>17</v>
      </c>
      <c r="F1645" s="4" t="s">
        <v>23</v>
      </c>
      <c r="G1645" s="4" t="s">
        <v>36</v>
      </c>
      <c r="H1645" s="4">
        <v>7</v>
      </c>
      <c r="I1645" s="4">
        <v>9</v>
      </c>
      <c r="J1645" s="1">
        <v>45564</v>
      </c>
      <c r="K1645" s="2">
        <v>3.8444444444444441E-2</v>
      </c>
      <c r="M1645" s="4" t="str">
        <f t="shared" si="75"/>
        <v>HIGH</v>
      </c>
      <c r="N1645" s="4" t="str" cm="1">
        <f t="array" ref="N1645">_xlfn.IFS(C1645&gt;35,"HIGH",C1645&gt;25,"MIDDLE",TRUE,"LOW")</f>
        <v>HIGH</v>
      </c>
      <c r="O1645" s="4" t="str">
        <f t="shared" si="76"/>
        <v>OTHERS</v>
      </c>
      <c r="P1645" s="4" t="str">
        <f t="shared" si="77"/>
        <v>PREMINUM MORNING</v>
      </c>
    </row>
    <row r="1646" spans="1:16" x14ac:dyDescent="0.3">
      <c r="A1646" s="4">
        <v>18</v>
      </c>
      <c r="B1646" t="s">
        <v>11</v>
      </c>
      <c r="C1646" s="4">
        <v>35.76</v>
      </c>
      <c r="D1646" t="s">
        <v>29</v>
      </c>
      <c r="E1646" t="s">
        <v>20</v>
      </c>
      <c r="F1646" s="4" t="s">
        <v>23</v>
      </c>
      <c r="G1646" s="4" t="s">
        <v>36</v>
      </c>
      <c r="H1646" s="4">
        <v>7</v>
      </c>
      <c r="I1646" s="4">
        <v>9</v>
      </c>
      <c r="J1646" s="1">
        <v>45564</v>
      </c>
      <c r="K1646" s="2">
        <v>1.7048611111111112E-3</v>
      </c>
      <c r="M1646" s="4" t="str">
        <f t="shared" si="75"/>
        <v>HIGH</v>
      </c>
      <c r="N1646" s="4" t="str" cm="1">
        <f t="array" ref="N1646">_xlfn.IFS(C1646&gt;35,"HIGH",C1646&gt;25,"MIDDLE",TRUE,"LOW")</f>
        <v>HIGH</v>
      </c>
      <c r="O1646" s="4" t="str">
        <f t="shared" si="76"/>
        <v>OTHERS</v>
      </c>
      <c r="P1646" s="4" t="str">
        <f t="shared" si="77"/>
        <v>PREMINUM MORNING</v>
      </c>
    </row>
    <row r="1647" spans="1:16" x14ac:dyDescent="0.3">
      <c r="A1647" s="4">
        <v>22</v>
      </c>
      <c r="B1647" t="s">
        <v>11</v>
      </c>
      <c r="C1647" s="4">
        <v>35.76</v>
      </c>
      <c r="D1647" t="s">
        <v>12</v>
      </c>
      <c r="E1647" t="s">
        <v>20</v>
      </c>
      <c r="F1647" s="4" t="s">
        <v>23</v>
      </c>
      <c r="G1647" s="4" t="s">
        <v>36</v>
      </c>
      <c r="H1647" s="4">
        <v>7</v>
      </c>
      <c r="I1647" s="4">
        <v>9</v>
      </c>
      <c r="J1647" s="1">
        <v>45564</v>
      </c>
      <c r="K1647" s="2">
        <v>2.1560185185185186E-2</v>
      </c>
      <c r="M1647" s="4" t="str">
        <f t="shared" si="75"/>
        <v>HIGH</v>
      </c>
      <c r="N1647" s="4" t="str" cm="1">
        <f t="array" ref="N1647">_xlfn.IFS(C1647&gt;35,"HIGH",C1647&gt;25,"MIDDLE",TRUE,"LOW")</f>
        <v>HIGH</v>
      </c>
      <c r="O1647" s="4" t="str">
        <f t="shared" si="76"/>
        <v>OTHERS</v>
      </c>
      <c r="P1647" s="4" t="str">
        <f t="shared" si="77"/>
        <v>PREMINUM MORNING</v>
      </c>
    </row>
    <row r="1648" spans="1:16" x14ac:dyDescent="0.3">
      <c r="A1648" s="4">
        <v>8</v>
      </c>
      <c r="B1648" t="s">
        <v>11</v>
      </c>
      <c r="C1648" s="4">
        <v>25.96</v>
      </c>
      <c r="D1648" t="s">
        <v>24</v>
      </c>
      <c r="E1648" t="s">
        <v>13</v>
      </c>
      <c r="F1648" s="4" t="s">
        <v>25</v>
      </c>
      <c r="G1648" s="4" t="s">
        <v>36</v>
      </c>
      <c r="H1648" s="4">
        <v>1</v>
      </c>
      <c r="I1648" s="4">
        <v>9</v>
      </c>
      <c r="J1648" s="1">
        <v>45565</v>
      </c>
      <c r="K1648" s="2">
        <v>6.1053240740740738E-3</v>
      </c>
      <c r="M1648" s="4" t="str">
        <f t="shared" si="75"/>
        <v>LOW</v>
      </c>
      <c r="N1648" s="4" t="str" cm="1">
        <f t="array" ref="N1648">_xlfn.IFS(C1648&gt;35,"HIGH",C1648&gt;25,"MIDDLE",TRUE,"LOW")</f>
        <v>MIDDLE</v>
      </c>
      <c r="O1648" s="4" t="str">
        <f t="shared" si="76"/>
        <v>OTHERS</v>
      </c>
      <c r="P1648" s="4" t="str">
        <f t="shared" si="77"/>
        <v>PREMINUM MORNING</v>
      </c>
    </row>
    <row r="1649" spans="1:16" x14ac:dyDescent="0.3">
      <c r="A1649" s="4">
        <v>8</v>
      </c>
      <c r="B1649" t="s">
        <v>11</v>
      </c>
      <c r="C1649" s="4">
        <v>25.96</v>
      </c>
      <c r="D1649" t="s">
        <v>24</v>
      </c>
      <c r="E1649" t="s">
        <v>13</v>
      </c>
      <c r="F1649" s="4" t="s">
        <v>25</v>
      </c>
      <c r="G1649" s="4" t="s">
        <v>36</v>
      </c>
      <c r="H1649" s="4">
        <v>1</v>
      </c>
      <c r="I1649" s="4">
        <v>9</v>
      </c>
      <c r="J1649" s="1">
        <v>45565</v>
      </c>
      <c r="K1649" s="2">
        <v>4.091087962962963E-2</v>
      </c>
      <c r="M1649" s="4" t="str">
        <f t="shared" si="75"/>
        <v>LOW</v>
      </c>
      <c r="N1649" s="4" t="str" cm="1">
        <f t="array" ref="N1649">_xlfn.IFS(C1649&gt;35,"HIGH",C1649&gt;25,"MIDDLE",TRUE,"LOW")</f>
        <v>MIDDLE</v>
      </c>
      <c r="O1649" s="4" t="str">
        <f t="shared" si="76"/>
        <v>OTHERS</v>
      </c>
      <c r="P1649" s="4" t="str">
        <f t="shared" si="77"/>
        <v>PREMINUM MORNING</v>
      </c>
    </row>
    <row r="1650" spans="1:16" x14ac:dyDescent="0.3">
      <c r="A1650" s="4">
        <v>9</v>
      </c>
      <c r="B1650" t="s">
        <v>11</v>
      </c>
      <c r="C1650" s="4">
        <v>35.76</v>
      </c>
      <c r="D1650" t="s">
        <v>16</v>
      </c>
      <c r="E1650" t="s">
        <v>13</v>
      </c>
      <c r="F1650" s="4" t="s">
        <v>25</v>
      </c>
      <c r="G1650" s="4" t="s">
        <v>36</v>
      </c>
      <c r="H1650" s="4">
        <v>1</v>
      </c>
      <c r="I1650" s="4">
        <v>9</v>
      </c>
      <c r="J1650" s="1">
        <v>45565</v>
      </c>
      <c r="K1650" s="2">
        <v>5.6712962962962965E-5</v>
      </c>
      <c r="M1650" s="4" t="str">
        <f t="shared" si="75"/>
        <v>HIGH</v>
      </c>
      <c r="N1650" s="4" t="str" cm="1">
        <f t="array" ref="N1650">_xlfn.IFS(C1650&gt;35,"HIGH",C1650&gt;25,"MIDDLE",TRUE,"LOW")</f>
        <v>HIGH</v>
      </c>
      <c r="O1650" s="4" t="str">
        <f t="shared" si="76"/>
        <v>PREMINUM MORNING</v>
      </c>
      <c r="P1650" s="4" t="str">
        <f t="shared" si="77"/>
        <v>PREMINUM MORNING</v>
      </c>
    </row>
    <row r="1651" spans="1:16" x14ac:dyDescent="0.3">
      <c r="A1651" s="4">
        <v>10</v>
      </c>
      <c r="B1651" t="s">
        <v>11</v>
      </c>
      <c r="C1651" s="4">
        <v>30.86</v>
      </c>
      <c r="D1651" t="s">
        <v>19</v>
      </c>
      <c r="E1651" t="s">
        <v>13</v>
      </c>
      <c r="F1651" s="4" t="s">
        <v>25</v>
      </c>
      <c r="G1651" s="4" t="s">
        <v>36</v>
      </c>
      <c r="H1651" s="4">
        <v>1</v>
      </c>
      <c r="I1651" s="4">
        <v>9</v>
      </c>
      <c r="J1651" s="1">
        <v>45565</v>
      </c>
      <c r="K1651" s="2">
        <v>8.0092592592592596E-4</v>
      </c>
      <c r="M1651" s="4" t="str">
        <f t="shared" si="75"/>
        <v>LOW</v>
      </c>
      <c r="N1651" s="4" t="str" cm="1">
        <f t="array" ref="N1651">_xlfn.IFS(C1651&gt;35,"HIGH",C1651&gt;25,"MIDDLE",TRUE,"LOW")</f>
        <v>MIDDLE</v>
      </c>
      <c r="O1651" s="4" t="str">
        <f t="shared" si="76"/>
        <v>OTHERS</v>
      </c>
      <c r="P1651" s="4" t="str">
        <f t="shared" si="77"/>
        <v>PREMINUM MORNING</v>
      </c>
    </row>
    <row r="1652" spans="1:16" x14ac:dyDescent="0.3">
      <c r="A1652" s="4">
        <v>10</v>
      </c>
      <c r="B1652" t="s">
        <v>11</v>
      </c>
      <c r="C1652" s="4">
        <v>25.96</v>
      </c>
      <c r="D1652" t="s">
        <v>24</v>
      </c>
      <c r="E1652" t="s">
        <v>13</v>
      </c>
      <c r="F1652" s="4" t="s">
        <v>25</v>
      </c>
      <c r="G1652" s="4" t="s">
        <v>36</v>
      </c>
      <c r="H1652" s="4">
        <v>1</v>
      </c>
      <c r="I1652" s="4">
        <v>9</v>
      </c>
      <c r="J1652" s="1">
        <v>45565</v>
      </c>
      <c r="K1652" s="2">
        <v>3.685185185185185E-3</v>
      </c>
      <c r="M1652" s="4" t="str">
        <f t="shared" si="75"/>
        <v>LOW</v>
      </c>
      <c r="N1652" s="4" t="str" cm="1">
        <f t="array" ref="N1652">_xlfn.IFS(C1652&gt;35,"HIGH",C1652&gt;25,"MIDDLE",TRUE,"LOW")</f>
        <v>MIDDLE</v>
      </c>
      <c r="O1652" s="4" t="str">
        <f t="shared" si="76"/>
        <v>OTHERS</v>
      </c>
      <c r="P1652" s="4" t="str">
        <f t="shared" si="77"/>
        <v>PREMINUM MORNING</v>
      </c>
    </row>
    <row r="1653" spans="1:16" x14ac:dyDescent="0.3">
      <c r="A1653" s="4">
        <v>11</v>
      </c>
      <c r="B1653" t="s">
        <v>11</v>
      </c>
      <c r="C1653" s="4">
        <v>30.86</v>
      </c>
      <c r="D1653" t="s">
        <v>19</v>
      </c>
      <c r="E1653" t="s">
        <v>13</v>
      </c>
      <c r="F1653" s="4" t="s">
        <v>25</v>
      </c>
      <c r="G1653" s="4" t="s">
        <v>36</v>
      </c>
      <c r="H1653" s="4">
        <v>1</v>
      </c>
      <c r="I1653" s="4">
        <v>9</v>
      </c>
      <c r="J1653" s="1">
        <v>45565</v>
      </c>
      <c r="K1653" s="2">
        <v>2.2854166666666665E-2</v>
      </c>
      <c r="M1653" s="4" t="str">
        <f t="shared" si="75"/>
        <v>LOW</v>
      </c>
      <c r="N1653" s="4" t="str" cm="1">
        <f t="array" ref="N1653">_xlfn.IFS(C1653&gt;35,"HIGH",C1653&gt;25,"MIDDLE",TRUE,"LOW")</f>
        <v>MIDDLE</v>
      </c>
      <c r="O1653" s="4" t="str">
        <f t="shared" si="76"/>
        <v>OTHERS</v>
      </c>
      <c r="P1653" s="4" t="str">
        <f t="shared" si="77"/>
        <v>PREMINUM MORNING</v>
      </c>
    </row>
    <row r="1654" spans="1:16" x14ac:dyDescent="0.3">
      <c r="A1654" s="4">
        <v>16</v>
      </c>
      <c r="B1654" t="s">
        <v>11</v>
      </c>
      <c r="C1654" s="4">
        <v>30.86</v>
      </c>
      <c r="D1654" t="s">
        <v>19</v>
      </c>
      <c r="E1654" t="s">
        <v>17</v>
      </c>
      <c r="F1654" s="4" t="s">
        <v>25</v>
      </c>
      <c r="G1654" s="4" t="s">
        <v>36</v>
      </c>
      <c r="H1654" s="4">
        <v>1</v>
      </c>
      <c r="I1654" s="4">
        <v>9</v>
      </c>
      <c r="J1654" s="1">
        <v>45565</v>
      </c>
      <c r="K1654" s="2">
        <v>3.1765046296296298E-2</v>
      </c>
      <c r="M1654" s="4" t="str">
        <f t="shared" si="75"/>
        <v>LOW</v>
      </c>
      <c r="N1654" s="4" t="str" cm="1">
        <f t="array" ref="N1654">_xlfn.IFS(C1654&gt;35,"HIGH",C1654&gt;25,"MIDDLE",TRUE,"LOW")</f>
        <v>MIDDLE</v>
      </c>
      <c r="O1654" s="4" t="str">
        <f t="shared" si="76"/>
        <v>OTHERS</v>
      </c>
      <c r="P1654" s="4" t="str">
        <f t="shared" si="77"/>
        <v>OTHERS</v>
      </c>
    </row>
    <row r="1655" spans="1:16" x14ac:dyDescent="0.3">
      <c r="A1655" s="4">
        <v>19</v>
      </c>
      <c r="B1655" t="s">
        <v>11</v>
      </c>
      <c r="C1655" s="4">
        <v>35.76</v>
      </c>
      <c r="D1655" t="s">
        <v>12</v>
      </c>
      <c r="E1655" t="s">
        <v>20</v>
      </c>
      <c r="F1655" s="4" t="s">
        <v>25</v>
      </c>
      <c r="G1655" s="4" t="s">
        <v>36</v>
      </c>
      <c r="H1655" s="4">
        <v>1</v>
      </c>
      <c r="I1655" s="4">
        <v>9</v>
      </c>
      <c r="J1655" s="1">
        <v>45565</v>
      </c>
      <c r="K1655" s="2">
        <v>2.243287037037037E-2</v>
      </c>
      <c r="M1655" s="4" t="str">
        <f t="shared" si="75"/>
        <v>HIGH</v>
      </c>
      <c r="N1655" s="4" t="str" cm="1">
        <f t="array" ref="N1655">_xlfn.IFS(C1655&gt;35,"HIGH",C1655&gt;25,"MIDDLE",TRUE,"LOW")</f>
        <v>HIGH</v>
      </c>
      <c r="O1655" s="4" t="str">
        <f t="shared" si="76"/>
        <v>OTHERS</v>
      </c>
      <c r="P1655" s="4" t="str">
        <f t="shared" si="77"/>
        <v>PREMINUM MORNING</v>
      </c>
    </row>
    <row r="1656" spans="1:16" x14ac:dyDescent="0.3">
      <c r="A1656" s="4">
        <v>19</v>
      </c>
      <c r="B1656" t="s">
        <v>11</v>
      </c>
      <c r="C1656" s="4">
        <v>30.86</v>
      </c>
      <c r="D1656" t="s">
        <v>19</v>
      </c>
      <c r="E1656" t="s">
        <v>20</v>
      </c>
      <c r="F1656" s="4" t="s">
        <v>25</v>
      </c>
      <c r="G1656" s="4" t="s">
        <v>36</v>
      </c>
      <c r="H1656" s="4">
        <v>1</v>
      </c>
      <c r="I1656" s="4">
        <v>9</v>
      </c>
      <c r="J1656" s="1">
        <v>45565</v>
      </c>
      <c r="K1656" s="2">
        <v>3.6968750000000002E-2</v>
      </c>
      <c r="M1656" s="4" t="str">
        <f t="shared" si="75"/>
        <v>LOW</v>
      </c>
      <c r="N1656" s="4" t="str" cm="1">
        <f t="array" ref="N1656">_xlfn.IFS(C1656&gt;35,"HIGH",C1656&gt;25,"MIDDLE",TRUE,"LOW")</f>
        <v>MIDDLE</v>
      </c>
      <c r="O1656" s="4" t="str">
        <f t="shared" si="76"/>
        <v>OTHERS</v>
      </c>
      <c r="P1656" s="4" t="str">
        <f t="shared" si="77"/>
        <v>OTHERS</v>
      </c>
    </row>
    <row r="1657" spans="1:16" x14ac:dyDescent="0.3">
      <c r="A1657" s="4">
        <v>19</v>
      </c>
      <c r="B1657" t="s">
        <v>11</v>
      </c>
      <c r="C1657" s="4">
        <v>25.96</v>
      </c>
      <c r="D1657" t="s">
        <v>24</v>
      </c>
      <c r="E1657" t="s">
        <v>20</v>
      </c>
      <c r="F1657" s="4" t="s">
        <v>25</v>
      </c>
      <c r="G1657" s="4" t="s">
        <v>36</v>
      </c>
      <c r="H1657" s="4">
        <v>1</v>
      </c>
      <c r="I1657" s="4">
        <v>9</v>
      </c>
      <c r="J1657" s="1">
        <v>45565</v>
      </c>
      <c r="K1657" s="2">
        <v>3.7703703703703705E-2</v>
      </c>
      <c r="M1657" s="4" t="str">
        <f t="shared" si="75"/>
        <v>LOW</v>
      </c>
      <c r="N1657" s="4" t="str" cm="1">
        <f t="array" ref="N1657">_xlfn.IFS(C1657&gt;35,"HIGH",C1657&gt;25,"MIDDLE",TRUE,"LOW")</f>
        <v>MIDDLE</v>
      </c>
      <c r="O1657" s="4" t="str">
        <f t="shared" si="76"/>
        <v>OTHERS</v>
      </c>
      <c r="P1657" s="4" t="str">
        <f t="shared" si="77"/>
        <v>OTHERS</v>
      </c>
    </row>
    <row r="1658" spans="1:16" x14ac:dyDescent="0.3">
      <c r="A1658" s="4">
        <v>19</v>
      </c>
      <c r="B1658" t="s">
        <v>11</v>
      </c>
      <c r="C1658" s="4">
        <v>35.76</v>
      </c>
      <c r="D1658" t="s">
        <v>12</v>
      </c>
      <c r="E1658" t="s">
        <v>20</v>
      </c>
      <c r="F1658" s="4" t="s">
        <v>25</v>
      </c>
      <c r="G1658" s="4" t="s">
        <v>36</v>
      </c>
      <c r="H1658" s="4">
        <v>1</v>
      </c>
      <c r="I1658" s="4">
        <v>9</v>
      </c>
      <c r="J1658" s="1">
        <v>45565</v>
      </c>
      <c r="K1658" s="2">
        <v>4.1192129629629627E-2</v>
      </c>
      <c r="M1658" s="4" t="str">
        <f t="shared" si="75"/>
        <v>HIGH</v>
      </c>
      <c r="N1658" s="4" t="str" cm="1">
        <f t="array" ref="N1658">_xlfn.IFS(C1658&gt;35,"HIGH",C1658&gt;25,"MIDDLE",TRUE,"LOW")</f>
        <v>HIGH</v>
      </c>
      <c r="O1658" s="4" t="str">
        <f t="shared" si="76"/>
        <v>OTHERS</v>
      </c>
      <c r="P1658" s="4" t="str">
        <f t="shared" si="77"/>
        <v>PREMINUM MORNING</v>
      </c>
    </row>
    <row r="1659" spans="1:16" x14ac:dyDescent="0.3">
      <c r="A1659" s="4">
        <v>20</v>
      </c>
      <c r="B1659" t="s">
        <v>11</v>
      </c>
      <c r="C1659" s="4">
        <v>30.86</v>
      </c>
      <c r="D1659" t="s">
        <v>19</v>
      </c>
      <c r="E1659" t="s">
        <v>20</v>
      </c>
      <c r="F1659" s="4" t="s">
        <v>25</v>
      </c>
      <c r="G1659" s="4" t="s">
        <v>36</v>
      </c>
      <c r="H1659" s="4">
        <v>1</v>
      </c>
      <c r="I1659" s="4">
        <v>9</v>
      </c>
      <c r="J1659" s="1">
        <v>45565</v>
      </c>
      <c r="K1659" s="2">
        <v>4.8726851851851855E-4</v>
      </c>
      <c r="M1659" s="4" t="str">
        <f t="shared" si="75"/>
        <v>LOW</v>
      </c>
      <c r="N1659" s="4" t="str" cm="1">
        <f t="array" ref="N1659">_xlfn.IFS(C1659&gt;35,"HIGH",C1659&gt;25,"MIDDLE",TRUE,"LOW")</f>
        <v>MIDDLE</v>
      </c>
      <c r="O1659" s="4" t="str">
        <f t="shared" si="76"/>
        <v>OTHERS</v>
      </c>
      <c r="P1659" s="4" t="str">
        <f t="shared" si="77"/>
        <v>OTHERS</v>
      </c>
    </row>
    <row r="1660" spans="1:16" x14ac:dyDescent="0.3">
      <c r="A1660" s="4">
        <v>20</v>
      </c>
      <c r="B1660" t="s">
        <v>11</v>
      </c>
      <c r="C1660" s="4">
        <v>30.86</v>
      </c>
      <c r="D1660" t="s">
        <v>19</v>
      </c>
      <c r="E1660" t="s">
        <v>20</v>
      </c>
      <c r="F1660" s="4" t="s">
        <v>25</v>
      </c>
      <c r="G1660" s="4" t="s">
        <v>36</v>
      </c>
      <c r="H1660" s="4">
        <v>1</v>
      </c>
      <c r="I1660" s="4">
        <v>9</v>
      </c>
      <c r="J1660" s="1">
        <v>45565</v>
      </c>
      <c r="K1660" s="2">
        <v>1.1828703703703704E-3</v>
      </c>
      <c r="M1660" s="4" t="str">
        <f t="shared" si="75"/>
        <v>LOW</v>
      </c>
      <c r="N1660" s="4" t="str" cm="1">
        <f t="array" ref="N1660">_xlfn.IFS(C1660&gt;35,"HIGH",C1660&gt;25,"MIDDLE",TRUE,"LOW")</f>
        <v>MIDDLE</v>
      </c>
      <c r="O1660" s="4" t="str">
        <f t="shared" si="76"/>
        <v>OTHERS</v>
      </c>
      <c r="P1660" s="4" t="str">
        <f t="shared" si="77"/>
        <v>OTHERS</v>
      </c>
    </row>
    <row r="1661" spans="1:16" x14ac:dyDescent="0.3">
      <c r="A1661" s="4">
        <v>21</v>
      </c>
      <c r="B1661" t="s">
        <v>11</v>
      </c>
      <c r="C1661" s="4">
        <v>30.86</v>
      </c>
      <c r="D1661" t="s">
        <v>19</v>
      </c>
      <c r="E1661" t="s">
        <v>20</v>
      </c>
      <c r="F1661" s="4" t="s">
        <v>25</v>
      </c>
      <c r="G1661" s="4" t="s">
        <v>36</v>
      </c>
      <c r="H1661" s="4">
        <v>1</v>
      </c>
      <c r="I1661" s="4">
        <v>9</v>
      </c>
      <c r="J1661" s="1">
        <v>45565</v>
      </c>
      <c r="K1661" s="2">
        <v>2.8559027777777777E-2</v>
      </c>
      <c r="M1661" s="4" t="str">
        <f t="shared" si="75"/>
        <v>LOW</v>
      </c>
      <c r="N1661" s="4" t="str" cm="1">
        <f t="array" ref="N1661">_xlfn.IFS(C1661&gt;35,"HIGH",C1661&gt;25,"MIDDLE",TRUE,"LOW")</f>
        <v>MIDDLE</v>
      </c>
      <c r="O1661" s="4" t="str">
        <f t="shared" si="76"/>
        <v>OTHERS</v>
      </c>
      <c r="P1661" s="4" t="str">
        <f t="shared" si="77"/>
        <v>OTHERS</v>
      </c>
    </row>
    <row r="1662" spans="1:16" x14ac:dyDescent="0.3">
      <c r="A1662" s="4">
        <v>7</v>
      </c>
      <c r="B1662" t="s">
        <v>11</v>
      </c>
      <c r="C1662" s="4">
        <v>35.76</v>
      </c>
      <c r="D1662" t="s">
        <v>12</v>
      </c>
      <c r="E1662" t="s">
        <v>13</v>
      </c>
      <c r="F1662" s="4" t="s">
        <v>27</v>
      </c>
      <c r="G1662" s="4" t="s">
        <v>37</v>
      </c>
      <c r="H1662" s="4">
        <v>2</v>
      </c>
      <c r="I1662" s="4">
        <v>10</v>
      </c>
      <c r="J1662" s="1">
        <v>45566</v>
      </c>
      <c r="K1662" s="2">
        <v>3.2736111111111112E-2</v>
      </c>
      <c r="M1662" s="4" t="str">
        <f t="shared" si="75"/>
        <v>HIGH</v>
      </c>
      <c r="N1662" s="4" t="str" cm="1">
        <f t="array" ref="N1662">_xlfn.IFS(C1662&gt;35,"HIGH",C1662&gt;25,"MIDDLE",TRUE,"LOW")</f>
        <v>HIGH</v>
      </c>
      <c r="O1662" s="4" t="str">
        <f t="shared" si="76"/>
        <v>PREMINUM MORNING</v>
      </c>
      <c r="P1662" s="4" t="str">
        <f t="shared" si="77"/>
        <v>PREMINUM MORNING</v>
      </c>
    </row>
    <row r="1663" spans="1:16" x14ac:dyDescent="0.3">
      <c r="A1663" s="4">
        <v>9</v>
      </c>
      <c r="B1663" t="s">
        <v>11</v>
      </c>
      <c r="C1663" s="4">
        <v>30.86</v>
      </c>
      <c r="D1663" t="s">
        <v>19</v>
      </c>
      <c r="E1663" t="s">
        <v>13</v>
      </c>
      <c r="F1663" s="4" t="s">
        <v>27</v>
      </c>
      <c r="G1663" s="4" t="s">
        <v>37</v>
      </c>
      <c r="H1663" s="4">
        <v>2</v>
      </c>
      <c r="I1663" s="4">
        <v>10</v>
      </c>
      <c r="J1663" s="1">
        <v>45566</v>
      </c>
      <c r="K1663" s="2">
        <v>3.3689814814814818E-2</v>
      </c>
      <c r="M1663" s="4" t="str">
        <f t="shared" si="75"/>
        <v>LOW</v>
      </c>
      <c r="N1663" s="4" t="str" cm="1">
        <f t="array" ref="N1663">_xlfn.IFS(C1663&gt;35,"HIGH",C1663&gt;25,"MIDDLE",TRUE,"LOW")</f>
        <v>MIDDLE</v>
      </c>
      <c r="O1663" s="4" t="str">
        <f t="shared" si="76"/>
        <v>OTHERS</v>
      </c>
      <c r="P1663" s="4" t="str">
        <f t="shared" si="77"/>
        <v>PREMINUM MORNING</v>
      </c>
    </row>
    <row r="1664" spans="1:16" x14ac:dyDescent="0.3">
      <c r="A1664" s="4">
        <v>10</v>
      </c>
      <c r="B1664" t="s">
        <v>11</v>
      </c>
      <c r="C1664" s="4">
        <v>30.86</v>
      </c>
      <c r="D1664" t="s">
        <v>19</v>
      </c>
      <c r="E1664" t="s">
        <v>13</v>
      </c>
      <c r="F1664" s="4" t="s">
        <v>27</v>
      </c>
      <c r="G1664" s="4" t="s">
        <v>37</v>
      </c>
      <c r="H1664" s="4">
        <v>2</v>
      </c>
      <c r="I1664" s="4">
        <v>10</v>
      </c>
      <c r="J1664" s="1">
        <v>45566</v>
      </c>
      <c r="K1664" s="2">
        <v>1.6990740740740742E-3</v>
      </c>
      <c r="M1664" s="4" t="str">
        <f t="shared" si="75"/>
        <v>LOW</v>
      </c>
      <c r="N1664" s="4" t="str" cm="1">
        <f t="array" ref="N1664">_xlfn.IFS(C1664&gt;35,"HIGH",C1664&gt;25,"MIDDLE",TRUE,"LOW")</f>
        <v>MIDDLE</v>
      </c>
      <c r="O1664" s="4" t="str">
        <f t="shared" si="76"/>
        <v>OTHERS</v>
      </c>
      <c r="P1664" s="4" t="str">
        <f t="shared" si="77"/>
        <v>PREMINUM MORNING</v>
      </c>
    </row>
    <row r="1665" spans="1:16" x14ac:dyDescent="0.3">
      <c r="A1665" s="4">
        <v>10</v>
      </c>
      <c r="B1665" t="s">
        <v>11</v>
      </c>
      <c r="C1665" s="4">
        <v>30.86</v>
      </c>
      <c r="D1665" t="s">
        <v>19</v>
      </c>
      <c r="E1665" t="s">
        <v>13</v>
      </c>
      <c r="F1665" s="4" t="s">
        <v>27</v>
      </c>
      <c r="G1665" s="4" t="s">
        <v>37</v>
      </c>
      <c r="H1665" s="4">
        <v>2</v>
      </c>
      <c r="I1665" s="4">
        <v>10</v>
      </c>
      <c r="J1665" s="1">
        <v>45566</v>
      </c>
      <c r="K1665" s="2">
        <v>2.6284722222222221E-3</v>
      </c>
      <c r="M1665" s="4" t="str">
        <f t="shared" si="75"/>
        <v>LOW</v>
      </c>
      <c r="N1665" s="4" t="str" cm="1">
        <f t="array" ref="N1665">_xlfn.IFS(C1665&gt;35,"HIGH",C1665&gt;25,"MIDDLE",TRUE,"LOW")</f>
        <v>MIDDLE</v>
      </c>
      <c r="O1665" s="4" t="str">
        <f t="shared" si="76"/>
        <v>OTHERS</v>
      </c>
      <c r="P1665" s="4" t="str">
        <f t="shared" si="77"/>
        <v>PREMINUM MORNING</v>
      </c>
    </row>
    <row r="1666" spans="1:16" x14ac:dyDescent="0.3">
      <c r="A1666" s="4">
        <v>11</v>
      </c>
      <c r="B1666" t="s">
        <v>11</v>
      </c>
      <c r="C1666" s="4">
        <v>30.86</v>
      </c>
      <c r="D1666" t="s">
        <v>19</v>
      </c>
      <c r="E1666" t="s">
        <v>13</v>
      </c>
      <c r="F1666" s="4" t="s">
        <v>27</v>
      </c>
      <c r="G1666" s="4" t="s">
        <v>37</v>
      </c>
      <c r="H1666" s="4">
        <v>2</v>
      </c>
      <c r="I1666" s="4">
        <v>10</v>
      </c>
      <c r="J1666" s="1">
        <v>45566</v>
      </c>
      <c r="K1666" s="2">
        <v>3.8563657407407408E-2</v>
      </c>
      <c r="M1666" s="4" t="str">
        <f t="shared" si="75"/>
        <v>LOW</v>
      </c>
      <c r="N1666" s="4" t="str" cm="1">
        <f t="array" ref="N1666">_xlfn.IFS(C1666&gt;35,"HIGH",C1666&gt;25,"MIDDLE",TRUE,"LOW")</f>
        <v>MIDDLE</v>
      </c>
      <c r="O1666" s="4" t="str">
        <f t="shared" si="76"/>
        <v>OTHERS</v>
      </c>
      <c r="P1666" s="4" t="str">
        <f t="shared" si="77"/>
        <v>PREMINUM MORNING</v>
      </c>
    </row>
    <row r="1667" spans="1:16" x14ac:dyDescent="0.3">
      <c r="A1667" s="4">
        <v>12</v>
      </c>
      <c r="B1667" t="s">
        <v>11</v>
      </c>
      <c r="C1667" s="4">
        <v>30.86</v>
      </c>
      <c r="D1667" t="s">
        <v>19</v>
      </c>
      <c r="E1667" t="s">
        <v>17</v>
      </c>
      <c r="F1667" s="4" t="s">
        <v>27</v>
      </c>
      <c r="G1667" s="4" t="s">
        <v>37</v>
      </c>
      <c r="H1667" s="4">
        <v>2</v>
      </c>
      <c r="I1667" s="4">
        <v>10</v>
      </c>
      <c r="J1667" s="1">
        <v>45566</v>
      </c>
      <c r="K1667" s="2">
        <v>8.8935185185185176E-3</v>
      </c>
      <c r="M1667" s="4" t="str">
        <f t="shared" ref="M1667:M1730" si="78">IF(C1667&gt;35,"HIGH","LOW")</f>
        <v>LOW</v>
      </c>
      <c r="N1667" s="4" t="str" cm="1">
        <f t="array" ref="N1667">_xlfn.IFS(C1667&gt;35,"HIGH",C1667&gt;25,"MIDDLE",TRUE,"LOW")</f>
        <v>MIDDLE</v>
      </c>
      <c r="O1667" s="4" t="str">
        <f t="shared" ref="O1667:O1730" si="79">IF(AND(C1667&gt;35,E1667="MORNING"),"PREMINUM MORNING","OTHERS")</f>
        <v>OTHERS</v>
      </c>
      <c r="P1667" s="4" t="str">
        <f t="shared" ref="P1667:P1730" si="80">IF(OR(C1667&gt;35,E1667="MORNING"),"PREMINUM MORNING","OTHERS")</f>
        <v>OTHERS</v>
      </c>
    </row>
    <row r="1668" spans="1:16" x14ac:dyDescent="0.3">
      <c r="A1668" s="4">
        <v>12</v>
      </c>
      <c r="B1668" t="s">
        <v>11</v>
      </c>
      <c r="C1668" s="4">
        <v>30.86</v>
      </c>
      <c r="D1668" t="s">
        <v>19</v>
      </c>
      <c r="E1668" t="s">
        <v>17</v>
      </c>
      <c r="F1668" s="4" t="s">
        <v>27</v>
      </c>
      <c r="G1668" s="4" t="s">
        <v>37</v>
      </c>
      <c r="H1668" s="4">
        <v>2</v>
      </c>
      <c r="I1668" s="4">
        <v>10</v>
      </c>
      <c r="J1668" s="1">
        <v>45566</v>
      </c>
      <c r="K1668" s="2">
        <v>9.9930555555555554E-3</v>
      </c>
      <c r="M1668" s="4" t="str">
        <f t="shared" si="78"/>
        <v>LOW</v>
      </c>
      <c r="N1668" s="4" t="str" cm="1">
        <f t="array" ref="N1668">_xlfn.IFS(C1668&gt;35,"HIGH",C1668&gt;25,"MIDDLE",TRUE,"LOW")</f>
        <v>MIDDLE</v>
      </c>
      <c r="O1668" s="4" t="str">
        <f t="shared" si="79"/>
        <v>OTHERS</v>
      </c>
      <c r="P1668" s="4" t="str">
        <f t="shared" si="80"/>
        <v>OTHERS</v>
      </c>
    </row>
    <row r="1669" spans="1:16" x14ac:dyDescent="0.3">
      <c r="A1669" s="4">
        <v>14</v>
      </c>
      <c r="B1669" t="s">
        <v>11</v>
      </c>
      <c r="C1669" s="4">
        <v>25.96</v>
      </c>
      <c r="D1669" t="s">
        <v>18</v>
      </c>
      <c r="E1669" t="s">
        <v>17</v>
      </c>
      <c r="F1669" s="4" t="s">
        <v>27</v>
      </c>
      <c r="G1669" s="4" t="s">
        <v>37</v>
      </c>
      <c r="H1669" s="4">
        <v>2</v>
      </c>
      <c r="I1669" s="4">
        <v>10</v>
      </c>
      <c r="J1669" s="1">
        <v>45566</v>
      </c>
      <c r="K1669" s="2">
        <v>1.2210648148148148E-2</v>
      </c>
      <c r="M1669" s="4" t="str">
        <f t="shared" si="78"/>
        <v>LOW</v>
      </c>
      <c r="N1669" s="4" t="str" cm="1">
        <f t="array" ref="N1669">_xlfn.IFS(C1669&gt;35,"HIGH",C1669&gt;25,"MIDDLE",TRUE,"LOW")</f>
        <v>MIDDLE</v>
      </c>
      <c r="O1669" s="4" t="str">
        <f t="shared" si="79"/>
        <v>OTHERS</v>
      </c>
      <c r="P1669" s="4" t="str">
        <f t="shared" si="80"/>
        <v>OTHERS</v>
      </c>
    </row>
    <row r="1670" spans="1:16" x14ac:dyDescent="0.3">
      <c r="A1670" s="4">
        <v>14</v>
      </c>
      <c r="B1670" t="s">
        <v>11</v>
      </c>
      <c r="C1670" s="4">
        <v>30.86</v>
      </c>
      <c r="D1670" t="s">
        <v>19</v>
      </c>
      <c r="E1670" t="s">
        <v>17</v>
      </c>
      <c r="F1670" s="4" t="s">
        <v>27</v>
      </c>
      <c r="G1670" s="4" t="s">
        <v>37</v>
      </c>
      <c r="H1670" s="4">
        <v>2</v>
      </c>
      <c r="I1670" s="4">
        <v>10</v>
      </c>
      <c r="J1670" s="1">
        <v>45566</v>
      </c>
      <c r="K1670" s="2">
        <v>1.3108796296296295E-2</v>
      </c>
      <c r="M1670" s="4" t="str">
        <f t="shared" si="78"/>
        <v>LOW</v>
      </c>
      <c r="N1670" s="4" t="str" cm="1">
        <f t="array" ref="N1670">_xlfn.IFS(C1670&gt;35,"HIGH",C1670&gt;25,"MIDDLE",TRUE,"LOW")</f>
        <v>MIDDLE</v>
      </c>
      <c r="O1670" s="4" t="str">
        <f t="shared" si="79"/>
        <v>OTHERS</v>
      </c>
      <c r="P1670" s="4" t="str">
        <f t="shared" si="80"/>
        <v>OTHERS</v>
      </c>
    </row>
    <row r="1671" spans="1:16" x14ac:dyDescent="0.3">
      <c r="A1671" s="4">
        <v>16</v>
      </c>
      <c r="B1671" t="s">
        <v>11</v>
      </c>
      <c r="C1671" s="4">
        <v>35.76</v>
      </c>
      <c r="D1671" t="s">
        <v>16</v>
      </c>
      <c r="E1671" t="s">
        <v>17</v>
      </c>
      <c r="F1671" s="4" t="s">
        <v>27</v>
      </c>
      <c r="G1671" s="4" t="s">
        <v>37</v>
      </c>
      <c r="H1671" s="4">
        <v>2</v>
      </c>
      <c r="I1671" s="4">
        <v>10</v>
      </c>
      <c r="J1671" s="1">
        <v>45566</v>
      </c>
      <c r="K1671" s="2">
        <v>6.0069444444444441E-3</v>
      </c>
      <c r="M1671" s="4" t="str">
        <f t="shared" si="78"/>
        <v>HIGH</v>
      </c>
      <c r="N1671" s="4" t="str" cm="1">
        <f t="array" ref="N1671">_xlfn.IFS(C1671&gt;35,"HIGH",C1671&gt;25,"MIDDLE",TRUE,"LOW")</f>
        <v>HIGH</v>
      </c>
      <c r="O1671" s="4" t="str">
        <f t="shared" si="79"/>
        <v>OTHERS</v>
      </c>
      <c r="P1671" s="4" t="str">
        <f t="shared" si="80"/>
        <v>PREMINUM MORNING</v>
      </c>
    </row>
    <row r="1672" spans="1:16" x14ac:dyDescent="0.3">
      <c r="A1672" s="4">
        <v>16</v>
      </c>
      <c r="B1672" t="s">
        <v>11</v>
      </c>
      <c r="C1672" s="4">
        <v>25.96</v>
      </c>
      <c r="D1672" t="s">
        <v>18</v>
      </c>
      <c r="E1672" t="s">
        <v>17</v>
      </c>
      <c r="F1672" s="4" t="s">
        <v>27</v>
      </c>
      <c r="G1672" s="4" t="s">
        <v>37</v>
      </c>
      <c r="H1672" s="4">
        <v>2</v>
      </c>
      <c r="I1672" s="4">
        <v>10</v>
      </c>
      <c r="J1672" s="1">
        <v>45566</v>
      </c>
      <c r="K1672" s="2">
        <v>2.9103009259259259E-2</v>
      </c>
      <c r="M1672" s="4" t="str">
        <f t="shared" si="78"/>
        <v>LOW</v>
      </c>
      <c r="N1672" s="4" t="str" cm="1">
        <f t="array" ref="N1672">_xlfn.IFS(C1672&gt;35,"HIGH",C1672&gt;25,"MIDDLE",TRUE,"LOW")</f>
        <v>MIDDLE</v>
      </c>
      <c r="O1672" s="4" t="str">
        <f t="shared" si="79"/>
        <v>OTHERS</v>
      </c>
      <c r="P1672" s="4" t="str">
        <f t="shared" si="80"/>
        <v>OTHERS</v>
      </c>
    </row>
    <row r="1673" spans="1:16" x14ac:dyDescent="0.3">
      <c r="A1673" s="4">
        <v>18</v>
      </c>
      <c r="B1673" t="s">
        <v>11</v>
      </c>
      <c r="C1673" s="4">
        <v>35.76</v>
      </c>
      <c r="D1673" t="s">
        <v>12</v>
      </c>
      <c r="E1673" t="s">
        <v>20</v>
      </c>
      <c r="F1673" s="4" t="s">
        <v>27</v>
      </c>
      <c r="G1673" s="4" t="s">
        <v>37</v>
      </c>
      <c r="H1673" s="4">
        <v>2</v>
      </c>
      <c r="I1673" s="4">
        <v>10</v>
      </c>
      <c r="J1673" s="1">
        <v>45566</v>
      </c>
      <c r="K1673" s="2">
        <v>5.8622685185185184E-3</v>
      </c>
      <c r="M1673" s="4" t="str">
        <f t="shared" si="78"/>
        <v>HIGH</v>
      </c>
      <c r="N1673" s="4" t="str" cm="1">
        <f t="array" ref="N1673">_xlfn.IFS(C1673&gt;35,"HIGH",C1673&gt;25,"MIDDLE",TRUE,"LOW")</f>
        <v>HIGH</v>
      </c>
      <c r="O1673" s="4" t="str">
        <f t="shared" si="79"/>
        <v>OTHERS</v>
      </c>
      <c r="P1673" s="4" t="str">
        <f t="shared" si="80"/>
        <v>PREMINUM MORNING</v>
      </c>
    </row>
    <row r="1674" spans="1:16" x14ac:dyDescent="0.3">
      <c r="A1674" s="4">
        <v>18</v>
      </c>
      <c r="B1674" t="s">
        <v>11</v>
      </c>
      <c r="C1674" s="4">
        <v>35.76</v>
      </c>
      <c r="D1674" t="s">
        <v>12</v>
      </c>
      <c r="E1674" t="s">
        <v>20</v>
      </c>
      <c r="F1674" s="4" t="s">
        <v>27</v>
      </c>
      <c r="G1674" s="4" t="s">
        <v>37</v>
      </c>
      <c r="H1674" s="4">
        <v>2</v>
      </c>
      <c r="I1674" s="4">
        <v>10</v>
      </c>
      <c r="J1674" s="1">
        <v>45566</v>
      </c>
      <c r="K1674" s="2">
        <v>1.6105324074074074E-2</v>
      </c>
      <c r="M1674" s="4" t="str">
        <f t="shared" si="78"/>
        <v>HIGH</v>
      </c>
      <c r="N1674" s="4" t="str" cm="1">
        <f t="array" ref="N1674">_xlfn.IFS(C1674&gt;35,"HIGH",C1674&gt;25,"MIDDLE",TRUE,"LOW")</f>
        <v>HIGH</v>
      </c>
      <c r="O1674" s="4" t="str">
        <f t="shared" si="79"/>
        <v>OTHERS</v>
      </c>
      <c r="P1674" s="4" t="str">
        <f t="shared" si="80"/>
        <v>PREMINUM MORNING</v>
      </c>
    </row>
    <row r="1675" spans="1:16" x14ac:dyDescent="0.3">
      <c r="A1675" s="4">
        <v>18</v>
      </c>
      <c r="B1675" t="s">
        <v>11</v>
      </c>
      <c r="C1675" s="4">
        <v>35.76</v>
      </c>
      <c r="D1675" t="s">
        <v>16</v>
      </c>
      <c r="E1675" t="s">
        <v>20</v>
      </c>
      <c r="F1675" s="4" t="s">
        <v>27</v>
      </c>
      <c r="G1675" s="4" t="s">
        <v>37</v>
      </c>
      <c r="H1675" s="4">
        <v>2</v>
      </c>
      <c r="I1675" s="4">
        <v>10</v>
      </c>
      <c r="J1675" s="1">
        <v>45566</v>
      </c>
      <c r="K1675" s="2">
        <v>1.6832175925925924E-2</v>
      </c>
      <c r="M1675" s="4" t="str">
        <f t="shared" si="78"/>
        <v>HIGH</v>
      </c>
      <c r="N1675" s="4" t="str" cm="1">
        <f t="array" ref="N1675">_xlfn.IFS(C1675&gt;35,"HIGH",C1675&gt;25,"MIDDLE",TRUE,"LOW")</f>
        <v>HIGH</v>
      </c>
      <c r="O1675" s="4" t="str">
        <f t="shared" si="79"/>
        <v>OTHERS</v>
      </c>
      <c r="P1675" s="4" t="str">
        <f t="shared" si="80"/>
        <v>PREMINUM MORNING</v>
      </c>
    </row>
    <row r="1676" spans="1:16" x14ac:dyDescent="0.3">
      <c r="A1676" s="4">
        <v>20</v>
      </c>
      <c r="B1676" t="s">
        <v>11</v>
      </c>
      <c r="C1676" s="4">
        <v>35.76</v>
      </c>
      <c r="D1676" t="s">
        <v>16</v>
      </c>
      <c r="E1676" t="s">
        <v>20</v>
      </c>
      <c r="F1676" s="4" t="s">
        <v>27</v>
      </c>
      <c r="G1676" s="4" t="s">
        <v>37</v>
      </c>
      <c r="H1676" s="4">
        <v>2</v>
      </c>
      <c r="I1676" s="4">
        <v>10</v>
      </c>
      <c r="J1676" s="1">
        <v>45566</v>
      </c>
      <c r="K1676" s="2">
        <v>2.3391203703703703E-3</v>
      </c>
      <c r="M1676" s="4" t="str">
        <f t="shared" si="78"/>
        <v>HIGH</v>
      </c>
      <c r="N1676" s="4" t="str" cm="1">
        <f t="array" ref="N1676">_xlfn.IFS(C1676&gt;35,"HIGH",C1676&gt;25,"MIDDLE",TRUE,"LOW")</f>
        <v>HIGH</v>
      </c>
      <c r="O1676" s="4" t="str">
        <f t="shared" si="79"/>
        <v>OTHERS</v>
      </c>
      <c r="P1676" s="4" t="str">
        <f t="shared" si="80"/>
        <v>PREMINUM MORNING</v>
      </c>
    </row>
    <row r="1677" spans="1:16" x14ac:dyDescent="0.3">
      <c r="A1677" s="4">
        <v>7</v>
      </c>
      <c r="B1677" t="s">
        <v>11</v>
      </c>
      <c r="C1677" s="4">
        <v>35.76</v>
      </c>
      <c r="D1677" t="s">
        <v>12</v>
      </c>
      <c r="E1677" t="s">
        <v>13</v>
      </c>
      <c r="F1677" s="4" t="s">
        <v>28</v>
      </c>
      <c r="G1677" s="4" t="s">
        <v>37</v>
      </c>
      <c r="H1677" s="4">
        <v>3</v>
      </c>
      <c r="I1677" s="4">
        <v>10</v>
      </c>
      <c r="J1677" s="1">
        <v>45567</v>
      </c>
      <c r="K1677" s="2">
        <v>3.9800925925925927E-2</v>
      </c>
      <c r="M1677" s="4" t="str">
        <f t="shared" si="78"/>
        <v>HIGH</v>
      </c>
      <c r="N1677" s="4" t="str" cm="1">
        <f t="array" ref="N1677">_xlfn.IFS(C1677&gt;35,"HIGH",C1677&gt;25,"MIDDLE",TRUE,"LOW")</f>
        <v>HIGH</v>
      </c>
      <c r="O1677" s="4" t="str">
        <f t="shared" si="79"/>
        <v>PREMINUM MORNING</v>
      </c>
      <c r="P1677" s="4" t="str">
        <f t="shared" si="80"/>
        <v>PREMINUM MORNING</v>
      </c>
    </row>
    <row r="1678" spans="1:16" x14ac:dyDescent="0.3">
      <c r="A1678" s="4">
        <v>8</v>
      </c>
      <c r="B1678" t="s">
        <v>11</v>
      </c>
      <c r="C1678" s="4">
        <v>25.96</v>
      </c>
      <c r="D1678" t="s">
        <v>24</v>
      </c>
      <c r="E1678" t="s">
        <v>13</v>
      </c>
      <c r="F1678" s="4" t="s">
        <v>28</v>
      </c>
      <c r="G1678" s="4" t="s">
        <v>37</v>
      </c>
      <c r="H1678" s="4">
        <v>3</v>
      </c>
      <c r="I1678" s="4">
        <v>10</v>
      </c>
      <c r="J1678" s="1">
        <v>45567</v>
      </c>
      <c r="K1678" s="2">
        <v>2.968287037037037E-2</v>
      </c>
      <c r="M1678" s="4" t="str">
        <f t="shared" si="78"/>
        <v>LOW</v>
      </c>
      <c r="N1678" s="4" t="str" cm="1">
        <f t="array" ref="N1678">_xlfn.IFS(C1678&gt;35,"HIGH",C1678&gt;25,"MIDDLE",TRUE,"LOW")</f>
        <v>MIDDLE</v>
      </c>
      <c r="O1678" s="4" t="str">
        <f t="shared" si="79"/>
        <v>OTHERS</v>
      </c>
      <c r="P1678" s="4" t="str">
        <f t="shared" si="80"/>
        <v>PREMINUM MORNING</v>
      </c>
    </row>
    <row r="1679" spans="1:16" x14ac:dyDescent="0.3">
      <c r="A1679" s="4">
        <v>9</v>
      </c>
      <c r="B1679" t="s">
        <v>11</v>
      </c>
      <c r="C1679" s="4">
        <v>30.86</v>
      </c>
      <c r="D1679" t="s">
        <v>19</v>
      </c>
      <c r="E1679" t="s">
        <v>13</v>
      </c>
      <c r="F1679" s="4" t="s">
        <v>28</v>
      </c>
      <c r="G1679" s="4" t="s">
        <v>37</v>
      </c>
      <c r="H1679" s="4">
        <v>3</v>
      </c>
      <c r="I1679" s="4">
        <v>10</v>
      </c>
      <c r="J1679" s="1">
        <v>45567</v>
      </c>
      <c r="K1679" s="2">
        <v>1.339236111111111E-2</v>
      </c>
      <c r="M1679" s="4" t="str">
        <f t="shared" si="78"/>
        <v>LOW</v>
      </c>
      <c r="N1679" s="4" t="str" cm="1">
        <f t="array" ref="N1679">_xlfn.IFS(C1679&gt;35,"HIGH",C1679&gt;25,"MIDDLE",TRUE,"LOW")</f>
        <v>MIDDLE</v>
      </c>
      <c r="O1679" s="4" t="str">
        <f t="shared" si="79"/>
        <v>OTHERS</v>
      </c>
      <c r="P1679" s="4" t="str">
        <f t="shared" si="80"/>
        <v>PREMINUM MORNING</v>
      </c>
    </row>
    <row r="1680" spans="1:16" x14ac:dyDescent="0.3">
      <c r="A1680" s="4">
        <v>10</v>
      </c>
      <c r="B1680" t="s">
        <v>11</v>
      </c>
      <c r="C1680" s="4">
        <v>35.76</v>
      </c>
      <c r="D1680" t="s">
        <v>12</v>
      </c>
      <c r="E1680" t="s">
        <v>13</v>
      </c>
      <c r="F1680" s="4" t="s">
        <v>28</v>
      </c>
      <c r="G1680" s="4" t="s">
        <v>37</v>
      </c>
      <c r="H1680" s="4">
        <v>3</v>
      </c>
      <c r="I1680" s="4">
        <v>10</v>
      </c>
      <c r="J1680" s="1">
        <v>45567</v>
      </c>
      <c r="K1680" s="2">
        <v>1.5295138888888889E-2</v>
      </c>
      <c r="M1680" s="4" t="str">
        <f t="shared" si="78"/>
        <v>HIGH</v>
      </c>
      <c r="N1680" s="4" t="str" cm="1">
        <f t="array" ref="N1680">_xlfn.IFS(C1680&gt;35,"HIGH",C1680&gt;25,"MIDDLE",TRUE,"LOW")</f>
        <v>HIGH</v>
      </c>
      <c r="O1680" s="4" t="str">
        <f t="shared" si="79"/>
        <v>PREMINUM MORNING</v>
      </c>
      <c r="P1680" s="4" t="str">
        <f t="shared" si="80"/>
        <v>PREMINUM MORNING</v>
      </c>
    </row>
    <row r="1681" spans="1:16" x14ac:dyDescent="0.3">
      <c r="A1681" s="4">
        <v>10</v>
      </c>
      <c r="B1681" t="s">
        <v>11</v>
      </c>
      <c r="C1681" s="4">
        <v>30.86</v>
      </c>
      <c r="D1681" t="s">
        <v>19</v>
      </c>
      <c r="E1681" t="s">
        <v>13</v>
      </c>
      <c r="F1681" s="4" t="s">
        <v>28</v>
      </c>
      <c r="G1681" s="4" t="s">
        <v>37</v>
      </c>
      <c r="H1681" s="4">
        <v>3</v>
      </c>
      <c r="I1681" s="4">
        <v>10</v>
      </c>
      <c r="J1681" s="1">
        <v>45567</v>
      </c>
      <c r="K1681" s="2">
        <v>1.6612268518518519E-2</v>
      </c>
      <c r="M1681" s="4" t="str">
        <f t="shared" si="78"/>
        <v>LOW</v>
      </c>
      <c r="N1681" s="4" t="str" cm="1">
        <f t="array" ref="N1681">_xlfn.IFS(C1681&gt;35,"HIGH",C1681&gt;25,"MIDDLE",TRUE,"LOW")</f>
        <v>MIDDLE</v>
      </c>
      <c r="O1681" s="4" t="str">
        <f t="shared" si="79"/>
        <v>OTHERS</v>
      </c>
      <c r="P1681" s="4" t="str">
        <f t="shared" si="80"/>
        <v>PREMINUM MORNING</v>
      </c>
    </row>
    <row r="1682" spans="1:16" x14ac:dyDescent="0.3">
      <c r="A1682" s="4">
        <v>11</v>
      </c>
      <c r="B1682" t="s">
        <v>11</v>
      </c>
      <c r="C1682" s="4">
        <v>35.76</v>
      </c>
      <c r="D1682" t="s">
        <v>29</v>
      </c>
      <c r="E1682" t="s">
        <v>13</v>
      </c>
      <c r="F1682" s="4" t="s">
        <v>28</v>
      </c>
      <c r="G1682" s="4" t="s">
        <v>37</v>
      </c>
      <c r="H1682" s="4">
        <v>3</v>
      </c>
      <c r="I1682" s="4">
        <v>10</v>
      </c>
      <c r="J1682" s="1">
        <v>45567</v>
      </c>
      <c r="K1682" s="2">
        <v>2.0068287037037037E-2</v>
      </c>
      <c r="M1682" s="4" t="str">
        <f t="shared" si="78"/>
        <v>HIGH</v>
      </c>
      <c r="N1682" s="4" t="str" cm="1">
        <f t="array" ref="N1682">_xlfn.IFS(C1682&gt;35,"HIGH",C1682&gt;25,"MIDDLE",TRUE,"LOW")</f>
        <v>HIGH</v>
      </c>
      <c r="O1682" s="4" t="str">
        <f t="shared" si="79"/>
        <v>PREMINUM MORNING</v>
      </c>
      <c r="P1682" s="4" t="str">
        <f t="shared" si="80"/>
        <v>PREMINUM MORNING</v>
      </c>
    </row>
    <row r="1683" spans="1:16" x14ac:dyDescent="0.3">
      <c r="A1683" s="4">
        <v>15</v>
      </c>
      <c r="B1683" t="s">
        <v>11</v>
      </c>
      <c r="C1683" s="4">
        <v>35.76</v>
      </c>
      <c r="D1683" t="s">
        <v>29</v>
      </c>
      <c r="E1683" t="s">
        <v>17</v>
      </c>
      <c r="F1683" s="4" t="s">
        <v>28</v>
      </c>
      <c r="G1683" s="4" t="s">
        <v>37</v>
      </c>
      <c r="H1683" s="4">
        <v>3</v>
      </c>
      <c r="I1683" s="4">
        <v>10</v>
      </c>
      <c r="J1683" s="1">
        <v>45567</v>
      </c>
      <c r="K1683" s="2">
        <v>9.5150462962962958E-3</v>
      </c>
      <c r="M1683" s="4" t="str">
        <f t="shared" si="78"/>
        <v>HIGH</v>
      </c>
      <c r="N1683" s="4" t="str" cm="1">
        <f t="array" ref="N1683">_xlfn.IFS(C1683&gt;35,"HIGH",C1683&gt;25,"MIDDLE",TRUE,"LOW")</f>
        <v>HIGH</v>
      </c>
      <c r="O1683" s="4" t="str">
        <f t="shared" si="79"/>
        <v>OTHERS</v>
      </c>
      <c r="P1683" s="4" t="str">
        <f t="shared" si="80"/>
        <v>PREMINUM MORNING</v>
      </c>
    </row>
    <row r="1684" spans="1:16" x14ac:dyDescent="0.3">
      <c r="A1684" s="4">
        <v>18</v>
      </c>
      <c r="B1684" t="s">
        <v>11</v>
      </c>
      <c r="C1684" s="4">
        <v>35.76</v>
      </c>
      <c r="D1684" t="s">
        <v>16</v>
      </c>
      <c r="E1684" t="s">
        <v>20</v>
      </c>
      <c r="F1684" s="4" t="s">
        <v>28</v>
      </c>
      <c r="G1684" s="4" t="s">
        <v>37</v>
      </c>
      <c r="H1684" s="4">
        <v>3</v>
      </c>
      <c r="I1684" s="4">
        <v>10</v>
      </c>
      <c r="J1684" s="1">
        <v>45567</v>
      </c>
      <c r="K1684" s="2">
        <v>2.1611111111111112E-2</v>
      </c>
      <c r="M1684" s="4" t="str">
        <f t="shared" si="78"/>
        <v>HIGH</v>
      </c>
      <c r="N1684" s="4" t="str" cm="1">
        <f t="array" ref="N1684">_xlfn.IFS(C1684&gt;35,"HIGH",C1684&gt;25,"MIDDLE",TRUE,"LOW")</f>
        <v>HIGH</v>
      </c>
      <c r="O1684" s="4" t="str">
        <f t="shared" si="79"/>
        <v>OTHERS</v>
      </c>
      <c r="P1684" s="4" t="str">
        <f t="shared" si="80"/>
        <v>PREMINUM MORNING</v>
      </c>
    </row>
    <row r="1685" spans="1:16" x14ac:dyDescent="0.3">
      <c r="A1685" s="4">
        <v>22</v>
      </c>
      <c r="B1685" t="s">
        <v>11</v>
      </c>
      <c r="C1685" s="4">
        <v>35.76</v>
      </c>
      <c r="D1685" t="s">
        <v>16</v>
      </c>
      <c r="E1685" t="s">
        <v>20</v>
      </c>
      <c r="F1685" s="4" t="s">
        <v>28</v>
      </c>
      <c r="G1685" s="4" t="s">
        <v>37</v>
      </c>
      <c r="H1685" s="4">
        <v>3</v>
      </c>
      <c r="I1685" s="4">
        <v>10</v>
      </c>
      <c r="J1685" s="1">
        <v>45567</v>
      </c>
      <c r="K1685" s="2">
        <v>1.3141203703703705E-2</v>
      </c>
      <c r="M1685" s="4" t="str">
        <f t="shared" si="78"/>
        <v>HIGH</v>
      </c>
      <c r="N1685" s="4" t="str" cm="1">
        <f t="array" ref="N1685">_xlfn.IFS(C1685&gt;35,"HIGH",C1685&gt;25,"MIDDLE",TRUE,"LOW")</f>
        <v>HIGH</v>
      </c>
      <c r="O1685" s="4" t="str">
        <f t="shared" si="79"/>
        <v>OTHERS</v>
      </c>
      <c r="P1685" s="4" t="str">
        <f t="shared" si="80"/>
        <v>PREMINUM MORNING</v>
      </c>
    </row>
    <row r="1686" spans="1:16" x14ac:dyDescent="0.3">
      <c r="A1686" s="4">
        <v>22</v>
      </c>
      <c r="B1686" t="s">
        <v>11</v>
      </c>
      <c r="C1686" s="4">
        <v>35.76</v>
      </c>
      <c r="D1686" t="s">
        <v>16</v>
      </c>
      <c r="E1686" t="s">
        <v>20</v>
      </c>
      <c r="F1686" s="4" t="s">
        <v>28</v>
      </c>
      <c r="G1686" s="4" t="s">
        <v>37</v>
      </c>
      <c r="H1686" s="4">
        <v>3</v>
      </c>
      <c r="I1686" s="4">
        <v>10</v>
      </c>
      <c r="J1686" s="1">
        <v>45567</v>
      </c>
      <c r="K1686" s="2">
        <v>1.3665509259259259E-2</v>
      </c>
      <c r="M1686" s="4" t="str">
        <f t="shared" si="78"/>
        <v>HIGH</v>
      </c>
      <c r="N1686" s="4" t="str" cm="1">
        <f t="array" ref="N1686">_xlfn.IFS(C1686&gt;35,"HIGH",C1686&gt;25,"MIDDLE",TRUE,"LOW")</f>
        <v>HIGH</v>
      </c>
      <c r="O1686" s="4" t="str">
        <f t="shared" si="79"/>
        <v>OTHERS</v>
      </c>
      <c r="P1686" s="4" t="str">
        <f t="shared" si="80"/>
        <v>PREMINUM MORNING</v>
      </c>
    </row>
    <row r="1687" spans="1:16" x14ac:dyDescent="0.3">
      <c r="A1687" s="4">
        <v>22</v>
      </c>
      <c r="B1687" t="s">
        <v>11</v>
      </c>
      <c r="C1687" s="4">
        <v>35.76</v>
      </c>
      <c r="D1687" t="s">
        <v>16</v>
      </c>
      <c r="E1687" t="s">
        <v>20</v>
      </c>
      <c r="F1687" s="4" t="s">
        <v>28</v>
      </c>
      <c r="G1687" s="4" t="s">
        <v>37</v>
      </c>
      <c r="H1687" s="4">
        <v>3</v>
      </c>
      <c r="I1687" s="4">
        <v>10</v>
      </c>
      <c r="J1687" s="1">
        <v>45567</v>
      </c>
      <c r="K1687" s="2">
        <v>1.4163194444444445E-2</v>
      </c>
      <c r="M1687" s="4" t="str">
        <f t="shared" si="78"/>
        <v>HIGH</v>
      </c>
      <c r="N1687" s="4" t="str" cm="1">
        <f t="array" ref="N1687">_xlfn.IFS(C1687&gt;35,"HIGH",C1687&gt;25,"MIDDLE",TRUE,"LOW")</f>
        <v>HIGH</v>
      </c>
      <c r="O1687" s="4" t="str">
        <f t="shared" si="79"/>
        <v>OTHERS</v>
      </c>
      <c r="P1687" s="4" t="str">
        <f t="shared" si="80"/>
        <v>PREMINUM MORNING</v>
      </c>
    </row>
    <row r="1688" spans="1:16" x14ac:dyDescent="0.3">
      <c r="A1688" s="4">
        <v>13</v>
      </c>
      <c r="B1688" t="s">
        <v>11</v>
      </c>
      <c r="C1688" s="4">
        <v>35.76</v>
      </c>
      <c r="D1688" t="s">
        <v>21</v>
      </c>
      <c r="E1688" t="s">
        <v>17</v>
      </c>
      <c r="F1688" s="4" t="s">
        <v>30</v>
      </c>
      <c r="G1688" s="4" t="s">
        <v>37</v>
      </c>
      <c r="H1688" s="4">
        <v>4</v>
      </c>
      <c r="I1688" s="4">
        <v>10</v>
      </c>
      <c r="J1688" s="1">
        <v>45568</v>
      </c>
      <c r="K1688" s="2">
        <v>3.3054398148148152E-2</v>
      </c>
      <c r="M1688" s="4" t="str">
        <f t="shared" si="78"/>
        <v>HIGH</v>
      </c>
      <c r="N1688" s="4" t="str" cm="1">
        <f t="array" ref="N1688">_xlfn.IFS(C1688&gt;35,"HIGH",C1688&gt;25,"MIDDLE",TRUE,"LOW")</f>
        <v>HIGH</v>
      </c>
      <c r="O1688" s="4" t="str">
        <f t="shared" si="79"/>
        <v>OTHERS</v>
      </c>
      <c r="P1688" s="4" t="str">
        <f t="shared" si="80"/>
        <v>PREMINUM MORNING</v>
      </c>
    </row>
    <row r="1689" spans="1:16" x14ac:dyDescent="0.3">
      <c r="A1689" s="4">
        <v>15</v>
      </c>
      <c r="B1689" t="s">
        <v>11</v>
      </c>
      <c r="C1689" s="4">
        <v>30.86</v>
      </c>
      <c r="D1689" t="s">
        <v>19</v>
      </c>
      <c r="E1689" t="s">
        <v>17</v>
      </c>
      <c r="F1689" s="4" t="s">
        <v>30</v>
      </c>
      <c r="G1689" s="4" t="s">
        <v>37</v>
      </c>
      <c r="H1689" s="4">
        <v>4</v>
      </c>
      <c r="I1689" s="4">
        <v>10</v>
      </c>
      <c r="J1689" s="1">
        <v>45568</v>
      </c>
      <c r="K1689" s="2">
        <v>8.3935185185185189E-3</v>
      </c>
      <c r="M1689" s="4" t="str">
        <f t="shared" si="78"/>
        <v>LOW</v>
      </c>
      <c r="N1689" s="4" t="str" cm="1">
        <f t="array" ref="N1689">_xlfn.IFS(C1689&gt;35,"HIGH",C1689&gt;25,"MIDDLE",TRUE,"LOW")</f>
        <v>MIDDLE</v>
      </c>
      <c r="O1689" s="4" t="str">
        <f t="shared" si="79"/>
        <v>OTHERS</v>
      </c>
      <c r="P1689" s="4" t="str">
        <f t="shared" si="80"/>
        <v>OTHERS</v>
      </c>
    </row>
    <row r="1690" spans="1:16" x14ac:dyDescent="0.3">
      <c r="A1690" s="4">
        <v>20</v>
      </c>
      <c r="B1690" t="s">
        <v>11</v>
      </c>
      <c r="C1690" s="4">
        <v>25.96</v>
      </c>
      <c r="D1690" t="s">
        <v>24</v>
      </c>
      <c r="E1690" t="s">
        <v>20</v>
      </c>
      <c r="F1690" s="4" t="s">
        <v>30</v>
      </c>
      <c r="G1690" s="4" t="s">
        <v>37</v>
      </c>
      <c r="H1690" s="4">
        <v>4</v>
      </c>
      <c r="I1690" s="4">
        <v>10</v>
      </c>
      <c r="J1690" s="1">
        <v>45568</v>
      </c>
      <c r="K1690" s="2">
        <v>9.0023148148148137E-3</v>
      </c>
      <c r="M1690" s="4" t="str">
        <f t="shared" si="78"/>
        <v>LOW</v>
      </c>
      <c r="N1690" s="4" t="str" cm="1">
        <f t="array" ref="N1690">_xlfn.IFS(C1690&gt;35,"HIGH",C1690&gt;25,"MIDDLE",TRUE,"LOW")</f>
        <v>MIDDLE</v>
      </c>
      <c r="O1690" s="4" t="str">
        <f t="shared" si="79"/>
        <v>OTHERS</v>
      </c>
      <c r="P1690" s="4" t="str">
        <f t="shared" si="80"/>
        <v>OTHERS</v>
      </c>
    </row>
    <row r="1691" spans="1:16" x14ac:dyDescent="0.3">
      <c r="A1691" s="4">
        <v>20</v>
      </c>
      <c r="B1691" t="s">
        <v>11</v>
      </c>
      <c r="C1691" s="4">
        <v>35.76</v>
      </c>
      <c r="D1691" t="s">
        <v>16</v>
      </c>
      <c r="E1691" t="s">
        <v>20</v>
      </c>
      <c r="F1691" s="4" t="s">
        <v>30</v>
      </c>
      <c r="G1691" s="4" t="s">
        <v>37</v>
      </c>
      <c r="H1691" s="4">
        <v>4</v>
      </c>
      <c r="I1691" s="4">
        <v>10</v>
      </c>
      <c r="J1691" s="1">
        <v>45568</v>
      </c>
      <c r="K1691" s="2">
        <v>9.7777777777777776E-3</v>
      </c>
      <c r="M1691" s="4" t="str">
        <f t="shared" si="78"/>
        <v>HIGH</v>
      </c>
      <c r="N1691" s="4" t="str" cm="1">
        <f t="array" ref="N1691">_xlfn.IFS(C1691&gt;35,"HIGH",C1691&gt;25,"MIDDLE",TRUE,"LOW")</f>
        <v>HIGH</v>
      </c>
      <c r="O1691" s="4" t="str">
        <f t="shared" si="79"/>
        <v>OTHERS</v>
      </c>
      <c r="P1691" s="4" t="str">
        <f t="shared" si="80"/>
        <v>PREMINUM MORNING</v>
      </c>
    </row>
    <row r="1692" spans="1:16" x14ac:dyDescent="0.3">
      <c r="A1692" s="4">
        <v>21</v>
      </c>
      <c r="B1692" t="s">
        <v>11</v>
      </c>
      <c r="C1692" s="4">
        <v>35.76</v>
      </c>
      <c r="D1692" t="s">
        <v>16</v>
      </c>
      <c r="E1692" t="s">
        <v>20</v>
      </c>
      <c r="F1692" s="4" t="s">
        <v>30</v>
      </c>
      <c r="G1692" s="4" t="s">
        <v>37</v>
      </c>
      <c r="H1692" s="4">
        <v>4</v>
      </c>
      <c r="I1692" s="4">
        <v>10</v>
      </c>
      <c r="J1692" s="1">
        <v>45568</v>
      </c>
      <c r="K1692" s="2">
        <v>1.4656249999999999E-2</v>
      </c>
      <c r="M1692" s="4" t="str">
        <f t="shared" si="78"/>
        <v>HIGH</v>
      </c>
      <c r="N1692" s="4" t="str" cm="1">
        <f t="array" ref="N1692">_xlfn.IFS(C1692&gt;35,"HIGH",C1692&gt;25,"MIDDLE",TRUE,"LOW")</f>
        <v>HIGH</v>
      </c>
      <c r="O1692" s="4" t="str">
        <f t="shared" si="79"/>
        <v>OTHERS</v>
      </c>
      <c r="P1692" s="4" t="str">
        <f t="shared" si="80"/>
        <v>PREMINUM MORNING</v>
      </c>
    </row>
    <row r="1693" spans="1:16" x14ac:dyDescent="0.3">
      <c r="A1693" s="4">
        <v>21</v>
      </c>
      <c r="B1693" t="s">
        <v>11</v>
      </c>
      <c r="C1693" s="4">
        <v>35.76</v>
      </c>
      <c r="D1693" t="s">
        <v>16</v>
      </c>
      <c r="E1693" t="s">
        <v>20</v>
      </c>
      <c r="F1693" s="4" t="s">
        <v>30</v>
      </c>
      <c r="G1693" s="4" t="s">
        <v>37</v>
      </c>
      <c r="H1693" s="4">
        <v>4</v>
      </c>
      <c r="I1693" s="4">
        <v>10</v>
      </c>
      <c r="J1693" s="1">
        <v>45568</v>
      </c>
      <c r="K1693" s="2">
        <v>1.5125E-2</v>
      </c>
      <c r="M1693" s="4" t="str">
        <f t="shared" si="78"/>
        <v>HIGH</v>
      </c>
      <c r="N1693" s="4" t="str" cm="1">
        <f t="array" ref="N1693">_xlfn.IFS(C1693&gt;35,"HIGH",C1693&gt;25,"MIDDLE",TRUE,"LOW")</f>
        <v>HIGH</v>
      </c>
      <c r="O1693" s="4" t="str">
        <f t="shared" si="79"/>
        <v>OTHERS</v>
      </c>
      <c r="P1693" s="4" t="str">
        <f t="shared" si="80"/>
        <v>PREMINUM MORNING</v>
      </c>
    </row>
    <row r="1694" spans="1:16" x14ac:dyDescent="0.3">
      <c r="A1694" s="4">
        <v>21</v>
      </c>
      <c r="B1694" t="s">
        <v>11</v>
      </c>
      <c r="C1694" s="4">
        <v>35.76</v>
      </c>
      <c r="D1694" t="s">
        <v>29</v>
      </c>
      <c r="E1694" t="s">
        <v>20</v>
      </c>
      <c r="F1694" s="4" t="s">
        <v>30</v>
      </c>
      <c r="G1694" s="4" t="s">
        <v>37</v>
      </c>
      <c r="H1694" s="4">
        <v>4</v>
      </c>
      <c r="I1694" s="4">
        <v>10</v>
      </c>
      <c r="J1694" s="1">
        <v>45568</v>
      </c>
      <c r="K1694" s="2">
        <v>2.0178240740740743E-2</v>
      </c>
      <c r="M1694" s="4" t="str">
        <f t="shared" si="78"/>
        <v>HIGH</v>
      </c>
      <c r="N1694" s="4" t="str" cm="1">
        <f t="array" ref="N1694">_xlfn.IFS(C1694&gt;35,"HIGH",C1694&gt;25,"MIDDLE",TRUE,"LOW")</f>
        <v>HIGH</v>
      </c>
      <c r="O1694" s="4" t="str">
        <f t="shared" si="79"/>
        <v>OTHERS</v>
      </c>
      <c r="P1694" s="4" t="str">
        <f t="shared" si="80"/>
        <v>PREMINUM MORNING</v>
      </c>
    </row>
    <row r="1695" spans="1:16" x14ac:dyDescent="0.3">
      <c r="A1695" s="4">
        <v>21</v>
      </c>
      <c r="B1695" t="s">
        <v>11</v>
      </c>
      <c r="C1695" s="4">
        <v>35.76</v>
      </c>
      <c r="D1695" t="s">
        <v>16</v>
      </c>
      <c r="E1695" t="s">
        <v>20</v>
      </c>
      <c r="F1695" s="4" t="s">
        <v>30</v>
      </c>
      <c r="G1695" s="4" t="s">
        <v>37</v>
      </c>
      <c r="H1695" s="4">
        <v>4</v>
      </c>
      <c r="I1695" s="4">
        <v>10</v>
      </c>
      <c r="J1695" s="1">
        <v>45568</v>
      </c>
      <c r="K1695" s="2">
        <v>2.1533564814814814E-2</v>
      </c>
      <c r="M1695" s="4" t="str">
        <f t="shared" si="78"/>
        <v>HIGH</v>
      </c>
      <c r="N1695" s="4" t="str" cm="1">
        <f t="array" ref="N1695">_xlfn.IFS(C1695&gt;35,"HIGH",C1695&gt;25,"MIDDLE",TRUE,"LOW")</f>
        <v>HIGH</v>
      </c>
      <c r="O1695" s="4" t="str">
        <f t="shared" si="79"/>
        <v>OTHERS</v>
      </c>
      <c r="P1695" s="4" t="str">
        <f t="shared" si="80"/>
        <v>PREMINUM MORNING</v>
      </c>
    </row>
    <row r="1696" spans="1:16" x14ac:dyDescent="0.3">
      <c r="A1696" s="4">
        <v>8</v>
      </c>
      <c r="B1696" t="s">
        <v>11</v>
      </c>
      <c r="C1696" s="4">
        <v>25.96</v>
      </c>
      <c r="D1696" t="s">
        <v>18</v>
      </c>
      <c r="E1696" t="s">
        <v>13</v>
      </c>
      <c r="F1696" s="4" t="s">
        <v>14</v>
      </c>
      <c r="G1696" s="4" t="s">
        <v>37</v>
      </c>
      <c r="H1696" s="4">
        <v>5</v>
      </c>
      <c r="I1696" s="4">
        <v>10</v>
      </c>
      <c r="J1696" s="1">
        <v>45569</v>
      </c>
      <c r="K1696" s="2">
        <v>3.0565972222222224E-2</v>
      </c>
      <c r="M1696" s="4" t="str">
        <f t="shared" si="78"/>
        <v>LOW</v>
      </c>
      <c r="N1696" s="4" t="str" cm="1">
        <f t="array" ref="N1696">_xlfn.IFS(C1696&gt;35,"HIGH",C1696&gt;25,"MIDDLE",TRUE,"LOW")</f>
        <v>MIDDLE</v>
      </c>
      <c r="O1696" s="4" t="str">
        <f t="shared" si="79"/>
        <v>OTHERS</v>
      </c>
      <c r="P1696" s="4" t="str">
        <f t="shared" si="80"/>
        <v>PREMINUM MORNING</v>
      </c>
    </row>
    <row r="1697" spans="1:16" x14ac:dyDescent="0.3">
      <c r="A1697" s="4">
        <v>8</v>
      </c>
      <c r="B1697" t="s">
        <v>11</v>
      </c>
      <c r="C1697" s="4">
        <v>25.96</v>
      </c>
      <c r="D1697" t="s">
        <v>18</v>
      </c>
      <c r="E1697" t="s">
        <v>13</v>
      </c>
      <c r="F1697" s="4" t="s">
        <v>14</v>
      </c>
      <c r="G1697" s="4" t="s">
        <v>37</v>
      </c>
      <c r="H1697" s="4">
        <v>5</v>
      </c>
      <c r="I1697" s="4">
        <v>10</v>
      </c>
      <c r="J1697" s="1">
        <v>45569</v>
      </c>
      <c r="K1697" s="2">
        <v>3.170138888888889E-2</v>
      </c>
      <c r="M1697" s="4" t="str">
        <f t="shared" si="78"/>
        <v>LOW</v>
      </c>
      <c r="N1697" s="4" t="str" cm="1">
        <f t="array" ref="N1697">_xlfn.IFS(C1697&gt;35,"HIGH",C1697&gt;25,"MIDDLE",TRUE,"LOW")</f>
        <v>MIDDLE</v>
      </c>
      <c r="O1697" s="4" t="str">
        <f t="shared" si="79"/>
        <v>OTHERS</v>
      </c>
      <c r="P1697" s="4" t="str">
        <f t="shared" si="80"/>
        <v>PREMINUM MORNING</v>
      </c>
    </row>
    <row r="1698" spans="1:16" x14ac:dyDescent="0.3">
      <c r="A1698" s="4">
        <v>9</v>
      </c>
      <c r="B1698" t="s">
        <v>11</v>
      </c>
      <c r="C1698" s="4">
        <v>30.86</v>
      </c>
      <c r="D1698" t="s">
        <v>19</v>
      </c>
      <c r="E1698" t="s">
        <v>13</v>
      </c>
      <c r="F1698" s="4" t="s">
        <v>14</v>
      </c>
      <c r="G1698" s="4" t="s">
        <v>37</v>
      </c>
      <c r="H1698" s="4">
        <v>5</v>
      </c>
      <c r="I1698" s="4">
        <v>10</v>
      </c>
      <c r="J1698" s="1">
        <v>45569</v>
      </c>
      <c r="K1698" s="2">
        <v>2.1087962962962965E-2</v>
      </c>
      <c r="M1698" s="4" t="str">
        <f t="shared" si="78"/>
        <v>LOW</v>
      </c>
      <c r="N1698" s="4" t="str" cm="1">
        <f t="array" ref="N1698">_xlfn.IFS(C1698&gt;35,"HIGH",C1698&gt;25,"MIDDLE",TRUE,"LOW")</f>
        <v>MIDDLE</v>
      </c>
      <c r="O1698" s="4" t="str">
        <f t="shared" si="79"/>
        <v>OTHERS</v>
      </c>
      <c r="P1698" s="4" t="str">
        <f t="shared" si="80"/>
        <v>PREMINUM MORNING</v>
      </c>
    </row>
    <row r="1699" spans="1:16" x14ac:dyDescent="0.3">
      <c r="A1699" s="4">
        <v>9</v>
      </c>
      <c r="B1699" t="s">
        <v>11</v>
      </c>
      <c r="C1699" s="4">
        <v>25.96</v>
      </c>
      <c r="D1699" t="s">
        <v>18</v>
      </c>
      <c r="E1699" t="s">
        <v>13</v>
      </c>
      <c r="F1699" s="4" t="s">
        <v>14</v>
      </c>
      <c r="G1699" s="4" t="s">
        <v>37</v>
      </c>
      <c r="H1699" s="4">
        <v>5</v>
      </c>
      <c r="I1699" s="4">
        <v>10</v>
      </c>
      <c r="J1699" s="1">
        <v>45569</v>
      </c>
      <c r="K1699" s="2">
        <v>2.1841435185185182E-2</v>
      </c>
      <c r="M1699" s="4" t="str">
        <f t="shared" si="78"/>
        <v>LOW</v>
      </c>
      <c r="N1699" s="4" t="str" cm="1">
        <f t="array" ref="N1699">_xlfn.IFS(C1699&gt;35,"HIGH",C1699&gt;25,"MIDDLE",TRUE,"LOW")</f>
        <v>MIDDLE</v>
      </c>
      <c r="O1699" s="4" t="str">
        <f t="shared" si="79"/>
        <v>OTHERS</v>
      </c>
      <c r="P1699" s="4" t="str">
        <f t="shared" si="80"/>
        <v>PREMINUM MORNING</v>
      </c>
    </row>
    <row r="1700" spans="1:16" x14ac:dyDescent="0.3">
      <c r="A1700" s="4">
        <v>9</v>
      </c>
      <c r="B1700" t="s">
        <v>11</v>
      </c>
      <c r="C1700" s="4">
        <v>25.96</v>
      </c>
      <c r="D1700" t="s">
        <v>24</v>
      </c>
      <c r="E1700" t="s">
        <v>13</v>
      </c>
      <c r="F1700" s="4" t="s">
        <v>14</v>
      </c>
      <c r="G1700" s="4" t="s">
        <v>37</v>
      </c>
      <c r="H1700" s="4">
        <v>5</v>
      </c>
      <c r="I1700" s="4">
        <v>10</v>
      </c>
      <c r="J1700" s="1">
        <v>45569</v>
      </c>
      <c r="K1700" s="2">
        <v>3.7483796296296293E-2</v>
      </c>
      <c r="M1700" s="4" t="str">
        <f t="shared" si="78"/>
        <v>LOW</v>
      </c>
      <c r="N1700" s="4" t="str" cm="1">
        <f t="array" ref="N1700">_xlfn.IFS(C1700&gt;35,"HIGH",C1700&gt;25,"MIDDLE",TRUE,"LOW")</f>
        <v>MIDDLE</v>
      </c>
      <c r="O1700" s="4" t="str">
        <f t="shared" si="79"/>
        <v>OTHERS</v>
      </c>
      <c r="P1700" s="4" t="str">
        <f t="shared" si="80"/>
        <v>PREMINUM MORNING</v>
      </c>
    </row>
    <row r="1701" spans="1:16" x14ac:dyDescent="0.3">
      <c r="A1701" s="4">
        <v>9</v>
      </c>
      <c r="B1701" t="s">
        <v>11</v>
      </c>
      <c r="C1701" s="4">
        <v>25.96</v>
      </c>
      <c r="D1701" t="s">
        <v>24</v>
      </c>
      <c r="E1701" t="s">
        <v>13</v>
      </c>
      <c r="F1701" s="4" t="s">
        <v>14</v>
      </c>
      <c r="G1701" s="4" t="s">
        <v>37</v>
      </c>
      <c r="H1701" s="4">
        <v>5</v>
      </c>
      <c r="I1701" s="4">
        <v>10</v>
      </c>
      <c r="J1701" s="1">
        <v>45569</v>
      </c>
      <c r="K1701" s="2">
        <v>3.8247685185185183E-2</v>
      </c>
      <c r="M1701" s="4" t="str">
        <f t="shared" si="78"/>
        <v>LOW</v>
      </c>
      <c r="N1701" s="4" t="str" cm="1">
        <f t="array" ref="N1701">_xlfn.IFS(C1701&gt;35,"HIGH",C1701&gt;25,"MIDDLE",TRUE,"LOW")</f>
        <v>MIDDLE</v>
      </c>
      <c r="O1701" s="4" t="str">
        <f t="shared" si="79"/>
        <v>OTHERS</v>
      </c>
      <c r="P1701" s="4" t="str">
        <f t="shared" si="80"/>
        <v>PREMINUM MORNING</v>
      </c>
    </row>
    <row r="1702" spans="1:16" x14ac:dyDescent="0.3">
      <c r="A1702" s="4">
        <v>17</v>
      </c>
      <c r="B1702" t="s">
        <v>11</v>
      </c>
      <c r="C1702" s="4">
        <v>35.76</v>
      </c>
      <c r="D1702" t="s">
        <v>12</v>
      </c>
      <c r="E1702" t="s">
        <v>20</v>
      </c>
      <c r="F1702" s="4" t="s">
        <v>14</v>
      </c>
      <c r="G1702" s="4" t="s">
        <v>37</v>
      </c>
      <c r="H1702" s="4">
        <v>5</v>
      </c>
      <c r="I1702" s="4">
        <v>10</v>
      </c>
      <c r="J1702" s="1">
        <v>45569</v>
      </c>
      <c r="K1702" s="2">
        <v>2.4476851851851854E-2</v>
      </c>
      <c r="M1702" s="4" t="str">
        <f t="shared" si="78"/>
        <v>HIGH</v>
      </c>
      <c r="N1702" s="4" t="str" cm="1">
        <f t="array" ref="N1702">_xlfn.IFS(C1702&gt;35,"HIGH",C1702&gt;25,"MIDDLE",TRUE,"LOW")</f>
        <v>HIGH</v>
      </c>
      <c r="O1702" s="4" t="str">
        <f t="shared" si="79"/>
        <v>OTHERS</v>
      </c>
      <c r="P1702" s="4" t="str">
        <f t="shared" si="80"/>
        <v>PREMINUM MORNING</v>
      </c>
    </row>
    <row r="1703" spans="1:16" x14ac:dyDescent="0.3">
      <c r="A1703" s="4">
        <v>17</v>
      </c>
      <c r="B1703" t="s">
        <v>11</v>
      </c>
      <c r="C1703" s="4">
        <v>35.76</v>
      </c>
      <c r="D1703" t="s">
        <v>16</v>
      </c>
      <c r="E1703" t="s">
        <v>20</v>
      </c>
      <c r="F1703" s="4" t="s">
        <v>14</v>
      </c>
      <c r="G1703" s="4" t="s">
        <v>37</v>
      </c>
      <c r="H1703" s="4">
        <v>5</v>
      </c>
      <c r="I1703" s="4">
        <v>10</v>
      </c>
      <c r="J1703" s="1">
        <v>45569</v>
      </c>
      <c r="K1703" s="2">
        <v>2.9423611111111109E-2</v>
      </c>
      <c r="M1703" s="4" t="str">
        <f t="shared" si="78"/>
        <v>HIGH</v>
      </c>
      <c r="N1703" s="4" t="str" cm="1">
        <f t="array" ref="N1703">_xlfn.IFS(C1703&gt;35,"HIGH",C1703&gt;25,"MIDDLE",TRUE,"LOW")</f>
        <v>HIGH</v>
      </c>
      <c r="O1703" s="4" t="str">
        <f t="shared" si="79"/>
        <v>OTHERS</v>
      </c>
      <c r="P1703" s="4" t="str">
        <f t="shared" si="80"/>
        <v>PREMINUM MORNING</v>
      </c>
    </row>
    <row r="1704" spans="1:16" x14ac:dyDescent="0.3">
      <c r="A1704" s="4">
        <v>17</v>
      </c>
      <c r="B1704" t="s">
        <v>11</v>
      </c>
      <c r="C1704" s="4">
        <v>35.76</v>
      </c>
      <c r="D1704" t="s">
        <v>21</v>
      </c>
      <c r="E1704" t="s">
        <v>20</v>
      </c>
      <c r="F1704" s="4" t="s">
        <v>14</v>
      </c>
      <c r="G1704" s="4" t="s">
        <v>37</v>
      </c>
      <c r="H1704" s="4">
        <v>5</v>
      </c>
      <c r="I1704" s="4">
        <v>10</v>
      </c>
      <c r="J1704" s="1">
        <v>45569</v>
      </c>
      <c r="K1704" s="2">
        <v>3.0976851851851853E-2</v>
      </c>
      <c r="M1704" s="4" t="str">
        <f t="shared" si="78"/>
        <v>HIGH</v>
      </c>
      <c r="N1704" s="4" t="str" cm="1">
        <f t="array" ref="N1704">_xlfn.IFS(C1704&gt;35,"HIGH",C1704&gt;25,"MIDDLE",TRUE,"LOW")</f>
        <v>HIGH</v>
      </c>
      <c r="O1704" s="4" t="str">
        <f t="shared" si="79"/>
        <v>OTHERS</v>
      </c>
      <c r="P1704" s="4" t="str">
        <f t="shared" si="80"/>
        <v>PREMINUM MORNING</v>
      </c>
    </row>
    <row r="1705" spans="1:16" x14ac:dyDescent="0.3">
      <c r="A1705" s="4">
        <v>9</v>
      </c>
      <c r="B1705" t="s">
        <v>11</v>
      </c>
      <c r="C1705" s="4">
        <v>25.96</v>
      </c>
      <c r="D1705" t="s">
        <v>24</v>
      </c>
      <c r="E1705" t="s">
        <v>13</v>
      </c>
      <c r="F1705" s="4" t="s">
        <v>22</v>
      </c>
      <c r="G1705" s="4" t="s">
        <v>37</v>
      </c>
      <c r="H1705" s="4">
        <v>6</v>
      </c>
      <c r="I1705" s="4">
        <v>10</v>
      </c>
      <c r="J1705" s="1">
        <v>45570</v>
      </c>
      <c r="K1705" s="2">
        <v>5.4282407407407404E-4</v>
      </c>
      <c r="M1705" s="4" t="str">
        <f t="shared" si="78"/>
        <v>LOW</v>
      </c>
      <c r="N1705" s="4" t="str" cm="1">
        <f t="array" ref="N1705">_xlfn.IFS(C1705&gt;35,"HIGH",C1705&gt;25,"MIDDLE",TRUE,"LOW")</f>
        <v>MIDDLE</v>
      </c>
      <c r="O1705" s="4" t="str">
        <f t="shared" si="79"/>
        <v>OTHERS</v>
      </c>
      <c r="P1705" s="4" t="str">
        <f t="shared" si="80"/>
        <v>PREMINUM MORNING</v>
      </c>
    </row>
    <row r="1706" spans="1:16" x14ac:dyDescent="0.3">
      <c r="A1706" s="4">
        <v>9</v>
      </c>
      <c r="B1706" t="s">
        <v>11</v>
      </c>
      <c r="C1706" s="4">
        <v>25.96</v>
      </c>
      <c r="D1706" t="s">
        <v>24</v>
      </c>
      <c r="E1706" t="s">
        <v>13</v>
      </c>
      <c r="F1706" s="4" t="s">
        <v>22</v>
      </c>
      <c r="G1706" s="4" t="s">
        <v>37</v>
      </c>
      <c r="H1706" s="4">
        <v>6</v>
      </c>
      <c r="I1706" s="4">
        <v>10</v>
      </c>
      <c r="J1706" s="1">
        <v>45570</v>
      </c>
      <c r="K1706" s="2">
        <v>1.1886574074074074E-3</v>
      </c>
      <c r="M1706" s="4" t="str">
        <f t="shared" si="78"/>
        <v>LOW</v>
      </c>
      <c r="N1706" s="4" t="str" cm="1">
        <f t="array" ref="N1706">_xlfn.IFS(C1706&gt;35,"HIGH",C1706&gt;25,"MIDDLE",TRUE,"LOW")</f>
        <v>MIDDLE</v>
      </c>
      <c r="O1706" s="4" t="str">
        <f t="shared" si="79"/>
        <v>OTHERS</v>
      </c>
      <c r="P1706" s="4" t="str">
        <f t="shared" si="80"/>
        <v>PREMINUM MORNING</v>
      </c>
    </row>
    <row r="1707" spans="1:16" x14ac:dyDescent="0.3">
      <c r="A1707" s="4">
        <v>9</v>
      </c>
      <c r="B1707" t="s">
        <v>11</v>
      </c>
      <c r="C1707" s="4">
        <v>35.76</v>
      </c>
      <c r="D1707" t="s">
        <v>21</v>
      </c>
      <c r="E1707" t="s">
        <v>13</v>
      </c>
      <c r="F1707" s="4" t="s">
        <v>22</v>
      </c>
      <c r="G1707" s="4" t="s">
        <v>37</v>
      </c>
      <c r="H1707" s="4">
        <v>6</v>
      </c>
      <c r="I1707" s="4">
        <v>10</v>
      </c>
      <c r="J1707" s="1">
        <v>45570</v>
      </c>
      <c r="K1707" s="2">
        <v>2.4825231481481483E-2</v>
      </c>
      <c r="M1707" s="4" t="str">
        <f t="shared" si="78"/>
        <v>HIGH</v>
      </c>
      <c r="N1707" s="4" t="str" cm="1">
        <f t="array" ref="N1707">_xlfn.IFS(C1707&gt;35,"HIGH",C1707&gt;25,"MIDDLE",TRUE,"LOW")</f>
        <v>HIGH</v>
      </c>
      <c r="O1707" s="4" t="str">
        <f t="shared" si="79"/>
        <v>PREMINUM MORNING</v>
      </c>
      <c r="P1707" s="4" t="str">
        <f t="shared" si="80"/>
        <v>PREMINUM MORNING</v>
      </c>
    </row>
    <row r="1708" spans="1:16" x14ac:dyDescent="0.3">
      <c r="A1708" s="4">
        <v>13</v>
      </c>
      <c r="B1708" t="s">
        <v>11</v>
      </c>
      <c r="C1708" s="4">
        <v>35.76</v>
      </c>
      <c r="D1708" t="s">
        <v>29</v>
      </c>
      <c r="E1708" t="s">
        <v>17</v>
      </c>
      <c r="F1708" s="4" t="s">
        <v>22</v>
      </c>
      <c r="G1708" s="4" t="s">
        <v>37</v>
      </c>
      <c r="H1708" s="4">
        <v>6</v>
      </c>
      <c r="I1708" s="4">
        <v>10</v>
      </c>
      <c r="J1708" s="1">
        <v>45570</v>
      </c>
      <c r="K1708" s="2">
        <v>8.4872685185185173E-3</v>
      </c>
      <c r="M1708" s="4" t="str">
        <f t="shared" si="78"/>
        <v>HIGH</v>
      </c>
      <c r="N1708" s="4" t="str" cm="1">
        <f t="array" ref="N1708">_xlfn.IFS(C1708&gt;35,"HIGH",C1708&gt;25,"MIDDLE",TRUE,"LOW")</f>
        <v>HIGH</v>
      </c>
      <c r="O1708" s="4" t="str">
        <f t="shared" si="79"/>
        <v>OTHERS</v>
      </c>
      <c r="P1708" s="4" t="str">
        <f t="shared" si="80"/>
        <v>PREMINUM MORNING</v>
      </c>
    </row>
    <row r="1709" spans="1:16" x14ac:dyDescent="0.3">
      <c r="A1709" s="4">
        <v>20</v>
      </c>
      <c r="B1709" t="s">
        <v>11</v>
      </c>
      <c r="C1709" s="4">
        <v>25.96</v>
      </c>
      <c r="D1709" t="s">
        <v>18</v>
      </c>
      <c r="E1709" t="s">
        <v>20</v>
      </c>
      <c r="F1709" s="4" t="s">
        <v>22</v>
      </c>
      <c r="G1709" s="4" t="s">
        <v>37</v>
      </c>
      <c r="H1709" s="4">
        <v>6</v>
      </c>
      <c r="I1709" s="4">
        <v>10</v>
      </c>
      <c r="J1709" s="1">
        <v>45570</v>
      </c>
      <c r="K1709" s="2">
        <v>5.9965277777777777E-3</v>
      </c>
      <c r="M1709" s="4" t="str">
        <f t="shared" si="78"/>
        <v>LOW</v>
      </c>
      <c r="N1709" s="4" t="str" cm="1">
        <f t="array" ref="N1709">_xlfn.IFS(C1709&gt;35,"HIGH",C1709&gt;25,"MIDDLE",TRUE,"LOW")</f>
        <v>MIDDLE</v>
      </c>
      <c r="O1709" s="4" t="str">
        <f t="shared" si="79"/>
        <v>OTHERS</v>
      </c>
      <c r="P1709" s="4" t="str">
        <f t="shared" si="80"/>
        <v>OTHERS</v>
      </c>
    </row>
    <row r="1710" spans="1:16" x14ac:dyDescent="0.3">
      <c r="A1710" s="4">
        <v>20</v>
      </c>
      <c r="B1710" t="s">
        <v>11</v>
      </c>
      <c r="C1710" s="4">
        <v>25.96</v>
      </c>
      <c r="D1710" t="s">
        <v>18</v>
      </c>
      <c r="E1710" t="s">
        <v>20</v>
      </c>
      <c r="F1710" s="4" t="s">
        <v>22</v>
      </c>
      <c r="G1710" s="4" t="s">
        <v>37</v>
      </c>
      <c r="H1710" s="4">
        <v>6</v>
      </c>
      <c r="I1710" s="4">
        <v>10</v>
      </c>
      <c r="J1710" s="1">
        <v>45570</v>
      </c>
      <c r="K1710" s="2">
        <v>6.6388888888888895E-3</v>
      </c>
      <c r="M1710" s="4" t="str">
        <f t="shared" si="78"/>
        <v>LOW</v>
      </c>
      <c r="N1710" s="4" t="str" cm="1">
        <f t="array" ref="N1710">_xlfn.IFS(C1710&gt;35,"HIGH",C1710&gt;25,"MIDDLE",TRUE,"LOW")</f>
        <v>MIDDLE</v>
      </c>
      <c r="O1710" s="4" t="str">
        <f t="shared" si="79"/>
        <v>OTHERS</v>
      </c>
      <c r="P1710" s="4" t="str">
        <f t="shared" si="80"/>
        <v>OTHERS</v>
      </c>
    </row>
    <row r="1711" spans="1:16" x14ac:dyDescent="0.3">
      <c r="A1711" s="4">
        <v>8</v>
      </c>
      <c r="B1711" t="s">
        <v>11</v>
      </c>
      <c r="C1711" s="4">
        <v>25.96</v>
      </c>
      <c r="D1711" t="s">
        <v>24</v>
      </c>
      <c r="E1711" t="s">
        <v>13</v>
      </c>
      <c r="F1711" s="4" t="s">
        <v>23</v>
      </c>
      <c r="G1711" s="4" t="s">
        <v>37</v>
      </c>
      <c r="H1711" s="4">
        <v>7</v>
      </c>
      <c r="I1711" s="4">
        <v>10</v>
      </c>
      <c r="J1711" s="1">
        <v>45571</v>
      </c>
      <c r="K1711" s="2">
        <v>1.593402777777778E-2</v>
      </c>
      <c r="M1711" s="4" t="str">
        <f t="shared" si="78"/>
        <v>LOW</v>
      </c>
      <c r="N1711" s="4" t="str" cm="1">
        <f t="array" ref="N1711">_xlfn.IFS(C1711&gt;35,"HIGH",C1711&gt;25,"MIDDLE",TRUE,"LOW")</f>
        <v>MIDDLE</v>
      </c>
      <c r="O1711" s="4" t="str">
        <f t="shared" si="79"/>
        <v>OTHERS</v>
      </c>
      <c r="P1711" s="4" t="str">
        <f t="shared" si="80"/>
        <v>PREMINUM MORNING</v>
      </c>
    </row>
    <row r="1712" spans="1:16" x14ac:dyDescent="0.3">
      <c r="A1712" s="4">
        <v>10</v>
      </c>
      <c r="B1712" t="s">
        <v>11</v>
      </c>
      <c r="C1712" s="4">
        <v>35.76</v>
      </c>
      <c r="D1712" t="s">
        <v>29</v>
      </c>
      <c r="E1712" t="s">
        <v>13</v>
      </c>
      <c r="F1712" s="4" t="s">
        <v>23</v>
      </c>
      <c r="G1712" s="4" t="s">
        <v>37</v>
      </c>
      <c r="H1712" s="4">
        <v>7</v>
      </c>
      <c r="I1712" s="4">
        <v>10</v>
      </c>
      <c r="J1712" s="1">
        <v>45571</v>
      </c>
      <c r="K1712" s="2">
        <v>3.9768518518518521E-3</v>
      </c>
      <c r="M1712" s="4" t="str">
        <f t="shared" si="78"/>
        <v>HIGH</v>
      </c>
      <c r="N1712" s="4" t="str" cm="1">
        <f t="array" ref="N1712">_xlfn.IFS(C1712&gt;35,"HIGH",C1712&gt;25,"MIDDLE",TRUE,"LOW")</f>
        <v>HIGH</v>
      </c>
      <c r="O1712" s="4" t="str">
        <f t="shared" si="79"/>
        <v>PREMINUM MORNING</v>
      </c>
      <c r="P1712" s="4" t="str">
        <f t="shared" si="80"/>
        <v>PREMINUM MORNING</v>
      </c>
    </row>
    <row r="1713" spans="1:16" x14ac:dyDescent="0.3">
      <c r="A1713" s="4">
        <v>10</v>
      </c>
      <c r="B1713" t="s">
        <v>11</v>
      </c>
      <c r="C1713" s="4">
        <v>25.96</v>
      </c>
      <c r="D1713" t="s">
        <v>24</v>
      </c>
      <c r="E1713" t="s">
        <v>13</v>
      </c>
      <c r="F1713" s="4" t="s">
        <v>23</v>
      </c>
      <c r="G1713" s="4" t="s">
        <v>37</v>
      </c>
      <c r="H1713" s="4">
        <v>7</v>
      </c>
      <c r="I1713" s="4">
        <v>10</v>
      </c>
      <c r="J1713" s="1">
        <v>45571</v>
      </c>
      <c r="K1713" s="2">
        <v>4.7118055555555559E-3</v>
      </c>
      <c r="M1713" s="4" t="str">
        <f t="shared" si="78"/>
        <v>LOW</v>
      </c>
      <c r="N1713" s="4" t="str" cm="1">
        <f t="array" ref="N1713">_xlfn.IFS(C1713&gt;35,"HIGH",C1713&gt;25,"MIDDLE",TRUE,"LOW")</f>
        <v>MIDDLE</v>
      </c>
      <c r="O1713" s="4" t="str">
        <f t="shared" si="79"/>
        <v>OTHERS</v>
      </c>
      <c r="P1713" s="4" t="str">
        <f t="shared" si="80"/>
        <v>PREMINUM MORNING</v>
      </c>
    </row>
    <row r="1714" spans="1:16" x14ac:dyDescent="0.3">
      <c r="A1714" s="4">
        <v>11</v>
      </c>
      <c r="B1714" t="s">
        <v>11</v>
      </c>
      <c r="C1714" s="4">
        <v>35.76</v>
      </c>
      <c r="D1714" t="s">
        <v>12</v>
      </c>
      <c r="E1714" t="s">
        <v>13</v>
      </c>
      <c r="F1714" s="4" t="s">
        <v>23</v>
      </c>
      <c r="G1714" s="4" t="s">
        <v>37</v>
      </c>
      <c r="H1714" s="4">
        <v>7</v>
      </c>
      <c r="I1714" s="4">
        <v>10</v>
      </c>
      <c r="J1714" s="1">
        <v>45571</v>
      </c>
      <c r="K1714" s="2">
        <v>3.8527777777777779E-2</v>
      </c>
      <c r="M1714" s="4" t="str">
        <f t="shared" si="78"/>
        <v>HIGH</v>
      </c>
      <c r="N1714" s="4" t="str" cm="1">
        <f t="array" ref="N1714">_xlfn.IFS(C1714&gt;35,"HIGH",C1714&gt;25,"MIDDLE",TRUE,"LOW")</f>
        <v>HIGH</v>
      </c>
      <c r="O1714" s="4" t="str">
        <f t="shared" si="79"/>
        <v>PREMINUM MORNING</v>
      </c>
      <c r="P1714" s="4" t="str">
        <f t="shared" si="80"/>
        <v>PREMINUM MORNING</v>
      </c>
    </row>
    <row r="1715" spans="1:16" x14ac:dyDescent="0.3">
      <c r="A1715" s="4">
        <v>12</v>
      </c>
      <c r="B1715" t="s">
        <v>11</v>
      </c>
      <c r="C1715" s="4">
        <v>35.76</v>
      </c>
      <c r="D1715" t="s">
        <v>12</v>
      </c>
      <c r="E1715" t="s">
        <v>17</v>
      </c>
      <c r="F1715" s="4" t="s">
        <v>23</v>
      </c>
      <c r="G1715" s="4" t="s">
        <v>37</v>
      </c>
      <c r="H1715" s="4">
        <v>7</v>
      </c>
      <c r="I1715" s="4">
        <v>10</v>
      </c>
      <c r="J1715" s="1">
        <v>45571</v>
      </c>
      <c r="K1715" s="2">
        <v>6.2951388888888883E-3</v>
      </c>
      <c r="M1715" s="4" t="str">
        <f t="shared" si="78"/>
        <v>HIGH</v>
      </c>
      <c r="N1715" s="4" t="str" cm="1">
        <f t="array" ref="N1715">_xlfn.IFS(C1715&gt;35,"HIGH",C1715&gt;25,"MIDDLE",TRUE,"LOW")</f>
        <v>HIGH</v>
      </c>
      <c r="O1715" s="4" t="str">
        <f t="shared" si="79"/>
        <v>OTHERS</v>
      </c>
      <c r="P1715" s="4" t="str">
        <f t="shared" si="80"/>
        <v>PREMINUM MORNING</v>
      </c>
    </row>
    <row r="1716" spans="1:16" x14ac:dyDescent="0.3">
      <c r="A1716" s="4">
        <v>12</v>
      </c>
      <c r="B1716" t="s">
        <v>11</v>
      </c>
      <c r="C1716" s="4">
        <v>35.76</v>
      </c>
      <c r="D1716" t="s">
        <v>29</v>
      </c>
      <c r="E1716" t="s">
        <v>17</v>
      </c>
      <c r="F1716" s="4" t="s">
        <v>23</v>
      </c>
      <c r="G1716" s="4" t="s">
        <v>37</v>
      </c>
      <c r="H1716" s="4">
        <v>7</v>
      </c>
      <c r="I1716" s="4">
        <v>10</v>
      </c>
      <c r="J1716" s="1">
        <v>45571</v>
      </c>
      <c r="K1716" s="2">
        <v>7.144675925925925E-3</v>
      </c>
      <c r="M1716" s="4" t="str">
        <f t="shared" si="78"/>
        <v>HIGH</v>
      </c>
      <c r="N1716" s="4" t="str" cm="1">
        <f t="array" ref="N1716">_xlfn.IFS(C1716&gt;35,"HIGH",C1716&gt;25,"MIDDLE",TRUE,"LOW")</f>
        <v>HIGH</v>
      </c>
      <c r="O1716" s="4" t="str">
        <f t="shared" si="79"/>
        <v>OTHERS</v>
      </c>
      <c r="P1716" s="4" t="str">
        <f t="shared" si="80"/>
        <v>PREMINUM MORNING</v>
      </c>
    </row>
    <row r="1717" spans="1:16" x14ac:dyDescent="0.3">
      <c r="A1717" s="4">
        <v>12</v>
      </c>
      <c r="B1717" t="s">
        <v>11</v>
      </c>
      <c r="C1717" s="4">
        <v>30.86</v>
      </c>
      <c r="D1717" t="s">
        <v>19</v>
      </c>
      <c r="E1717" t="s">
        <v>17</v>
      </c>
      <c r="F1717" s="4" t="s">
        <v>23</v>
      </c>
      <c r="G1717" s="4" t="s">
        <v>37</v>
      </c>
      <c r="H1717" s="4">
        <v>7</v>
      </c>
      <c r="I1717" s="4">
        <v>10</v>
      </c>
      <c r="J1717" s="1">
        <v>45571</v>
      </c>
      <c r="K1717" s="2">
        <v>8.1412037037037026E-3</v>
      </c>
      <c r="M1717" s="4" t="str">
        <f t="shared" si="78"/>
        <v>LOW</v>
      </c>
      <c r="N1717" s="4" t="str" cm="1">
        <f t="array" ref="N1717">_xlfn.IFS(C1717&gt;35,"HIGH",C1717&gt;25,"MIDDLE",TRUE,"LOW")</f>
        <v>MIDDLE</v>
      </c>
      <c r="O1717" s="4" t="str">
        <f t="shared" si="79"/>
        <v>OTHERS</v>
      </c>
      <c r="P1717" s="4" t="str">
        <f t="shared" si="80"/>
        <v>OTHERS</v>
      </c>
    </row>
    <row r="1718" spans="1:16" x14ac:dyDescent="0.3">
      <c r="A1718" s="4">
        <v>13</v>
      </c>
      <c r="B1718" t="s">
        <v>11</v>
      </c>
      <c r="C1718" s="4">
        <v>25.96</v>
      </c>
      <c r="D1718" t="s">
        <v>18</v>
      </c>
      <c r="E1718" t="s">
        <v>17</v>
      </c>
      <c r="F1718" s="4" t="s">
        <v>23</v>
      </c>
      <c r="G1718" s="4" t="s">
        <v>37</v>
      </c>
      <c r="H1718" s="4">
        <v>7</v>
      </c>
      <c r="I1718" s="4">
        <v>10</v>
      </c>
      <c r="J1718" s="1">
        <v>45571</v>
      </c>
      <c r="K1718" s="2">
        <v>3.1987268518518519E-2</v>
      </c>
      <c r="M1718" s="4" t="str">
        <f t="shared" si="78"/>
        <v>LOW</v>
      </c>
      <c r="N1718" s="4" t="str" cm="1">
        <f t="array" ref="N1718">_xlfn.IFS(C1718&gt;35,"HIGH",C1718&gt;25,"MIDDLE",TRUE,"LOW")</f>
        <v>MIDDLE</v>
      </c>
      <c r="O1718" s="4" t="str">
        <f t="shared" si="79"/>
        <v>OTHERS</v>
      </c>
      <c r="P1718" s="4" t="str">
        <f t="shared" si="80"/>
        <v>OTHERS</v>
      </c>
    </row>
    <row r="1719" spans="1:16" x14ac:dyDescent="0.3">
      <c r="A1719" s="4">
        <v>13</v>
      </c>
      <c r="B1719" t="s">
        <v>11</v>
      </c>
      <c r="C1719" s="4">
        <v>35.76</v>
      </c>
      <c r="D1719" t="s">
        <v>29</v>
      </c>
      <c r="E1719" t="s">
        <v>17</v>
      </c>
      <c r="F1719" s="4" t="s">
        <v>23</v>
      </c>
      <c r="G1719" s="4" t="s">
        <v>37</v>
      </c>
      <c r="H1719" s="4">
        <v>7</v>
      </c>
      <c r="I1719" s="4">
        <v>10</v>
      </c>
      <c r="J1719" s="1">
        <v>45571</v>
      </c>
      <c r="K1719" s="2">
        <v>3.2662037037037038E-2</v>
      </c>
      <c r="M1719" s="4" t="str">
        <f t="shared" si="78"/>
        <v>HIGH</v>
      </c>
      <c r="N1719" s="4" t="str" cm="1">
        <f t="array" ref="N1719">_xlfn.IFS(C1719&gt;35,"HIGH",C1719&gt;25,"MIDDLE",TRUE,"LOW")</f>
        <v>HIGH</v>
      </c>
      <c r="O1719" s="4" t="str">
        <f t="shared" si="79"/>
        <v>OTHERS</v>
      </c>
      <c r="P1719" s="4" t="str">
        <f t="shared" si="80"/>
        <v>PREMINUM MORNING</v>
      </c>
    </row>
    <row r="1720" spans="1:16" x14ac:dyDescent="0.3">
      <c r="A1720" s="4">
        <v>13</v>
      </c>
      <c r="B1720" t="s">
        <v>11</v>
      </c>
      <c r="C1720" s="4">
        <v>30.86</v>
      </c>
      <c r="D1720" t="s">
        <v>19</v>
      </c>
      <c r="E1720" t="s">
        <v>17</v>
      </c>
      <c r="F1720" s="4" t="s">
        <v>23</v>
      </c>
      <c r="G1720" s="4" t="s">
        <v>37</v>
      </c>
      <c r="H1720" s="4">
        <v>7</v>
      </c>
      <c r="I1720" s="4">
        <v>10</v>
      </c>
      <c r="J1720" s="1">
        <v>45571</v>
      </c>
      <c r="K1720" s="2">
        <v>3.4723379629629632E-2</v>
      </c>
      <c r="M1720" s="4" t="str">
        <f t="shared" si="78"/>
        <v>LOW</v>
      </c>
      <c r="N1720" s="4" t="str" cm="1">
        <f t="array" ref="N1720">_xlfn.IFS(C1720&gt;35,"HIGH",C1720&gt;25,"MIDDLE",TRUE,"LOW")</f>
        <v>MIDDLE</v>
      </c>
      <c r="O1720" s="4" t="str">
        <f t="shared" si="79"/>
        <v>OTHERS</v>
      </c>
      <c r="P1720" s="4" t="str">
        <f t="shared" si="80"/>
        <v>OTHERS</v>
      </c>
    </row>
    <row r="1721" spans="1:16" x14ac:dyDescent="0.3">
      <c r="A1721" s="4">
        <v>13</v>
      </c>
      <c r="B1721" t="s">
        <v>11</v>
      </c>
      <c r="C1721" s="4">
        <v>35.76</v>
      </c>
      <c r="D1721" t="s">
        <v>12</v>
      </c>
      <c r="E1721" t="s">
        <v>17</v>
      </c>
      <c r="F1721" s="4" t="s">
        <v>23</v>
      </c>
      <c r="G1721" s="4" t="s">
        <v>37</v>
      </c>
      <c r="H1721" s="4">
        <v>7</v>
      </c>
      <c r="I1721" s="4">
        <v>10</v>
      </c>
      <c r="J1721" s="1">
        <v>45571</v>
      </c>
      <c r="K1721" s="2">
        <v>3.5466435185185184E-2</v>
      </c>
      <c r="M1721" s="4" t="str">
        <f t="shared" si="78"/>
        <v>HIGH</v>
      </c>
      <c r="N1721" s="4" t="str" cm="1">
        <f t="array" ref="N1721">_xlfn.IFS(C1721&gt;35,"HIGH",C1721&gt;25,"MIDDLE",TRUE,"LOW")</f>
        <v>HIGH</v>
      </c>
      <c r="O1721" s="4" t="str">
        <f t="shared" si="79"/>
        <v>OTHERS</v>
      </c>
      <c r="P1721" s="4" t="str">
        <f t="shared" si="80"/>
        <v>PREMINUM MORNING</v>
      </c>
    </row>
    <row r="1722" spans="1:16" x14ac:dyDescent="0.3">
      <c r="A1722" s="4">
        <v>13</v>
      </c>
      <c r="B1722" t="s">
        <v>11</v>
      </c>
      <c r="C1722" s="4">
        <v>35.76</v>
      </c>
      <c r="D1722" t="s">
        <v>29</v>
      </c>
      <c r="E1722" t="s">
        <v>17</v>
      </c>
      <c r="F1722" s="4" t="s">
        <v>23</v>
      </c>
      <c r="G1722" s="4" t="s">
        <v>37</v>
      </c>
      <c r="H1722" s="4">
        <v>7</v>
      </c>
      <c r="I1722" s="4">
        <v>10</v>
      </c>
      <c r="J1722" s="1">
        <v>45571</v>
      </c>
      <c r="K1722" s="2">
        <v>3.6068287037037038E-2</v>
      </c>
      <c r="M1722" s="4" t="str">
        <f t="shared" si="78"/>
        <v>HIGH</v>
      </c>
      <c r="N1722" s="4" t="str" cm="1">
        <f t="array" ref="N1722">_xlfn.IFS(C1722&gt;35,"HIGH",C1722&gt;25,"MIDDLE",TRUE,"LOW")</f>
        <v>HIGH</v>
      </c>
      <c r="O1722" s="4" t="str">
        <f t="shared" si="79"/>
        <v>OTHERS</v>
      </c>
      <c r="P1722" s="4" t="str">
        <f t="shared" si="80"/>
        <v>PREMINUM MORNING</v>
      </c>
    </row>
    <row r="1723" spans="1:16" x14ac:dyDescent="0.3">
      <c r="A1723" s="4">
        <v>16</v>
      </c>
      <c r="B1723" t="s">
        <v>11</v>
      </c>
      <c r="C1723" s="4">
        <v>35.76</v>
      </c>
      <c r="D1723" t="s">
        <v>29</v>
      </c>
      <c r="E1723" t="s">
        <v>17</v>
      </c>
      <c r="F1723" s="4" t="s">
        <v>23</v>
      </c>
      <c r="G1723" s="4" t="s">
        <v>37</v>
      </c>
      <c r="H1723" s="4">
        <v>7</v>
      </c>
      <c r="I1723" s="4">
        <v>10</v>
      </c>
      <c r="J1723" s="1">
        <v>45571</v>
      </c>
      <c r="K1723" s="2">
        <v>2.1916666666666664E-2</v>
      </c>
      <c r="M1723" s="4" t="str">
        <f t="shared" si="78"/>
        <v>HIGH</v>
      </c>
      <c r="N1723" s="4" t="str" cm="1">
        <f t="array" ref="N1723">_xlfn.IFS(C1723&gt;35,"HIGH",C1723&gt;25,"MIDDLE",TRUE,"LOW")</f>
        <v>HIGH</v>
      </c>
      <c r="O1723" s="4" t="str">
        <f t="shared" si="79"/>
        <v>OTHERS</v>
      </c>
      <c r="P1723" s="4" t="str">
        <f t="shared" si="80"/>
        <v>PREMINUM MORNING</v>
      </c>
    </row>
    <row r="1724" spans="1:16" x14ac:dyDescent="0.3">
      <c r="A1724" s="4">
        <v>16</v>
      </c>
      <c r="B1724" t="s">
        <v>11</v>
      </c>
      <c r="C1724" s="4">
        <v>21.06</v>
      </c>
      <c r="D1724" t="s">
        <v>26</v>
      </c>
      <c r="E1724" t="s">
        <v>17</v>
      </c>
      <c r="F1724" s="4" t="s">
        <v>23</v>
      </c>
      <c r="G1724" s="4" t="s">
        <v>37</v>
      </c>
      <c r="H1724" s="4">
        <v>7</v>
      </c>
      <c r="I1724" s="4">
        <v>10</v>
      </c>
      <c r="J1724" s="1">
        <v>45571</v>
      </c>
      <c r="K1724" s="2">
        <v>2.4833333333333332E-2</v>
      </c>
      <c r="M1724" s="4" t="str">
        <f t="shared" si="78"/>
        <v>LOW</v>
      </c>
      <c r="N1724" s="4" t="str" cm="1">
        <f t="array" ref="N1724">_xlfn.IFS(C1724&gt;35,"HIGH",C1724&gt;25,"MIDDLE",TRUE,"LOW")</f>
        <v>LOW</v>
      </c>
      <c r="O1724" s="4" t="str">
        <f t="shared" si="79"/>
        <v>OTHERS</v>
      </c>
      <c r="P1724" s="4" t="str">
        <f t="shared" si="80"/>
        <v>OTHERS</v>
      </c>
    </row>
    <row r="1725" spans="1:16" x14ac:dyDescent="0.3">
      <c r="A1725" s="4">
        <v>18</v>
      </c>
      <c r="B1725" t="s">
        <v>11</v>
      </c>
      <c r="C1725" s="4">
        <v>30.86</v>
      </c>
      <c r="D1725" t="s">
        <v>19</v>
      </c>
      <c r="E1725" t="s">
        <v>20</v>
      </c>
      <c r="F1725" s="4" t="s">
        <v>23</v>
      </c>
      <c r="G1725" s="4" t="s">
        <v>37</v>
      </c>
      <c r="H1725" s="4">
        <v>7</v>
      </c>
      <c r="I1725" s="4">
        <v>10</v>
      </c>
      <c r="J1725" s="1">
        <v>45571</v>
      </c>
      <c r="K1725" s="2">
        <v>1.2326388888888888E-2</v>
      </c>
      <c r="M1725" s="4" t="str">
        <f t="shared" si="78"/>
        <v>LOW</v>
      </c>
      <c r="N1725" s="4" t="str" cm="1">
        <f t="array" ref="N1725">_xlfn.IFS(C1725&gt;35,"HIGH",C1725&gt;25,"MIDDLE",TRUE,"LOW")</f>
        <v>MIDDLE</v>
      </c>
      <c r="O1725" s="4" t="str">
        <f t="shared" si="79"/>
        <v>OTHERS</v>
      </c>
      <c r="P1725" s="4" t="str">
        <f t="shared" si="80"/>
        <v>OTHERS</v>
      </c>
    </row>
    <row r="1726" spans="1:16" x14ac:dyDescent="0.3">
      <c r="A1726" s="4">
        <v>18</v>
      </c>
      <c r="B1726" t="s">
        <v>11</v>
      </c>
      <c r="C1726" s="4">
        <v>35.76</v>
      </c>
      <c r="D1726" t="s">
        <v>16</v>
      </c>
      <c r="E1726" t="s">
        <v>20</v>
      </c>
      <c r="F1726" s="4" t="s">
        <v>23</v>
      </c>
      <c r="G1726" s="4" t="s">
        <v>37</v>
      </c>
      <c r="H1726" s="4">
        <v>7</v>
      </c>
      <c r="I1726" s="4">
        <v>10</v>
      </c>
      <c r="J1726" s="1">
        <v>45571</v>
      </c>
      <c r="K1726" s="2">
        <v>2.4496527777777777E-2</v>
      </c>
      <c r="M1726" s="4" t="str">
        <f t="shared" si="78"/>
        <v>HIGH</v>
      </c>
      <c r="N1726" s="4" t="str" cm="1">
        <f t="array" ref="N1726">_xlfn.IFS(C1726&gt;35,"HIGH",C1726&gt;25,"MIDDLE",TRUE,"LOW")</f>
        <v>HIGH</v>
      </c>
      <c r="O1726" s="4" t="str">
        <f t="shared" si="79"/>
        <v>OTHERS</v>
      </c>
      <c r="P1726" s="4" t="str">
        <f t="shared" si="80"/>
        <v>PREMINUM MORNING</v>
      </c>
    </row>
    <row r="1727" spans="1:16" x14ac:dyDescent="0.3">
      <c r="A1727" s="4">
        <v>21</v>
      </c>
      <c r="B1727" t="s">
        <v>11</v>
      </c>
      <c r="C1727" s="4">
        <v>35.76</v>
      </c>
      <c r="D1727" t="s">
        <v>16</v>
      </c>
      <c r="E1727" t="s">
        <v>20</v>
      </c>
      <c r="F1727" s="4" t="s">
        <v>23</v>
      </c>
      <c r="G1727" s="4" t="s">
        <v>37</v>
      </c>
      <c r="H1727" s="4">
        <v>7</v>
      </c>
      <c r="I1727" s="4">
        <v>10</v>
      </c>
      <c r="J1727" s="1">
        <v>45571</v>
      </c>
      <c r="K1727" s="2">
        <v>6.3993055555555556E-3</v>
      </c>
      <c r="M1727" s="4" t="str">
        <f t="shared" si="78"/>
        <v>HIGH</v>
      </c>
      <c r="N1727" s="4" t="str" cm="1">
        <f t="array" ref="N1727">_xlfn.IFS(C1727&gt;35,"HIGH",C1727&gt;25,"MIDDLE",TRUE,"LOW")</f>
        <v>HIGH</v>
      </c>
      <c r="O1727" s="4" t="str">
        <f t="shared" si="79"/>
        <v>OTHERS</v>
      </c>
      <c r="P1727" s="4" t="str">
        <f t="shared" si="80"/>
        <v>PREMINUM MORNING</v>
      </c>
    </row>
    <row r="1728" spans="1:16" x14ac:dyDescent="0.3">
      <c r="A1728" s="4">
        <v>21</v>
      </c>
      <c r="B1728" t="s">
        <v>11</v>
      </c>
      <c r="C1728" s="4">
        <v>35.76</v>
      </c>
      <c r="D1728" t="s">
        <v>16</v>
      </c>
      <c r="E1728" t="s">
        <v>20</v>
      </c>
      <c r="F1728" s="4" t="s">
        <v>23</v>
      </c>
      <c r="G1728" s="4" t="s">
        <v>37</v>
      </c>
      <c r="H1728" s="4">
        <v>7</v>
      </c>
      <c r="I1728" s="4">
        <v>10</v>
      </c>
      <c r="J1728" s="1">
        <v>45571</v>
      </c>
      <c r="K1728" s="2">
        <v>6.9502314814814817E-3</v>
      </c>
      <c r="M1728" s="4" t="str">
        <f t="shared" si="78"/>
        <v>HIGH</v>
      </c>
      <c r="N1728" s="4" t="str" cm="1">
        <f t="array" ref="N1728">_xlfn.IFS(C1728&gt;35,"HIGH",C1728&gt;25,"MIDDLE",TRUE,"LOW")</f>
        <v>HIGH</v>
      </c>
      <c r="O1728" s="4" t="str">
        <f t="shared" si="79"/>
        <v>OTHERS</v>
      </c>
      <c r="P1728" s="4" t="str">
        <f t="shared" si="80"/>
        <v>PREMINUM MORNING</v>
      </c>
    </row>
    <row r="1729" spans="1:16" x14ac:dyDescent="0.3">
      <c r="A1729" s="4">
        <v>21</v>
      </c>
      <c r="B1729" t="s">
        <v>11</v>
      </c>
      <c r="C1729" s="4">
        <v>35.76</v>
      </c>
      <c r="D1729" t="s">
        <v>16</v>
      </c>
      <c r="E1729" t="s">
        <v>20</v>
      </c>
      <c r="F1729" s="4" t="s">
        <v>23</v>
      </c>
      <c r="G1729" s="4" t="s">
        <v>37</v>
      </c>
      <c r="H1729" s="4">
        <v>7</v>
      </c>
      <c r="I1729" s="4">
        <v>10</v>
      </c>
      <c r="J1729" s="1">
        <v>45571</v>
      </c>
      <c r="K1729" s="2">
        <v>7.4687499999999997E-3</v>
      </c>
      <c r="M1729" s="4" t="str">
        <f t="shared" si="78"/>
        <v>HIGH</v>
      </c>
      <c r="N1729" s="4" t="str" cm="1">
        <f t="array" ref="N1729">_xlfn.IFS(C1729&gt;35,"HIGH",C1729&gt;25,"MIDDLE",TRUE,"LOW")</f>
        <v>HIGH</v>
      </c>
      <c r="O1729" s="4" t="str">
        <f t="shared" si="79"/>
        <v>OTHERS</v>
      </c>
      <c r="P1729" s="4" t="str">
        <f t="shared" si="80"/>
        <v>PREMINUM MORNING</v>
      </c>
    </row>
    <row r="1730" spans="1:16" x14ac:dyDescent="0.3">
      <c r="A1730" s="4">
        <v>21</v>
      </c>
      <c r="B1730" t="s">
        <v>11</v>
      </c>
      <c r="C1730" s="4">
        <v>35.76</v>
      </c>
      <c r="D1730" t="s">
        <v>12</v>
      </c>
      <c r="E1730" t="s">
        <v>20</v>
      </c>
      <c r="F1730" s="4" t="s">
        <v>23</v>
      </c>
      <c r="G1730" s="4" t="s">
        <v>37</v>
      </c>
      <c r="H1730" s="4">
        <v>7</v>
      </c>
      <c r="I1730" s="4">
        <v>10</v>
      </c>
      <c r="J1730" s="1">
        <v>45571</v>
      </c>
      <c r="K1730" s="2">
        <v>1.1677083333333333E-2</v>
      </c>
      <c r="M1730" s="4" t="str">
        <f t="shared" si="78"/>
        <v>HIGH</v>
      </c>
      <c r="N1730" s="4" t="str" cm="1">
        <f t="array" ref="N1730">_xlfn.IFS(C1730&gt;35,"HIGH",C1730&gt;25,"MIDDLE",TRUE,"LOW")</f>
        <v>HIGH</v>
      </c>
      <c r="O1730" s="4" t="str">
        <f t="shared" si="79"/>
        <v>OTHERS</v>
      </c>
      <c r="P1730" s="4" t="str">
        <f t="shared" si="80"/>
        <v>PREMINUM MORNING</v>
      </c>
    </row>
    <row r="1731" spans="1:16" x14ac:dyDescent="0.3">
      <c r="A1731" s="4">
        <v>8</v>
      </c>
      <c r="B1731" t="s">
        <v>11</v>
      </c>
      <c r="C1731" s="4">
        <v>35.76</v>
      </c>
      <c r="D1731" t="s">
        <v>12</v>
      </c>
      <c r="E1731" t="s">
        <v>13</v>
      </c>
      <c r="F1731" s="4" t="s">
        <v>25</v>
      </c>
      <c r="G1731" s="4" t="s">
        <v>37</v>
      </c>
      <c r="H1731" s="4">
        <v>1</v>
      </c>
      <c r="I1731" s="4">
        <v>10</v>
      </c>
      <c r="J1731" s="1">
        <v>45572</v>
      </c>
      <c r="K1731" s="2">
        <v>2.3337962962962963E-2</v>
      </c>
      <c r="M1731" s="4" t="str">
        <f t="shared" ref="M1731:M1794" si="81">IF(C1731&gt;35,"HIGH","LOW")</f>
        <v>HIGH</v>
      </c>
      <c r="N1731" s="4" t="str" cm="1">
        <f t="array" ref="N1731">_xlfn.IFS(C1731&gt;35,"HIGH",C1731&gt;25,"MIDDLE",TRUE,"LOW")</f>
        <v>HIGH</v>
      </c>
      <c r="O1731" s="4" t="str">
        <f t="shared" ref="O1731:O1794" si="82">IF(AND(C1731&gt;35,E1731="MORNING"),"PREMINUM MORNING","OTHERS")</f>
        <v>PREMINUM MORNING</v>
      </c>
      <c r="P1731" s="4" t="str">
        <f t="shared" ref="P1731:P1794" si="83">IF(OR(C1731&gt;35,E1731="MORNING"),"PREMINUM MORNING","OTHERS")</f>
        <v>PREMINUM MORNING</v>
      </c>
    </row>
    <row r="1732" spans="1:16" x14ac:dyDescent="0.3">
      <c r="A1732" s="4">
        <v>8</v>
      </c>
      <c r="B1732" t="s">
        <v>11</v>
      </c>
      <c r="C1732" s="4">
        <v>35.76</v>
      </c>
      <c r="D1732" t="s">
        <v>12</v>
      </c>
      <c r="E1732" t="s">
        <v>13</v>
      </c>
      <c r="F1732" s="4" t="s">
        <v>25</v>
      </c>
      <c r="G1732" s="4" t="s">
        <v>37</v>
      </c>
      <c r="H1732" s="4">
        <v>1</v>
      </c>
      <c r="I1732" s="4">
        <v>10</v>
      </c>
      <c r="J1732" s="1">
        <v>45572</v>
      </c>
      <c r="K1732" s="2">
        <v>3.4450231481481484E-2</v>
      </c>
      <c r="M1732" s="4" t="str">
        <f t="shared" si="81"/>
        <v>HIGH</v>
      </c>
      <c r="N1732" s="4" t="str" cm="1">
        <f t="array" ref="N1732">_xlfn.IFS(C1732&gt;35,"HIGH",C1732&gt;25,"MIDDLE",TRUE,"LOW")</f>
        <v>HIGH</v>
      </c>
      <c r="O1732" s="4" t="str">
        <f t="shared" si="82"/>
        <v>PREMINUM MORNING</v>
      </c>
      <c r="P1732" s="4" t="str">
        <f t="shared" si="83"/>
        <v>PREMINUM MORNING</v>
      </c>
    </row>
    <row r="1733" spans="1:16" x14ac:dyDescent="0.3">
      <c r="A1733" s="4">
        <v>8</v>
      </c>
      <c r="B1733" t="s">
        <v>11</v>
      </c>
      <c r="C1733" s="4">
        <v>30.86</v>
      </c>
      <c r="D1733" t="s">
        <v>19</v>
      </c>
      <c r="E1733" t="s">
        <v>13</v>
      </c>
      <c r="F1733" s="4" t="s">
        <v>25</v>
      </c>
      <c r="G1733" s="4" t="s">
        <v>37</v>
      </c>
      <c r="H1733" s="4">
        <v>1</v>
      </c>
      <c r="I1733" s="4">
        <v>10</v>
      </c>
      <c r="J1733" s="1">
        <v>45572</v>
      </c>
      <c r="K1733" s="2">
        <v>3.520486111111111E-2</v>
      </c>
      <c r="M1733" s="4" t="str">
        <f t="shared" si="81"/>
        <v>LOW</v>
      </c>
      <c r="N1733" s="4" t="str" cm="1">
        <f t="array" ref="N1733">_xlfn.IFS(C1733&gt;35,"HIGH",C1733&gt;25,"MIDDLE",TRUE,"LOW")</f>
        <v>MIDDLE</v>
      </c>
      <c r="O1733" s="4" t="str">
        <f t="shared" si="82"/>
        <v>OTHERS</v>
      </c>
      <c r="P1733" s="4" t="str">
        <f t="shared" si="83"/>
        <v>PREMINUM MORNING</v>
      </c>
    </row>
    <row r="1734" spans="1:16" x14ac:dyDescent="0.3">
      <c r="A1734" s="4">
        <v>9</v>
      </c>
      <c r="B1734" t="s">
        <v>11</v>
      </c>
      <c r="C1734" s="4">
        <v>35.76</v>
      </c>
      <c r="D1734" t="s">
        <v>21</v>
      </c>
      <c r="E1734" t="s">
        <v>13</v>
      </c>
      <c r="F1734" s="4" t="s">
        <v>25</v>
      </c>
      <c r="G1734" s="4" t="s">
        <v>37</v>
      </c>
      <c r="H1734" s="4">
        <v>1</v>
      </c>
      <c r="I1734" s="4">
        <v>10</v>
      </c>
      <c r="J1734" s="1">
        <v>45572</v>
      </c>
      <c r="K1734" s="2">
        <v>3.7974537037037039E-3</v>
      </c>
      <c r="M1734" s="4" t="str">
        <f t="shared" si="81"/>
        <v>HIGH</v>
      </c>
      <c r="N1734" s="4" t="str" cm="1">
        <f t="array" ref="N1734">_xlfn.IFS(C1734&gt;35,"HIGH",C1734&gt;25,"MIDDLE",TRUE,"LOW")</f>
        <v>HIGH</v>
      </c>
      <c r="O1734" s="4" t="str">
        <f t="shared" si="82"/>
        <v>PREMINUM MORNING</v>
      </c>
      <c r="P1734" s="4" t="str">
        <f t="shared" si="83"/>
        <v>PREMINUM MORNING</v>
      </c>
    </row>
    <row r="1735" spans="1:16" x14ac:dyDescent="0.3">
      <c r="A1735" s="4">
        <v>9</v>
      </c>
      <c r="B1735" t="s">
        <v>11</v>
      </c>
      <c r="C1735" s="4">
        <v>35.76</v>
      </c>
      <c r="D1735" t="s">
        <v>12</v>
      </c>
      <c r="E1735" t="s">
        <v>13</v>
      </c>
      <c r="F1735" s="4" t="s">
        <v>25</v>
      </c>
      <c r="G1735" s="4" t="s">
        <v>37</v>
      </c>
      <c r="H1735" s="4">
        <v>1</v>
      </c>
      <c r="I1735" s="4">
        <v>10</v>
      </c>
      <c r="J1735" s="1">
        <v>45572</v>
      </c>
      <c r="K1735" s="2">
        <v>6.9247685185185176E-3</v>
      </c>
      <c r="M1735" s="4" t="str">
        <f t="shared" si="81"/>
        <v>HIGH</v>
      </c>
      <c r="N1735" s="4" t="str" cm="1">
        <f t="array" ref="N1735">_xlfn.IFS(C1735&gt;35,"HIGH",C1735&gt;25,"MIDDLE",TRUE,"LOW")</f>
        <v>HIGH</v>
      </c>
      <c r="O1735" s="4" t="str">
        <f t="shared" si="82"/>
        <v>PREMINUM MORNING</v>
      </c>
      <c r="P1735" s="4" t="str">
        <f t="shared" si="83"/>
        <v>PREMINUM MORNING</v>
      </c>
    </row>
    <row r="1736" spans="1:16" x14ac:dyDescent="0.3">
      <c r="A1736" s="4">
        <v>12</v>
      </c>
      <c r="B1736" t="s">
        <v>11</v>
      </c>
      <c r="C1736" s="4">
        <v>30.86</v>
      </c>
      <c r="D1736" t="s">
        <v>19</v>
      </c>
      <c r="E1736" t="s">
        <v>17</v>
      </c>
      <c r="F1736" s="4" t="s">
        <v>25</v>
      </c>
      <c r="G1736" s="4" t="s">
        <v>37</v>
      </c>
      <c r="H1736" s="4">
        <v>1</v>
      </c>
      <c r="I1736" s="4">
        <v>10</v>
      </c>
      <c r="J1736" s="1">
        <v>45572</v>
      </c>
      <c r="K1736" s="2">
        <v>1.2461805555555556E-2</v>
      </c>
      <c r="M1736" s="4" t="str">
        <f t="shared" si="81"/>
        <v>LOW</v>
      </c>
      <c r="N1736" s="4" t="str" cm="1">
        <f t="array" ref="N1736">_xlfn.IFS(C1736&gt;35,"HIGH",C1736&gt;25,"MIDDLE",TRUE,"LOW")</f>
        <v>MIDDLE</v>
      </c>
      <c r="O1736" s="4" t="str">
        <f t="shared" si="82"/>
        <v>OTHERS</v>
      </c>
      <c r="P1736" s="4" t="str">
        <f t="shared" si="83"/>
        <v>OTHERS</v>
      </c>
    </row>
    <row r="1737" spans="1:16" x14ac:dyDescent="0.3">
      <c r="A1737" s="4">
        <v>14</v>
      </c>
      <c r="B1737" t="s">
        <v>11</v>
      </c>
      <c r="C1737" s="4">
        <v>25.96</v>
      </c>
      <c r="D1737" t="s">
        <v>18</v>
      </c>
      <c r="E1737" t="s">
        <v>17</v>
      </c>
      <c r="F1737" s="4" t="s">
        <v>25</v>
      </c>
      <c r="G1737" s="4" t="s">
        <v>37</v>
      </c>
      <c r="H1737" s="4">
        <v>1</v>
      </c>
      <c r="I1737" s="4">
        <v>10</v>
      </c>
      <c r="J1737" s="1">
        <v>45572</v>
      </c>
      <c r="K1737" s="2">
        <v>2.2052083333333333E-2</v>
      </c>
      <c r="M1737" s="4" t="str">
        <f t="shared" si="81"/>
        <v>LOW</v>
      </c>
      <c r="N1737" s="4" t="str" cm="1">
        <f t="array" ref="N1737">_xlfn.IFS(C1737&gt;35,"HIGH",C1737&gt;25,"MIDDLE",TRUE,"LOW")</f>
        <v>MIDDLE</v>
      </c>
      <c r="O1737" s="4" t="str">
        <f t="shared" si="82"/>
        <v>OTHERS</v>
      </c>
      <c r="P1737" s="4" t="str">
        <f t="shared" si="83"/>
        <v>OTHERS</v>
      </c>
    </row>
    <row r="1738" spans="1:16" x14ac:dyDescent="0.3">
      <c r="A1738" s="4">
        <v>14</v>
      </c>
      <c r="B1738" t="s">
        <v>11</v>
      </c>
      <c r="C1738" s="4">
        <v>25.96</v>
      </c>
      <c r="D1738" t="s">
        <v>18</v>
      </c>
      <c r="E1738" t="s">
        <v>17</v>
      </c>
      <c r="F1738" s="4" t="s">
        <v>25</v>
      </c>
      <c r="G1738" s="4" t="s">
        <v>37</v>
      </c>
      <c r="H1738" s="4">
        <v>1</v>
      </c>
      <c r="I1738" s="4">
        <v>10</v>
      </c>
      <c r="J1738" s="1">
        <v>45572</v>
      </c>
      <c r="K1738" s="2">
        <v>2.2671296296296297E-2</v>
      </c>
      <c r="M1738" s="4" t="str">
        <f t="shared" si="81"/>
        <v>LOW</v>
      </c>
      <c r="N1738" s="4" t="str" cm="1">
        <f t="array" ref="N1738">_xlfn.IFS(C1738&gt;35,"HIGH",C1738&gt;25,"MIDDLE",TRUE,"LOW")</f>
        <v>MIDDLE</v>
      </c>
      <c r="O1738" s="4" t="str">
        <f t="shared" si="82"/>
        <v>OTHERS</v>
      </c>
      <c r="P1738" s="4" t="str">
        <f t="shared" si="83"/>
        <v>OTHERS</v>
      </c>
    </row>
    <row r="1739" spans="1:16" x14ac:dyDescent="0.3">
      <c r="A1739" s="4">
        <v>17</v>
      </c>
      <c r="B1739" t="s">
        <v>11</v>
      </c>
      <c r="C1739" s="4">
        <v>35.76</v>
      </c>
      <c r="D1739" t="s">
        <v>12</v>
      </c>
      <c r="E1739" t="s">
        <v>20</v>
      </c>
      <c r="F1739" s="4" t="s">
        <v>25</v>
      </c>
      <c r="G1739" s="4" t="s">
        <v>37</v>
      </c>
      <c r="H1739" s="4">
        <v>1</v>
      </c>
      <c r="I1739" s="4">
        <v>10</v>
      </c>
      <c r="J1739" s="1">
        <v>45572</v>
      </c>
      <c r="K1739" s="2">
        <v>3.3969907407407407E-2</v>
      </c>
      <c r="M1739" s="4" t="str">
        <f t="shared" si="81"/>
        <v>HIGH</v>
      </c>
      <c r="N1739" s="4" t="str" cm="1">
        <f t="array" ref="N1739">_xlfn.IFS(C1739&gt;35,"HIGH",C1739&gt;25,"MIDDLE",TRUE,"LOW")</f>
        <v>HIGH</v>
      </c>
      <c r="O1739" s="4" t="str">
        <f t="shared" si="82"/>
        <v>OTHERS</v>
      </c>
      <c r="P1739" s="4" t="str">
        <f t="shared" si="83"/>
        <v>PREMINUM MORNING</v>
      </c>
    </row>
    <row r="1740" spans="1:16" x14ac:dyDescent="0.3">
      <c r="A1740" s="4">
        <v>21</v>
      </c>
      <c r="B1740" t="s">
        <v>11</v>
      </c>
      <c r="C1740" s="4">
        <v>35.76</v>
      </c>
      <c r="D1740" t="s">
        <v>16</v>
      </c>
      <c r="E1740" t="s">
        <v>20</v>
      </c>
      <c r="F1740" s="4" t="s">
        <v>25</v>
      </c>
      <c r="G1740" s="4" t="s">
        <v>37</v>
      </c>
      <c r="H1740" s="4">
        <v>1</v>
      </c>
      <c r="I1740" s="4">
        <v>10</v>
      </c>
      <c r="J1740" s="1">
        <v>45572</v>
      </c>
      <c r="K1740" s="2">
        <v>1.0209490740740741E-2</v>
      </c>
      <c r="M1740" s="4" t="str">
        <f t="shared" si="81"/>
        <v>HIGH</v>
      </c>
      <c r="N1740" s="4" t="str" cm="1">
        <f t="array" ref="N1740">_xlfn.IFS(C1740&gt;35,"HIGH",C1740&gt;25,"MIDDLE",TRUE,"LOW")</f>
        <v>HIGH</v>
      </c>
      <c r="O1740" s="4" t="str">
        <f t="shared" si="82"/>
        <v>OTHERS</v>
      </c>
      <c r="P1740" s="4" t="str">
        <f t="shared" si="83"/>
        <v>PREMINUM MORNING</v>
      </c>
    </row>
    <row r="1741" spans="1:16" x14ac:dyDescent="0.3">
      <c r="A1741" s="4">
        <v>21</v>
      </c>
      <c r="B1741" t="s">
        <v>11</v>
      </c>
      <c r="C1741" s="4">
        <v>35.76</v>
      </c>
      <c r="D1741" t="s">
        <v>16</v>
      </c>
      <c r="E1741" t="s">
        <v>20</v>
      </c>
      <c r="F1741" s="4" t="s">
        <v>25</v>
      </c>
      <c r="G1741" s="4" t="s">
        <v>37</v>
      </c>
      <c r="H1741" s="4">
        <v>1</v>
      </c>
      <c r="I1741" s="4">
        <v>10</v>
      </c>
      <c r="J1741" s="1">
        <v>45572</v>
      </c>
      <c r="K1741" s="2">
        <v>1.0649305555555556E-2</v>
      </c>
      <c r="M1741" s="4" t="str">
        <f t="shared" si="81"/>
        <v>HIGH</v>
      </c>
      <c r="N1741" s="4" t="str" cm="1">
        <f t="array" ref="N1741">_xlfn.IFS(C1741&gt;35,"HIGH",C1741&gt;25,"MIDDLE",TRUE,"LOW")</f>
        <v>HIGH</v>
      </c>
      <c r="O1741" s="4" t="str">
        <f t="shared" si="82"/>
        <v>OTHERS</v>
      </c>
      <c r="P1741" s="4" t="str">
        <f t="shared" si="83"/>
        <v>PREMINUM MORNING</v>
      </c>
    </row>
    <row r="1742" spans="1:16" x14ac:dyDescent="0.3">
      <c r="A1742" s="4">
        <v>21</v>
      </c>
      <c r="B1742" t="s">
        <v>11</v>
      </c>
      <c r="C1742" s="4">
        <v>35.76</v>
      </c>
      <c r="D1742" t="s">
        <v>12</v>
      </c>
      <c r="E1742" t="s">
        <v>20</v>
      </c>
      <c r="F1742" s="4" t="s">
        <v>25</v>
      </c>
      <c r="G1742" s="4" t="s">
        <v>37</v>
      </c>
      <c r="H1742" s="4">
        <v>1</v>
      </c>
      <c r="I1742" s="4">
        <v>10</v>
      </c>
      <c r="J1742" s="1">
        <v>45572</v>
      </c>
      <c r="K1742" s="2">
        <v>2.8339120370370369E-2</v>
      </c>
      <c r="M1742" s="4" t="str">
        <f t="shared" si="81"/>
        <v>HIGH</v>
      </c>
      <c r="N1742" s="4" t="str" cm="1">
        <f t="array" ref="N1742">_xlfn.IFS(C1742&gt;35,"HIGH",C1742&gt;25,"MIDDLE",TRUE,"LOW")</f>
        <v>HIGH</v>
      </c>
      <c r="O1742" s="4" t="str">
        <f t="shared" si="82"/>
        <v>OTHERS</v>
      </c>
      <c r="P1742" s="4" t="str">
        <f t="shared" si="83"/>
        <v>PREMINUM MORNING</v>
      </c>
    </row>
    <row r="1743" spans="1:16" x14ac:dyDescent="0.3">
      <c r="A1743" s="4">
        <v>8</v>
      </c>
      <c r="B1743" t="s">
        <v>11</v>
      </c>
      <c r="C1743" s="4">
        <v>35.76</v>
      </c>
      <c r="D1743" t="s">
        <v>12</v>
      </c>
      <c r="E1743" t="s">
        <v>13</v>
      </c>
      <c r="F1743" s="4" t="s">
        <v>27</v>
      </c>
      <c r="G1743" s="4" t="s">
        <v>37</v>
      </c>
      <c r="H1743" s="4">
        <v>2</v>
      </c>
      <c r="I1743" s="4">
        <v>10</v>
      </c>
      <c r="J1743" s="1">
        <v>45573</v>
      </c>
      <c r="K1743" s="2">
        <v>8.2280092592592596E-3</v>
      </c>
      <c r="M1743" s="4" t="str">
        <f t="shared" si="81"/>
        <v>HIGH</v>
      </c>
      <c r="N1743" s="4" t="str" cm="1">
        <f t="array" ref="N1743">_xlfn.IFS(C1743&gt;35,"HIGH",C1743&gt;25,"MIDDLE",TRUE,"LOW")</f>
        <v>HIGH</v>
      </c>
      <c r="O1743" s="4" t="str">
        <f t="shared" si="82"/>
        <v>PREMINUM MORNING</v>
      </c>
      <c r="P1743" s="4" t="str">
        <f t="shared" si="83"/>
        <v>PREMINUM MORNING</v>
      </c>
    </row>
    <row r="1744" spans="1:16" x14ac:dyDescent="0.3">
      <c r="A1744" s="4">
        <v>9</v>
      </c>
      <c r="B1744" t="s">
        <v>11</v>
      </c>
      <c r="C1744" s="4">
        <v>30.86</v>
      </c>
      <c r="D1744" t="s">
        <v>19</v>
      </c>
      <c r="E1744" t="s">
        <v>13</v>
      </c>
      <c r="F1744" s="4" t="s">
        <v>27</v>
      </c>
      <c r="G1744" s="4" t="s">
        <v>37</v>
      </c>
      <c r="H1744" s="4">
        <v>2</v>
      </c>
      <c r="I1744" s="4">
        <v>10</v>
      </c>
      <c r="J1744" s="1">
        <v>45573</v>
      </c>
      <c r="K1744" s="2">
        <v>3.6342592592592594E-3</v>
      </c>
      <c r="M1744" s="4" t="str">
        <f t="shared" si="81"/>
        <v>LOW</v>
      </c>
      <c r="N1744" s="4" t="str" cm="1">
        <f t="array" ref="N1744">_xlfn.IFS(C1744&gt;35,"HIGH",C1744&gt;25,"MIDDLE",TRUE,"LOW")</f>
        <v>MIDDLE</v>
      </c>
      <c r="O1744" s="4" t="str">
        <f t="shared" si="82"/>
        <v>OTHERS</v>
      </c>
      <c r="P1744" s="4" t="str">
        <f t="shared" si="83"/>
        <v>PREMINUM MORNING</v>
      </c>
    </row>
    <row r="1745" spans="1:16" x14ac:dyDescent="0.3">
      <c r="A1745" s="4">
        <v>10</v>
      </c>
      <c r="B1745" t="s">
        <v>11</v>
      </c>
      <c r="C1745" s="4">
        <v>25.96</v>
      </c>
      <c r="D1745" t="s">
        <v>18</v>
      </c>
      <c r="E1745" t="s">
        <v>13</v>
      </c>
      <c r="F1745" s="4" t="s">
        <v>27</v>
      </c>
      <c r="G1745" s="4" t="s">
        <v>37</v>
      </c>
      <c r="H1745" s="4">
        <v>2</v>
      </c>
      <c r="I1745" s="4">
        <v>10</v>
      </c>
      <c r="J1745" s="1">
        <v>45573</v>
      </c>
      <c r="K1745" s="2">
        <v>1.5641203703703706E-2</v>
      </c>
      <c r="M1745" s="4" t="str">
        <f t="shared" si="81"/>
        <v>LOW</v>
      </c>
      <c r="N1745" s="4" t="str" cm="1">
        <f t="array" ref="N1745">_xlfn.IFS(C1745&gt;35,"HIGH",C1745&gt;25,"MIDDLE",TRUE,"LOW")</f>
        <v>MIDDLE</v>
      </c>
      <c r="O1745" s="4" t="str">
        <f t="shared" si="82"/>
        <v>OTHERS</v>
      </c>
      <c r="P1745" s="4" t="str">
        <f t="shared" si="83"/>
        <v>PREMINUM MORNING</v>
      </c>
    </row>
    <row r="1746" spans="1:16" x14ac:dyDescent="0.3">
      <c r="A1746" s="4">
        <v>10</v>
      </c>
      <c r="B1746" t="s">
        <v>11</v>
      </c>
      <c r="C1746" s="4">
        <v>35.76</v>
      </c>
      <c r="D1746" t="s">
        <v>12</v>
      </c>
      <c r="E1746" t="s">
        <v>13</v>
      </c>
      <c r="F1746" s="4" t="s">
        <v>27</v>
      </c>
      <c r="G1746" s="4" t="s">
        <v>37</v>
      </c>
      <c r="H1746" s="4">
        <v>2</v>
      </c>
      <c r="I1746" s="4">
        <v>10</v>
      </c>
      <c r="J1746" s="1">
        <v>45573</v>
      </c>
      <c r="K1746" s="2">
        <v>1.8851851851851852E-2</v>
      </c>
      <c r="M1746" s="4" t="str">
        <f t="shared" si="81"/>
        <v>HIGH</v>
      </c>
      <c r="N1746" s="4" t="str" cm="1">
        <f t="array" ref="N1746">_xlfn.IFS(C1746&gt;35,"HIGH",C1746&gt;25,"MIDDLE",TRUE,"LOW")</f>
        <v>HIGH</v>
      </c>
      <c r="O1746" s="4" t="str">
        <f t="shared" si="82"/>
        <v>PREMINUM MORNING</v>
      </c>
      <c r="P1746" s="4" t="str">
        <f t="shared" si="83"/>
        <v>PREMINUM MORNING</v>
      </c>
    </row>
    <row r="1747" spans="1:16" x14ac:dyDescent="0.3">
      <c r="A1747" s="4">
        <v>11</v>
      </c>
      <c r="B1747" t="s">
        <v>11</v>
      </c>
      <c r="C1747" s="4">
        <v>35.76</v>
      </c>
      <c r="D1747" t="s">
        <v>12</v>
      </c>
      <c r="E1747" t="s">
        <v>13</v>
      </c>
      <c r="F1747" s="4" t="s">
        <v>27</v>
      </c>
      <c r="G1747" s="4" t="s">
        <v>37</v>
      </c>
      <c r="H1747" s="4">
        <v>2</v>
      </c>
      <c r="I1747" s="4">
        <v>10</v>
      </c>
      <c r="J1747" s="1">
        <v>45573</v>
      </c>
      <c r="K1747" s="2">
        <v>2.0952546296296296E-2</v>
      </c>
      <c r="M1747" s="4" t="str">
        <f t="shared" si="81"/>
        <v>HIGH</v>
      </c>
      <c r="N1747" s="4" t="str" cm="1">
        <f t="array" ref="N1747">_xlfn.IFS(C1747&gt;35,"HIGH",C1747&gt;25,"MIDDLE",TRUE,"LOW")</f>
        <v>HIGH</v>
      </c>
      <c r="O1747" s="4" t="str">
        <f t="shared" si="82"/>
        <v>PREMINUM MORNING</v>
      </c>
      <c r="P1747" s="4" t="str">
        <f t="shared" si="83"/>
        <v>PREMINUM MORNING</v>
      </c>
    </row>
    <row r="1748" spans="1:16" x14ac:dyDescent="0.3">
      <c r="A1748" s="4">
        <v>12</v>
      </c>
      <c r="B1748" t="s">
        <v>11</v>
      </c>
      <c r="C1748" s="4">
        <v>25.96</v>
      </c>
      <c r="D1748" t="s">
        <v>18</v>
      </c>
      <c r="E1748" t="s">
        <v>17</v>
      </c>
      <c r="F1748" s="4" t="s">
        <v>27</v>
      </c>
      <c r="G1748" s="4" t="s">
        <v>37</v>
      </c>
      <c r="H1748" s="4">
        <v>2</v>
      </c>
      <c r="I1748" s="4">
        <v>10</v>
      </c>
      <c r="J1748" s="1">
        <v>45573</v>
      </c>
      <c r="K1748" s="2">
        <v>3.3385416666666667E-2</v>
      </c>
      <c r="M1748" s="4" t="str">
        <f t="shared" si="81"/>
        <v>LOW</v>
      </c>
      <c r="N1748" s="4" t="str" cm="1">
        <f t="array" ref="N1748">_xlfn.IFS(C1748&gt;35,"HIGH",C1748&gt;25,"MIDDLE",TRUE,"LOW")</f>
        <v>MIDDLE</v>
      </c>
      <c r="O1748" s="4" t="str">
        <f t="shared" si="82"/>
        <v>OTHERS</v>
      </c>
      <c r="P1748" s="4" t="str">
        <f t="shared" si="83"/>
        <v>OTHERS</v>
      </c>
    </row>
    <row r="1749" spans="1:16" x14ac:dyDescent="0.3">
      <c r="A1749" s="4">
        <v>12</v>
      </c>
      <c r="B1749" t="s">
        <v>11</v>
      </c>
      <c r="C1749" s="4">
        <v>25.96</v>
      </c>
      <c r="D1749" t="s">
        <v>18</v>
      </c>
      <c r="E1749" t="s">
        <v>17</v>
      </c>
      <c r="F1749" s="4" t="s">
        <v>27</v>
      </c>
      <c r="G1749" s="4" t="s">
        <v>37</v>
      </c>
      <c r="H1749" s="4">
        <v>2</v>
      </c>
      <c r="I1749" s="4">
        <v>10</v>
      </c>
      <c r="J1749" s="1">
        <v>45573</v>
      </c>
      <c r="K1749" s="2">
        <v>3.4081018518518517E-2</v>
      </c>
      <c r="M1749" s="4" t="str">
        <f t="shared" si="81"/>
        <v>LOW</v>
      </c>
      <c r="N1749" s="4" t="str" cm="1">
        <f t="array" ref="N1749">_xlfn.IFS(C1749&gt;35,"HIGH",C1749&gt;25,"MIDDLE",TRUE,"LOW")</f>
        <v>MIDDLE</v>
      </c>
      <c r="O1749" s="4" t="str">
        <f t="shared" si="82"/>
        <v>OTHERS</v>
      </c>
      <c r="P1749" s="4" t="str">
        <f t="shared" si="83"/>
        <v>OTHERS</v>
      </c>
    </row>
    <row r="1750" spans="1:16" x14ac:dyDescent="0.3">
      <c r="A1750" s="4">
        <v>13</v>
      </c>
      <c r="B1750" t="s">
        <v>11</v>
      </c>
      <c r="C1750" s="4">
        <v>35.76</v>
      </c>
      <c r="D1750" t="s">
        <v>12</v>
      </c>
      <c r="E1750" t="s">
        <v>17</v>
      </c>
      <c r="F1750" s="4" t="s">
        <v>27</v>
      </c>
      <c r="G1750" s="4" t="s">
        <v>37</v>
      </c>
      <c r="H1750" s="4">
        <v>2</v>
      </c>
      <c r="I1750" s="4">
        <v>10</v>
      </c>
      <c r="J1750" s="1">
        <v>45573</v>
      </c>
      <c r="K1750" s="2">
        <v>2.7881944444444447E-3</v>
      </c>
      <c r="M1750" s="4" t="str">
        <f t="shared" si="81"/>
        <v>HIGH</v>
      </c>
      <c r="N1750" s="4" t="str" cm="1">
        <f t="array" ref="N1750">_xlfn.IFS(C1750&gt;35,"HIGH",C1750&gt;25,"MIDDLE",TRUE,"LOW")</f>
        <v>HIGH</v>
      </c>
      <c r="O1750" s="4" t="str">
        <f t="shared" si="82"/>
        <v>OTHERS</v>
      </c>
      <c r="P1750" s="4" t="str">
        <f t="shared" si="83"/>
        <v>PREMINUM MORNING</v>
      </c>
    </row>
    <row r="1751" spans="1:16" x14ac:dyDescent="0.3">
      <c r="A1751" s="4">
        <v>13</v>
      </c>
      <c r="B1751" t="s">
        <v>11</v>
      </c>
      <c r="C1751" s="4">
        <v>35.76</v>
      </c>
      <c r="D1751" t="s">
        <v>12</v>
      </c>
      <c r="E1751" t="s">
        <v>17</v>
      </c>
      <c r="F1751" s="4" t="s">
        <v>27</v>
      </c>
      <c r="G1751" s="4" t="s">
        <v>37</v>
      </c>
      <c r="H1751" s="4">
        <v>2</v>
      </c>
      <c r="I1751" s="4">
        <v>10</v>
      </c>
      <c r="J1751" s="1">
        <v>45573</v>
      </c>
      <c r="K1751" s="2">
        <v>3.4652777777777776E-3</v>
      </c>
      <c r="M1751" s="4" t="str">
        <f t="shared" si="81"/>
        <v>HIGH</v>
      </c>
      <c r="N1751" s="4" t="str" cm="1">
        <f t="array" ref="N1751">_xlfn.IFS(C1751&gt;35,"HIGH",C1751&gt;25,"MIDDLE",TRUE,"LOW")</f>
        <v>HIGH</v>
      </c>
      <c r="O1751" s="4" t="str">
        <f t="shared" si="82"/>
        <v>OTHERS</v>
      </c>
      <c r="P1751" s="4" t="str">
        <f t="shared" si="83"/>
        <v>PREMINUM MORNING</v>
      </c>
    </row>
    <row r="1752" spans="1:16" x14ac:dyDescent="0.3">
      <c r="A1752" s="4">
        <v>14</v>
      </c>
      <c r="B1752" t="s">
        <v>11</v>
      </c>
      <c r="C1752" s="4">
        <v>35.76</v>
      </c>
      <c r="D1752" t="s">
        <v>12</v>
      </c>
      <c r="E1752" t="s">
        <v>17</v>
      </c>
      <c r="F1752" s="4" t="s">
        <v>27</v>
      </c>
      <c r="G1752" s="4" t="s">
        <v>37</v>
      </c>
      <c r="H1752" s="4">
        <v>2</v>
      </c>
      <c r="I1752" s="4">
        <v>10</v>
      </c>
      <c r="J1752" s="1">
        <v>45573</v>
      </c>
      <c r="K1752" s="2">
        <v>2.9773148148148149E-2</v>
      </c>
      <c r="M1752" s="4" t="str">
        <f t="shared" si="81"/>
        <v>HIGH</v>
      </c>
      <c r="N1752" s="4" t="str" cm="1">
        <f t="array" ref="N1752">_xlfn.IFS(C1752&gt;35,"HIGH",C1752&gt;25,"MIDDLE",TRUE,"LOW")</f>
        <v>HIGH</v>
      </c>
      <c r="O1752" s="4" t="str">
        <f t="shared" si="82"/>
        <v>OTHERS</v>
      </c>
      <c r="P1752" s="4" t="str">
        <f t="shared" si="83"/>
        <v>PREMINUM MORNING</v>
      </c>
    </row>
    <row r="1753" spans="1:16" x14ac:dyDescent="0.3">
      <c r="A1753" s="4">
        <v>15</v>
      </c>
      <c r="B1753" t="s">
        <v>11</v>
      </c>
      <c r="C1753" s="4">
        <v>35.76</v>
      </c>
      <c r="D1753" t="s">
        <v>12</v>
      </c>
      <c r="E1753" t="s">
        <v>17</v>
      </c>
      <c r="F1753" s="4" t="s">
        <v>27</v>
      </c>
      <c r="G1753" s="4" t="s">
        <v>37</v>
      </c>
      <c r="H1753" s="4">
        <v>2</v>
      </c>
      <c r="I1753" s="4">
        <v>10</v>
      </c>
      <c r="J1753" s="1">
        <v>45573</v>
      </c>
      <c r="K1753" s="2">
        <v>9.5046296296296302E-3</v>
      </c>
      <c r="M1753" s="4" t="str">
        <f t="shared" si="81"/>
        <v>HIGH</v>
      </c>
      <c r="N1753" s="4" t="str" cm="1">
        <f t="array" ref="N1753">_xlfn.IFS(C1753&gt;35,"HIGH",C1753&gt;25,"MIDDLE",TRUE,"LOW")</f>
        <v>HIGH</v>
      </c>
      <c r="O1753" s="4" t="str">
        <f t="shared" si="82"/>
        <v>OTHERS</v>
      </c>
      <c r="P1753" s="4" t="str">
        <f t="shared" si="83"/>
        <v>PREMINUM MORNING</v>
      </c>
    </row>
    <row r="1754" spans="1:16" x14ac:dyDescent="0.3">
      <c r="A1754" s="4">
        <v>15</v>
      </c>
      <c r="B1754" t="s">
        <v>11</v>
      </c>
      <c r="C1754" s="4">
        <v>25.96</v>
      </c>
      <c r="D1754" t="s">
        <v>18</v>
      </c>
      <c r="E1754" t="s">
        <v>17</v>
      </c>
      <c r="F1754" s="4" t="s">
        <v>27</v>
      </c>
      <c r="G1754" s="4" t="s">
        <v>37</v>
      </c>
      <c r="H1754" s="4">
        <v>2</v>
      </c>
      <c r="I1754" s="4">
        <v>10</v>
      </c>
      <c r="J1754" s="1">
        <v>45573</v>
      </c>
      <c r="K1754" s="2">
        <v>1.3797453703703702E-2</v>
      </c>
      <c r="M1754" s="4" t="str">
        <f t="shared" si="81"/>
        <v>LOW</v>
      </c>
      <c r="N1754" s="4" t="str" cm="1">
        <f t="array" ref="N1754">_xlfn.IFS(C1754&gt;35,"HIGH",C1754&gt;25,"MIDDLE",TRUE,"LOW")</f>
        <v>MIDDLE</v>
      </c>
      <c r="O1754" s="4" t="str">
        <f t="shared" si="82"/>
        <v>OTHERS</v>
      </c>
      <c r="P1754" s="4" t="str">
        <f t="shared" si="83"/>
        <v>OTHERS</v>
      </c>
    </row>
    <row r="1755" spans="1:16" x14ac:dyDescent="0.3">
      <c r="A1755" s="4">
        <v>15</v>
      </c>
      <c r="B1755" t="s">
        <v>11</v>
      </c>
      <c r="C1755" s="4">
        <v>30.86</v>
      </c>
      <c r="D1755" t="s">
        <v>19</v>
      </c>
      <c r="E1755" t="s">
        <v>17</v>
      </c>
      <c r="F1755" s="4" t="s">
        <v>27</v>
      </c>
      <c r="G1755" s="4" t="s">
        <v>37</v>
      </c>
      <c r="H1755" s="4">
        <v>2</v>
      </c>
      <c r="I1755" s="4">
        <v>10</v>
      </c>
      <c r="J1755" s="1">
        <v>45573</v>
      </c>
      <c r="K1755" s="2">
        <v>3.5221064814814816E-2</v>
      </c>
      <c r="M1755" s="4" t="str">
        <f t="shared" si="81"/>
        <v>LOW</v>
      </c>
      <c r="N1755" s="4" t="str" cm="1">
        <f t="array" ref="N1755">_xlfn.IFS(C1755&gt;35,"HIGH",C1755&gt;25,"MIDDLE",TRUE,"LOW")</f>
        <v>MIDDLE</v>
      </c>
      <c r="O1755" s="4" t="str">
        <f t="shared" si="82"/>
        <v>OTHERS</v>
      </c>
      <c r="P1755" s="4" t="str">
        <f t="shared" si="83"/>
        <v>OTHERS</v>
      </c>
    </row>
    <row r="1756" spans="1:16" x14ac:dyDescent="0.3">
      <c r="A1756" s="4">
        <v>20</v>
      </c>
      <c r="B1756" t="s">
        <v>11</v>
      </c>
      <c r="C1756" s="4">
        <v>35.76</v>
      </c>
      <c r="D1756" t="s">
        <v>16</v>
      </c>
      <c r="E1756" t="s">
        <v>20</v>
      </c>
      <c r="F1756" s="4" t="s">
        <v>27</v>
      </c>
      <c r="G1756" s="4" t="s">
        <v>37</v>
      </c>
      <c r="H1756" s="4">
        <v>2</v>
      </c>
      <c r="I1756" s="4">
        <v>10</v>
      </c>
      <c r="J1756" s="1">
        <v>45573</v>
      </c>
      <c r="K1756" s="2">
        <v>2.8246527777777777E-2</v>
      </c>
      <c r="M1756" s="4" t="str">
        <f t="shared" si="81"/>
        <v>HIGH</v>
      </c>
      <c r="N1756" s="4" t="str" cm="1">
        <f t="array" ref="N1756">_xlfn.IFS(C1756&gt;35,"HIGH",C1756&gt;25,"MIDDLE",TRUE,"LOW")</f>
        <v>HIGH</v>
      </c>
      <c r="O1756" s="4" t="str">
        <f t="shared" si="82"/>
        <v>OTHERS</v>
      </c>
      <c r="P1756" s="4" t="str">
        <f t="shared" si="83"/>
        <v>PREMINUM MORNING</v>
      </c>
    </row>
    <row r="1757" spans="1:16" x14ac:dyDescent="0.3">
      <c r="A1757" s="4">
        <v>20</v>
      </c>
      <c r="B1757" t="s">
        <v>11</v>
      </c>
      <c r="C1757" s="4">
        <v>35.76</v>
      </c>
      <c r="D1757" t="s">
        <v>29</v>
      </c>
      <c r="E1757" t="s">
        <v>20</v>
      </c>
      <c r="F1757" s="4" t="s">
        <v>27</v>
      </c>
      <c r="G1757" s="4" t="s">
        <v>37</v>
      </c>
      <c r="H1757" s="4">
        <v>2</v>
      </c>
      <c r="I1757" s="4">
        <v>10</v>
      </c>
      <c r="J1757" s="1">
        <v>45573</v>
      </c>
      <c r="K1757" s="2">
        <v>2.8859953703703704E-2</v>
      </c>
      <c r="M1757" s="4" t="str">
        <f t="shared" si="81"/>
        <v>HIGH</v>
      </c>
      <c r="N1757" s="4" t="str" cm="1">
        <f t="array" ref="N1757">_xlfn.IFS(C1757&gt;35,"HIGH",C1757&gt;25,"MIDDLE",TRUE,"LOW")</f>
        <v>HIGH</v>
      </c>
      <c r="O1757" s="4" t="str">
        <f t="shared" si="82"/>
        <v>OTHERS</v>
      </c>
      <c r="P1757" s="4" t="str">
        <f t="shared" si="83"/>
        <v>PREMINUM MORNING</v>
      </c>
    </row>
    <row r="1758" spans="1:16" x14ac:dyDescent="0.3">
      <c r="A1758" s="4">
        <v>20</v>
      </c>
      <c r="B1758" t="s">
        <v>11</v>
      </c>
      <c r="C1758" s="4">
        <v>35.76</v>
      </c>
      <c r="D1758" t="s">
        <v>12</v>
      </c>
      <c r="E1758" t="s">
        <v>20</v>
      </c>
      <c r="F1758" s="4" t="s">
        <v>27</v>
      </c>
      <c r="G1758" s="4" t="s">
        <v>37</v>
      </c>
      <c r="H1758" s="4">
        <v>2</v>
      </c>
      <c r="I1758" s="4">
        <v>10</v>
      </c>
      <c r="J1758" s="1">
        <v>45573</v>
      </c>
      <c r="K1758" s="2">
        <v>3.5517361111111111E-2</v>
      </c>
      <c r="M1758" s="4" t="str">
        <f t="shared" si="81"/>
        <v>HIGH</v>
      </c>
      <c r="N1758" s="4" t="str" cm="1">
        <f t="array" ref="N1758">_xlfn.IFS(C1758&gt;35,"HIGH",C1758&gt;25,"MIDDLE",TRUE,"LOW")</f>
        <v>HIGH</v>
      </c>
      <c r="O1758" s="4" t="str">
        <f t="shared" si="82"/>
        <v>OTHERS</v>
      </c>
      <c r="P1758" s="4" t="str">
        <f t="shared" si="83"/>
        <v>PREMINUM MORNING</v>
      </c>
    </row>
    <row r="1759" spans="1:16" x14ac:dyDescent="0.3">
      <c r="A1759" s="4">
        <v>21</v>
      </c>
      <c r="B1759" t="s">
        <v>11</v>
      </c>
      <c r="C1759" s="4">
        <v>30.86</v>
      </c>
      <c r="D1759" t="s">
        <v>19</v>
      </c>
      <c r="E1759" t="s">
        <v>20</v>
      </c>
      <c r="F1759" s="4" t="s">
        <v>27</v>
      </c>
      <c r="G1759" s="4" t="s">
        <v>37</v>
      </c>
      <c r="H1759" s="4">
        <v>2</v>
      </c>
      <c r="I1759" s="4">
        <v>10</v>
      </c>
      <c r="J1759" s="1">
        <v>45573</v>
      </c>
      <c r="K1759" s="2">
        <v>1.7037037037037038E-2</v>
      </c>
      <c r="M1759" s="4" t="str">
        <f t="shared" si="81"/>
        <v>LOW</v>
      </c>
      <c r="N1759" s="4" t="str" cm="1">
        <f t="array" ref="N1759">_xlfn.IFS(C1759&gt;35,"HIGH",C1759&gt;25,"MIDDLE",TRUE,"LOW")</f>
        <v>MIDDLE</v>
      </c>
      <c r="O1759" s="4" t="str">
        <f t="shared" si="82"/>
        <v>OTHERS</v>
      </c>
      <c r="P1759" s="4" t="str">
        <f t="shared" si="83"/>
        <v>OTHERS</v>
      </c>
    </row>
    <row r="1760" spans="1:16" x14ac:dyDescent="0.3">
      <c r="A1760" s="4">
        <v>21</v>
      </c>
      <c r="B1760" t="s">
        <v>11</v>
      </c>
      <c r="C1760" s="4">
        <v>30.86</v>
      </c>
      <c r="D1760" t="s">
        <v>19</v>
      </c>
      <c r="E1760" t="s">
        <v>20</v>
      </c>
      <c r="F1760" s="4" t="s">
        <v>27</v>
      </c>
      <c r="G1760" s="4" t="s">
        <v>37</v>
      </c>
      <c r="H1760" s="4">
        <v>2</v>
      </c>
      <c r="I1760" s="4">
        <v>10</v>
      </c>
      <c r="J1760" s="1">
        <v>45573</v>
      </c>
      <c r="K1760" s="3">
        <v>0.89273148148148151</v>
      </c>
      <c r="M1760" s="4" t="str">
        <f t="shared" si="81"/>
        <v>LOW</v>
      </c>
      <c r="N1760" s="4" t="str" cm="1">
        <f t="array" ref="N1760">_xlfn.IFS(C1760&gt;35,"HIGH",C1760&gt;25,"MIDDLE",TRUE,"LOW")</f>
        <v>MIDDLE</v>
      </c>
      <c r="O1760" s="4" t="str">
        <f t="shared" si="82"/>
        <v>OTHERS</v>
      </c>
      <c r="P1760" s="4" t="str">
        <f t="shared" si="83"/>
        <v>OTHERS</v>
      </c>
    </row>
    <row r="1761" spans="1:16" x14ac:dyDescent="0.3">
      <c r="A1761" s="4">
        <v>7</v>
      </c>
      <c r="B1761" t="s">
        <v>11</v>
      </c>
      <c r="C1761" s="4">
        <v>35.76</v>
      </c>
      <c r="D1761" t="s">
        <v>12</v>
      </c>
      <c r="E1761" t="s">
        <v>13</v>
      </c>
      <c r="F1761" s="4" t="s">
        <v>28</v>
      </c>
      <c r="G1761" s="4" t="s">
        <v>37</v>
      </c>
      <c r="H1761" s="4">
        <v>3</v>
      </c>
      <c r="I1761" s="4">
        <v>10</v>
      </c>
      <c r="J1761" s="1">
        <v>45574</v>
      </c>
      <c r="K1761" s="2">
        <v>3.7993055555555558E-2</v>
      </c>
      <c r="M1761" s="4" t="str">
        <f t="shared" si="81"/>
        <v>HIGH</v>
      </c>
      <c r="N1761" s="4" t="str" cm="1">
        <f t="array" ref="N1761">_xlfn.IFS(C1761&gt;35,"HIGH",C1761&gt;25,"MIDDLE",TRUE,"LOW")</f>
        <v>HIGH</v>
      </c>
      <c r="O1761" s="4" t="str">
        <f t="shared" si="82"/>
        <v>PREMINUM MORNING</v>
      </c>
      <c r="P1761" s="4" t="str">
        <f t="shared" si="83"/>
        <v>PREMINUM MORNING</v>
      </c>
    </row>
    <row r="1762" spans="1:16" x14ac:dyDescent="0.3">
      <c r="A1762" s="4">
        <v>8</v>
      </c>
      <c r="B1762" t="s">
        <v>11</v>
      </c>
      <c r="C1762" s="4">
        <v>30.86</v>
      </c>
      <c r="D1762" t="s">
        <v>19</v>
      </c>
      <c r="E1762" t="s">
        <v>13</v>
      </c>
      <c r="F1762" s="4" t="s">
        <v>28</v>
      </c>
      <c r="G1762" s="4" t="s">
        <v>37</v>
      </c>
      <c r="H1762" s="4">
        <v>3</v>
      </c>
      <c r="I1762" s="4">
        <v>10</v>
      </c>
      <c r="J1762" s="1">
        <v>45574</v>
      </c>
      <c r="K1762" s="2">
        <v>1.802662037037037E-2</v>
      </c>
      <c r="M1762" s="4" t="str">
        <f t="shared" si="81"/>
        <v>LOW</v>
      </c>
      <c r="N1762" s="4" t="str" cm="1">
        <f t="array" ref="N1762">_xlfn.IFS(C1762&gt;35,"HIGH",C1762&gt;25,"MIDDLE",TRUE,"LOW")</f>
        <v>MIDDLE</v>
      </c>
      <c r="O1762" s="4" t="str">
        <f t="shared" si="82"/>
        <v>OTHERS</v>
      </c>
      <c r="P1762" s="4" t="str">
        <f t="shared" si="83"/>
        <v>PREMINUM MORNING</v>
      </c>
    </row>
    <row r="1763" spans="1:16" x14ac:dyDescent="0.3">
      <c r="A1763" s="4">
        <v>9</v>
      </c>
      <c r="B1763" t="s">
        <v>11</v>
      </c>
      <c r="C1763" s="4">
        <v>30.86</v>
      </c>
      <c r="D1763" t="s">
        <v>19</v>
      </c>
      <c r="E1763" t="s">
        <v>13</v>
      </c>
      <c r="F1763" s="4" t="s">
        <v>28</v>
      </c>
      <c r="G1763" s="4" t="s">
        <v>37</v>
      </c>
      <c r="H1763" s="4">
        <v>3</v>
      </c>
      <c r="I1763" s="4">
        <v>10</v>
      </c>
      <c r="J1763" s="1">
        <v>45574</v>
      </c>
      <c r="K1763" s="2">
        <v>3.0104166666666668E-2</v>
      </c>
      <c r="M1763" s="4" t="str">
        <f t="shared" si="81"/>
        <v>LOW</v>
      </c>
      <c r="N1763" s="4" t="str" cm="1">
        <f t="array" ref="N1763">_xlfn.IFS(C1763&gt;35,"HIGH",C1763&gt;25,"MIDDLE",TRUE,"LOW")</f>
        <v>MIDDLE</v>
      </c>
      <c r="O1763" s="4" t="str">
        <f t="shared" si="82"/>
        <v>OTHERS</v>
      </c>
      <c r="P1763" s="4" t="str">
        <f t="shared" si="83"/>
        <v>PREMINUM MORNING</v>
      </c>
    </row>
    <row r="1764" spans="1:16" x14ac:dyDescent="0.3">
      <c r="A1764" s="4">
        <v>9</v>
      </c>
      <c r="B1764" t="s">
        <v>11</v>
      </c>
      <c r="C1764" s="4">
        <v>35.76</v>
      </c>
      <c r="D1764" t="s">
        <v>12</v>
      </c>
      <c r="E1764" t="s">
        <v>13</v>
      </c>
      <c r="F1764" s="4" t="s">
        <v>28</v>
      </c>
      <c r="G1764" s="4" t="s">
        <v>37</v>
      </c>
      <c r="H1764" s="4">
        <v>3</v>
      </c>
      <c r="I1764" s="4">
        <v>10</v>
      </c>
      <c r="J1764" s="1">
        <v>45574</v>
      </c>
      <c r="K1764" s="2">
        <v>4.1435185185185186E-2</v>
      </c>
      <c r="M1764" s="4" t="str">
        <f t="shared" si="81"/>
        <v>HIGH</v>
      </c>
      <c r="N1764" s="4" t="str" cm="1">
        <f t="array" ref="N1764">_xlfn.IFS(C1764&gt;35,"HIGH",C1764&gt;25,"MIDDLE",TRUE,"LOW")</f>
        <v>HIGH</v>
      </c>
      <c r="O1764" s="4" t="str">
        <f t="shared" si="82"/>
        <v>PREMINUM MORNING</v>
      </c>
      <c r="P1764" s="4" t="str">
        <f t="shared" si="83"/>
        <v>PREMINUM MORNING</v>
      </c>
    </row>
    <row r="1765" spans="1:16" x14ac:dyDescent="0.3">
      <c r="A1765" s="4">
        <v>10</v>
      </c>
      <c r="B1765" t="s">
        <v>11</v>
      </c>
      <c r="C1765" s="4">
        <v>21.06</v>
      </c>
      <c r="D1765" t="s">
        <v>26</v>
      </c>
      <c r="E1765" t="s">
        <v>13</v>
      </c>
      <c r="F1765" s="4" t="s">
        <v>28</v>
      </c>
      <c r="G1765" s="4" t="s">
        <v>37</v>
      </c>
      <c r="H1765" s="4">
        <v>3</v>
      </c>
      <c r="I1765" s="4">
        <v>10</v>
      </c>
      <c r="J1765" s="1">
        <v>45574</v>
      </c>
      <c r="K1765" s="2">
        <v>2.635300925925926E-2</v>
      </c>
      <c r="M1765" s="4" t="str">
        <f t="shared" si="81"/>
        <v>LOW</v>
      </c>
      <c r="N1765" s="4" t="str" cm="1">
        <f t="array" ref="N1765">_xlfn.IFS(C1765&gt;35,"HIGH",C1765&gt;25,"MIDDLE",TRUE,"LOW")</f>
        <v>LOW</v>
      </c>
      <c r="O1765" s="4" t="str">
        <f t="shared" si="82"/>
        <v>OTHERS</v>
      </c>
      <c r="P1765" s="4" t="str">
        <f t="shared" si="83"/>
        <v>PREMINUM MORNING</v>
      </c>
    </row>
    <row r="1766" spans="1:16" x14ac:dyDescent="0.3">
      <c r="A1766" s="4">
        <v>11</v>
      </c>
      <c r="B1766" t="s">
        <v>11</v>
      </c>
      <c r="C1766" s="4">
        <v>25.96</v>
      </c>
      <c r="D1766" t="s">
        <v>18</v>
      </c>
      <c r="E1766" t="s">
        <v>13</v>
      </c>
      <c r="F1766" s="4" t="s">
        <v>28</v>
      </c>
      <c r="G1766" s="4" t="s">
        <v>37</v>
      </c>
      <c r="H1766" s="4">
        <v>3</v>
      </c>
      <c r="I1766" s="4">
        <v>10</v>
      </c>
      <c r="J1766" s="1">
        <v>45574</v>
      </c>
      <c r="K1766" s="2">
        <v>1.2524305555555554E-2</v>
      </c>
      <c r="M1766" s="4" t="str">
        <f t="shared" si="81"/>
        <v>LOW</v>
      </c>
      <c r="N1766" s="4" t="str" cm="1">
        <f t="array" ref="N1766">_xlfn.IFS(C1766&gt;35,"HIGH",C1766&gt;25,"MIDDLE",TRUE,"LOW")</f>
        <v>MIDDLE</v>
      </c>
      <c r="O1766" s="4" t="str">
        <f t="shared" si="82"/>
        <v>OTHERS</v>
      </c>
      <c r="P1766" s="4" t="str">
        <f t="shared" si="83"/>
        <v>PREMINUM MORNING</v>
      </c>
    </row>
    <row r="1767" spans="1:16" x14ac:dyDescent="0.3">
      <c r="A1767" s="4">
        <v>13</v>
      </c>
      <c r="B1767" t="s">
        <v>11</v>
      </c>
      <c r="C1767" s="4">
        <v>35.76</v>
      </c>
      <c r="D1767" t="s">
        <v>12</v>
      </c>
      <c r="E1767" t="s">
        <v>17</v>
      </c>
      <c r="F1767" s="4" t="s">
        <v>28</v>
      </c>
      <c r="G1767" s="4" t="s">
        <v>37</v>
      </c>
      <c r="H1767" s="4">
        <v>3</v>
      </c>
      <c r="I1767" s="4">
        <v>10</v>
      </c>
      <c r="J1767" s="1">
        <v>45574</v>
      </c>
      <c r="K1767" s="2">
        <v>2.181712962962963E-3</v>
      </c>
      <c r="M1767" s="4" t="str">
        <f t="shared" si="81"/>
        <v>HIGH</v>
      </c>
      <c r="N1767" s="4" t="str" cm="1">
        <f t="array" ref="N1767">_xlfn.IFS(C1767&gt;35,"HIGH",C1767&gt;25,"MIDDLE",TRUE,"LOW")</f>
        <v>HIGH</v>
      </c>
      <c r="O1767" s="4" t="str">
        <f t="shared" si="82"/>
        <v>OTHERS</v>
      </c>
      <c r="P1767" s="4" t="str">
        <f t="shared" si="83"/>
        <v>PREMINUM MORNING</v>
      </c>
    </row>
    <row r="1768" spans="1:16" x14ac:dyDescent="0.3">
      <c r="A1768" s="4">
        <v>13</v>
      </c>
      <c r="B1768" t="s">
        <v>11</v>
      </c>
      <c r="C1768" s="4">
        <v>30.86</v>
      </c>
      <c r="D1768" t="s">
        <v>19</v>
      </c>
      <c r="E1768" t="s">
        <v>17</v>
      </c>
      <c r="F1768" s="4" t="s">
        <v>28</v>
      </c>
      <c r="G1768" s="4" t="s">
        <v>37</v>
      </c>
      <c r="H1768" s="4">
        <v>3</v>
      </c>
      <c r="I1768" s="4">
        <v>10</v>
      </c>
      <c r="J1768" s="1">
        <v>45574</v>
      </c>
      <c r="K1768" s="2">
        <v>3.6512731481481479E-2</v>
      </c>
      <c r="M1768" s="4" t="str">
        <f t="shared" si="81"/>
        <v>LOW</v>
      </c>
      <c r="N1768" s="4" t="str" cm="1">
        <f t="array" ref="N1768">_xlfn.IFS(C1768&gt;35,"HIGH",C1768&gt;25,"MIDDLE",TRUE,"LOW")</f>
        <v>MIDDLE</v>
      </c>
      <c r="O1768" s="4" t="str">
        <f t="shared" si="82"/>
        <v>OTHERS</v>
      </c>
      <c r="P1768" s="4" t="str">
        <f t="shared" si="83"/>
        <v>OTHERS</v>
      </c>
    </row>
    <row r="1769" spans="1:16" x14ac:dyDescent="0.3">
      <c r="A1769" s="4">
        <v>17</v>
      </c>
      <c r="B1769" t="s">
        <v>11</v>
      </c>
      <c r="C1769" s="4">
        <v>35.76</v>
      </c>
      <c r="D1769" t="s">
        <v>29</v>
      </c>
      <c r="E1769" t="s">
        <v>20</v>
      </c>
      <c r="F1769" s="4" t="s">
        <v>28</v>
      </c>
      <c r="G1769" s="4" t="s">
        <v>37</v>
      </c>
      <c r="H1769" s="4">
        <v>3</v>
      </c>
      <c r="I1769" s="4">
        <v>10</v>
      </c>
      <c r="J1769" s="1">
        <v>45574</v>
      </c>
      <c r="K1769" s="2">
        <v>1.8569444444444444E-2</v>
      </c>
      <c r="M1769" s="4" t="str">
        <f t="shared" si="81"/>
        <v>HIGH</v>
      </c>
      <c r="N1769" s="4" t="str" cm="1">
        <f t="array" ref="N1769">_xlfn.IFS(C1769&gt;35,"HIGH",C1769&gt;25,"MIDDLE",TRUE,"LOW")</f>
        <v>HIGH</v>
      </c>
      <c r="O1769" s="4" t="str">
        <f t="shared" si="82"/>
        <v>OTHERS</v>
      </c>
      <c r="P1769" s="4" t="str">
        <f t="shared" si="83"/>
        <v>PREMINUM MORNING</v>
      </c>
    </row>
    <row r="1770" spans="1:16" x14ac:dyDescent="0.3">
      <c r="A1770" s="4">
        <v>17</v>
      </c>
      <c r="B1770" t="s">
        <v>11</v>
      </c>
      <c r="C1770" s="4">
        <v>25.96</v>
      </c>
      <c r="D1770" t="s">
        <v>18</v>
      </c>
      <c r="E1770" t="s">
        <v>20</v>
      </c>
      <c r="F1770" s="4" t="s">
        <v>28</v>
      </c>
      <c r="G1770" s="4" t="s">
        <v>37</v>
      </c>
      <c r="H1770" s="4">
        <v>3</v>
      </c>
      <c r="I1770" s="4">
        <v>10</v>
      </c>
      <c r="J1770" s="1">
        <v>45574</v>
      </c>
      <c r="K1770" s="2">
        <v>1.9315972222222224E-2</v>
      </c>
      <c r="M1770" s="4" t="str">
        <f t="shared" si="81"/>
        <v>LOW</v>
      </c>
      <c r="N1770" s="4" t="str" cm="1">
        <f t="array" ref="N1770">_xlfn.IFS(C1770&gt;35,"HIGH",C1770&gt;25,"MIDDLE",TRUE,"LOW")</f>
        <v>MIDDLE</v>
      </c>
      <c r="O1770" s="4" t="str">
        <f t="shared" si="82"/>
        <v>OTHERS</v>
      </c>
      <c r="P1770" s="4" t="str">
        <f t="shared" si="83"/>
        <v>OTHERS</v>
      </c>
    </row>
    <row r="1771" spans="1:16" x14ac:dyDescent="0.3">
      <c r="A1771" s="4">
        <v>17</v>
      </c>
      <c r="B1771" t="s">
        <v>11</v>
      </c>
      <c r="C1771" s="4">
        <v>21.06</v>
      </c>
      <c r="D1771" t="s">
        <v>26</v>
      </c>
      <c r="E1771" t="s">
        <v>20</v>
      </c>
      <c r="F1771" s="4" t="s">
        <v>28</v>
      </c>
      <c r="G1771" s="4" t="s">
        <v>37</v>
      </c>
      <c r="H1771" s="4">
        <v>3</v>
      </c>
      <c r="I1771" s="4">
        <v>10</v>
      </c>
      <c r="J1771" s="1">
        <v>45574</v>
      </c>
      <c r="K1771" s="2">
        <v>3.4717592592592592E-2</v>
      </c>
      <c r="M1771" s="4" t="str">
        <f t="shared" si="81"/>
        <v>LOW</v>
      </c>
      <c r="N1771" s="4" t="str" cm="1">
        <f t="array" ref="N1771">_xlfn.IFS(C1771&gt;35,"HIGH",C1771&gt;25,"MIDDLE",TRUE,"LOW")</f>
        <v>LOW</v>
      </c>
      <c r="O1771" s="4" t="str">
        <f t="shared" si="82"/>
        <v>OTHERS</v>
      </c>
      <c r="P1771" s="4" t="str">
        <f t="shared" si="83"/>
        <v>OTHERS</v>
      </c>
    </row>
    <row r="1772" spans="1:16" x14ac:dyDescent="0.3">
      <c r="A1772" s="4">
        <v>20</v>
      </c>
      <c r="B1772" t="s">
        <v>11</v>
      </c>
      <c r="C1772" s="4">
        <v>35.76</v>
      </c>
      <c r="D1772" t="s">
        <v>29</v>
      </c>
      <c r="E1772" t="s">
        <v>20</v>
      </c>
      <c r="F1772" s="4" t="s">
        <v>28</v>
      </c>
      <c r="G1772" s="4" t="s">
        <v>37</v>
      </c>
      <c r="H1772" s="4">
        <v>3</v>
      </c>
      <c r="I1772" s="4">
        <v>10</v>
      </c>
      <c r="J1772" s="1">
        <v>45574</v>
      </c>
      <c r="K1772" s="2">
        <v>3.4172453703703705E-2</v>
      </c>
      <c r="M1772" s="4" t="str">
        <f t="shared" si="81"/>
        <v>HIGH</v>
      </c>
      <c r="N1772" s="4" t="str" cm="1">
        <f t="array" ref="N1772">_xlfn.IFS(C1772&gt;35,"HIGH",C1772&gt;25,"MIDDLE",TRUE,"LOW")</f>
        <v>HIGH</v>
      </c>
      <c r="O1772" s="4" t="str">
        <f t="shared" si="82"/>
        <v>OTHERS</v>
      </c>
      <c r="P1772" s="4" t="str">
        <f t="shared" si="83"/>
        <v>PREMINUM MORNING</v>
      </c>
    </row>
    <row r="1773" spans="1:16" x14ac:dyDescent="0.3">
      <c r="A1773" s="4">
        <v>8</v>
      </c>
      <c r="B1773" t="s">
        <v>11</v>
      </c>
      <c r="C1773" s="4">
        <v>25.96</v>
      </c>
      <c r="D1773" t="s">
        <v>18</v>
      </c>
      <c r="E1773" t="s">
        <v>13</v>
      </c>
      <c r="F1773" s="4" t="s">
        <v>30</v>
      </c>
      <c r="G1773" s="4" t="s">
        <v>37</v>
      </c>
      <c r="H1773" s="4">
        <v>4</v>
      </c>
      <c r="I1773" s="4">
        <v>10</v>
      </c>
      <c r="J1773" s="1">
        <v>45575</v>
      </c>
      <c r="K1773" s="2">
        <v>3.3413194444444447E-2</v>
      </c>
      <c r="M1773" s="4" t="str">
        <f t="shared" si="81"/>
        <v>LOW</v>
      </c>
      <c r="N1773" s="4" t="str" cm="1">
        <f t="array" ref="N1773">_xlfn.IFS(C1773&gt;35,"HIGH",C1773&gt;25,"MIDDLE",TRUE,"LOW")</f>
        <v>MIDDLE</v>
      </c>
      <c r="O1773" s="4" t="str">
        <f t="shared" si="82"/>
        <v>OTHERS</v>
      </c>
      <c r="P1773" s="4" t="str">
        <f t="shared" si="83"/>
        <v>PREMINUM MORNING</v>
      </c>
    </row>
    <row r="1774" spans="1:16" x14ac:dyDescent="0.3">
      <c r="A1774" s="4">
        <v>9</v>
      </c>
      <c r="B1774" t="s">
        <v>11</v>
      </c>
      <c r="C1774" s="4">
        <v>30.86</v>
      </c>
      <c r="D1774" t="s">
        <v>19</v>
      </c>
      <c r="E1774" t="s">
        <v>13</v>
      </c>
      <c r="F1774" s="4" t="s">
        <v>30</v>
      </c>
      <c r="G1774" s="4" t="s">
        <v>37</v>
      </c>
      <c r="H1774" s="4">
        <v>4</v>
      </c>
      <c r="I1774" s="4">
        <v>10</v>
      </c>
      <c r="J1774" s="1">
        <v>45575</v>
      </c>
      <c r="K1774" s="2">
        <v>1.6204861111111111E-2</v>
      </c>
      <c r="M1774" s="4" t="str">
        <f t="shared" si="81"/>
        <v>LOW</v>
      </c>
      <c r="N1774" s="4" t="str" cm="1">
        <f t="array" ref="N1774">_xlfn.IFS(C1774&gt;35,"HIGH",C1774&gt;25,"MIDDLE",TRUE,"LOW")</f>
        <v>MIDDLE</v>
      </c>
      <c r="O1774" s="4" t="str">
        <f t="shared" si="82"/>
        <v>OTHERS</v>
      </c>
      <c r="P1774" s="4" t="str">
        <f t="shared" si="83"/>
        <v>PREMINUM MORNING</v>
      </c>
    </row>
    <row r="1775" spans="1:16" x14ac:dyDescent="0.3">
      <c r="A1775" s="4">
        <v>9</v>
      </c>
      <c r="B1775" t="s">
        <v>11</v>
      </c>
      <c r="C1775" s="4">
        <v>35.76</v>
      </c>
      <c r="D1775" t="s">
        <v>16</v>
      </c>
      <c r="E1775" t="s">
        <v>13</v>
      </c>
      <c r="F1775" s="4" t="s">
        <v>30</v>
      </c>
      <c r="G1775" s="4" t="s">
        <v>37</v>
      </c>
      <c r="H1775" s="4">
        <v>4</v>
      </c>
      <c r="I1775" s="4">
        <v>10</v>
      </c>
      <c r="J1775" s="1">
        <v>45575</v>
      </c>
      <c r="K1775" s="2">
        <v>3.592824074074074E-2</v>
      </c>
      <c r="M1775" s="4" t="str">
        <f t="shared" si="81"/>
        <v>HIGH</v>
      </c>
      <c r="N1775" s="4" t="str" cm="1">
        <f t="array" ref="N1775">_xlfn.IFS(C1775&gt;35,"HIGH",C1775&gt;25,"MIDDLE",TRUE,"LOW")</f>
        <v>HIGH</v>
      </c>
      <c r="O1775" s="4" t="str">
        <f t="shared" si="82"/>
        <v>PREMINUM MORNING</v>
      </c>
      <c r="P1775" s="4" t="str">
        <f t="shared" si="83"/>
        <v>PREMINUM MORNING</v>
      </c>
    </row>
    <row r="1776" spans="1:16" x14ac:dyDescent="0.3">
      <c r="A1776" s="4">
        <v>10</v>
      </c>
      <c r="B1776" t="s">
        <v>11</v>
      </c>
      <c r="C1776" s="4">
        <v>35.76</v>
      </c>
      <c r="D1776" t="s">
        <v>12</v>
      </c>
      <c r="E1776" t="s">
        <v>13</v>
      </c>
      <c r="F1776" s="4" t="s">
        <v>30</v>
      </c>
      <c r="G1776" s="4" t="s">
        <v>37</v>
      </c>
      <c r="H1776" s="4">
        <v>4</v>
      </c>
      <c r="I1776" s="4">
        <v>10</v>
      </c>
      <c r="J1776" s="1">
        <v>45575</v>
      </c>
      <c r="K1776" s="2">
        <v>3.5821759259259257E-3</v>
      </c>
      <c r="M1776" s="4" t="str">
        <f t="shared" si="81"/>
        <v>HIGH</v>
      </c>
      <c r="N1776" s="4" t="str" cm="1">
        <f t="array" ref="N1776">_xlfn.IFS(C1776&gt;35,"HIGH",C1776&gt;25,"MIDDLE",TRUE,"LOW")</f>
        <v>HIGH</v>
      </c>
      <c r="O1776" s="4" t="str">
        <f t="shared" si="82"/>
        <v>PREMINUM MORNING</v>
      </c>
      <c r="P1776" s="4" t="str">
        <f t="shared" si="83"/>
        <v>PREMINUM MORNING</v>
      </c>
    </row>
    <row r="1777" spans="1:16" x14ac:dyDescent="0.3">
      <c r="A1777" s="4">
        <v>10</v>
      </c>
      <c r="B1777" t="s">
        <v>11</v>
      </c>
      <c r="C1777" s="4">
        <v>25.96</v>
      </c>
      <c r="D1777" t="s">
        <v>24</v>
      </c>
      <c r="E1777" t="s">
        <v>13</v>
      </c>
      <c r="F1777" s="4" t="s">
        <v>30</v>
      </c>
      <c r="G1777" s="4" t="s">
        <v>37</v>
      </c>
      <c r="H1777" s="4">
        <v>4</v>
      </c>
      <c r="I1777" s="4">
        <v>10</v>
      </c>
      <c r="J1777" s="1">
        <v>45575</v>
      </c>
      <c r="K1777" s="2">
        <v>2.9664351851851851E-2</v>
      </c>
      <c r="M1777" s="4" t="str">
        <f t="shared" si="81"/>
        <v>LOW</v>
      </c>
      <c r="N1777" s="4" t="str" cm="1">
        <f t="array" ref="N1777">_xlfn.IFS(C1777&gt;35,"HIGH",C1777&gt;25,"MIDDLE",TRUE,"LOW")</f>
        <v>MIDDLE</v>
      </c>
      <c r="O1777" s="4" t="str">
        <f t="shared" si="82"/>
        <v>OTHERS</v>
      </c>
      <c r="P1777" s="4" t="str">
        <f t="shared" si="83"/>
        <v>PREMINUM MORNING</v>
      </c>
    </row>
    <row r="1778" spans="1:16" x14ac:dyDescent="0.3">
      <c r="A1778" s="4">
        <v>10</v>
      </c>
      <c r="B1778" t="s">
        <v>11</v>
      </c>
      <c r="C1778" s="4">
        <v>25.96</v>
      </c>
      <c r="D1778" t="s">
        <v>24</v>
      </c>
      <c r="E1778" t="s">
        <v>13</v>
      </c>
      <c r="F1778" s="4" t="s">
        <v>30</v>
      </c>
      <c r="G1778" s="4" t="s">
        <v>37</v>
      </c>
      <c r="H1778" s="4">
        <v>4</v>
      </c>
      <c r="I1778" s="4">
        <v>10</v>
      </c>
      <c r="J1778" s="1">
        <v>45575</v>
      </c>
      <c r="K1778" s="2">
        <v>3.0208333333333334E-2</v>
      </c>
      <c r="M1778" s="4" t="str">
        <f t="shared" si="81"/>
        <v>LOW</v>
      </c>
      <c r="N1778" s="4" t="str" cm="1">
        <f t="array" ref="N1778">_xlfn.IFS(C1778&gt;35,"HIGH",C1778&gt;25,"MIDDLE",TRUE,"LOW")</f>
        <v>MIDDLE</v>
      </c>
      <c r="O1778" s="4" t="str">
        <f t="shared" si="82"/>
        <v>OTHERS</v>
      </c>
      <c r="P1778" s="4" t="str">
        <f t="shared" si="83"/>
        <v>PREMINUM MORNING</v>
      </c>
    </row>
    <row r="1779" spans="1:16" x14ac:dyDescent="0.3">
      <c r="A1779" s="4">
        <v>10</v>
      </c>
      <c r="B1779" t="s">
        <v>11</v>
      </c>
      <c r="C1779" s="4">
        <v>35.76</v>
      </c>
      <c r="D1779" t="s">
        <v>12</v>
      </c>
      <c r="E1779" t="s">
        <v>13</v>
      </c>
      <c r="F1779" s="4" t="s">
        <v>30</v>
      </c>
      <c r="G1779" s="4" t="s">
        <v>37</v>
      </c>
      <c r="H1779" s="4">
        <v>4</v>
      </c>
      <c r="I1779" s="4">
        <v>10</v>
      </c>
      <c r="J1779" s="1">
        <v>45575</v>
      </c>
      <c r="K1779" s="2">
        <v>3.8571759259259257E-2</v>
      </c>
      <c r="M1779" s="4" t="str">
        <f t="shared" si="81"/>
        <v>HIGH</v>
      </c>
      <c r="N1779" s="4" t="str" cm="1">
        <f t="array" ref="N1779">_xlfn.IFS(C1779&gt;35,"HIGH",C1779&gt;25,"MIDDLE",TRUE,"LOW")</f>
        <v>HIGH</v>
      </c>
      <c r="O1779" s="4" t="str">
        <f t="shared" si="82"/>
        <v>PREMINUM MORNING</v>
      </c>
      <c r="P1779" s="4" t="str">
        <f t="shared" si="83"/>
        <v>PREMINUM MORNING</v>
      </c>
    </row>
    <row r="1780" spans="1:16" x14ac:dyDescent="0.3">
      <c r="A1780" s="4">
        <v>11</v>
      </c>
      <c r="B1780" t="s">
        <v>11</v>
      </c>
      <c r="C1780" s="4">
        <v>35.76</v>
      </c>
      <c r="D1780" t="s">
        <v>12</v>
      </c>
      <c r="E1780" t="s">
        <v>13</v>
      </c>
      <c r="F1780" s="4" t="s">
        <v>30</v>
      </c>
      <c r="G1780" s="4" t="s">
        <v>37</v>
      </c>
      <c r="H1780" s="4">
        <v>4</v>
      </c>
      <c r="I1780" s="4">
        <v>10</v>
      </c>
      <c r="J1780" s="1">
        <v>45575</v>
      </c>
      <c r="K1780" s="2">
        <v>3.0011574074074077E-3</v>
      </c>
      <c r="M1780" s="4" t="str">
        <f t="shared" si="81"/>
        <v>HIGH</v>
      </c>
      <c r="N1780" s="4" t="str" cm="1">
        <f t="array" ref="N1780">_xlfn.IFS(C1780&gt;35,"HIGH",C1780&gt;25,"MIDDLE",TRUE,"LOW")</f>
        <v>HIGH</v>
      </c>
      <c r="O1780" s="4" t="str">
        <f t="shared" si="82"/>
        <v>PREMINUM MORNING</v>
      </c>
      <c r="P1780" s="4" t="str">
        <f t="shared" si="83"/>
        <v>PREMINUM MORNING</v>
      </c>
    </row>
    <row r="1781" spans="1:16" x14ac:dyDescent="0.3">
      <c r="A1781" s="4">
        <v>15</v>
      </c>
      <c r="B1781" t="s">
        <v>11</v>
      </c>
      <c r="C1781" s="4">
        <v>35.76</v>
      </c>
      <c r="D1781" t="s">
        <v>29</v>
      </c>
      <c r="E1781" t="s">
        <v>17</v>
      </c>
      <c r="F1781" s="4" t="s">
        <v>30</v>
      </c>
      <c r="G1781" s="4" t="s">
        <v>37</v>
      </c>
      <c r="H1781" s="4">
        <v>4</v>
      </c>
      <c r="I1781" s="4">
        <v>10</v>
      </c>
      <c r="J1781" s="1">
        <v>45575</v>
      </c>
      <c r="K1781" s="2">
        <v>3.9687500000000001E-3</v>
      </c>
      <c r="M1781" s="4" t="str">
        <f t="shared" si="81"/>
        <v>HIGH</v>
      </c>
      <c r="N1781" s="4" t="str" cm="1">
        <f t="array" ref="N1781">_xlfn.IFS(C1781&gt;35,"HIGH",C1781&gt;25,"MIDDLE",TRUE,"LOW")</f>
        <v>HIGH</v>
      </c>
      <c r="O1781" s="4" t="str">
        <f t="shared" si="82"/>
        <v>OTHERS</v>
      </c>
      <c r="P1781" s="4" t="str">
        <f t="shared" si="83"/>
        <v>PREMINUM MORNING</v>
      </c>
    </row>
    <row r="1782" spans="1:16" x14ac:dyDescent="0.3">
      <c r="A1782" s="4">
        <v>17</v>
      </c>
      <c r="B1782" t="s">
        <v>11</v>
      </c>
      <c r="C1782" s="4">
        <v>35.76</v>
      </c>
      <c r="D1782" t="s">
        <v>12</v>
      </c>
      <c r="E1782" t="s">
        <v>20</v>
      </c>
      <c r="F1782" s="4" t="s">
        <v>30</v>
      </c>
      <c r="G1782" s="4" t="s">
        <v>37</v>
      </c>
      <c r="H1782" s="4">
        <v>4</v>
      </c>
      <c r="I1782" s="4">
        <v>10</v>
      </c>
      <c r="J1782" s="1">
        <v>45575</v>
      </c>
      <c r="K1782" s="2">
        <v>2.8291666666666666E-2</v>
      </c>
      <c r="M1782" s="4" t="str">
        <f t="shared" si="81"/>
        <v>HIGH</v>
      </c>
      <c r="N1782" s="4" t="str" cm="1">
        <f t="array" ref="N1782">_xlfn.IFS(C1782&gt;35,"HIGH",C1782&gt;25,"MIDDLE",TRUE,"LOW")</f>
        <v>HIGH</v>
      </c>
      <c r="O1782" s="4" t="str">
        <f t="shared" si="82"/>
        <v>OTHERS</v>
      </c>
      <c r="P1782" s="4" t="str">
        <f t="shared" si="83"/>
        <v>PREMINUM MORNING</v>
      </c>
    </row>
    <row r="1783" spans="1:16" x14ac:dyDescent="0.3">
      <c r="A1783" s="4">
        <v>18</v>
      </c>
      <c r="B1783" t="s">
        <v>11</v>
      </c>
      <c r="C1783" s="4">
        <v>25.96</v>
      </c>
      <c r="D1783" t="s">
        <v>18</v>
      </c>
      <c r="E1783" t="s">
        <v>20</v>
      </c>
      <c r="F1783" s="4" t="s">
        <v>30</v>
      </c>
      <c r="G1783" s="4" t="s">
        <v>37</v>
      </c>
      <c r="H1783" s="4">
        <v>4</v>
      </c>
      <c r="I1783" s="4">
        <v>10</v>
      </c>
      <c r="J1783" s="1">
        <v>45575</v>
      </c>
      <c r="K1783" s="2">
        <v>1.2878472222222223E-2</v>
      </c>
      <c r="M1783" s="4" t="str">
        <f t="shared" si="81"/>
        <v>LOW</v>
      </c>
      <c r="N1783" s="4" t="str" cm="1">
        <f t="array" ref="N1783">_xlfn.IFS(C1783&gt;35,"HIGH",C1783&gt;25,"MIDDLE",TRUE,"LOW")</f>
        <v>MIDDLE</v>
      </c>
      <c r="O1783" s="4" t="str">
        <f t="shared" si="82"/>
        <v>OTHERS</v>
      </c>
      <c r="P1783" s="4" t="str">
        <f t="shared" si="83"/>
        <v>OTHERS</v>
      </c>
    </row>
    <row r="1784" spans="1:16" x14ac:dyDescent="0.3">
      <c r="A1784" s="4">
        <v>18</v>
      </c>
      <c r="B1784" t="s">
        <v>11</v>
      </c>
      <c r="C1784" s="4">
        <v>30.86</v>
      </c>
      <c r="D1784" t="s">
        <v>19</v>
      </c>
      <c r="E1784" t="s">
        <v>20</v>
      </c>
      <c r="F1784" s="4" t="s">
        <v>30</v>
      </c>
      <c r="G1784" s="4" t="s">
        <v>37</v>
      </c>
      <c r="H1784" s="4">
        <v>4</v>
      </c>
      <c r="I1784" s="4">
        <v>10</v>
      </c>
      <c r="J1784" s="1">
        <v>45575</v>
      </c>
      <c r="K1784" s="2">
        <v>3.924421296296296E-2</v>
      </c>
      <c r="M1784" s="4" t="str">
        <f t="shared" si="81"/>
        <v>LOW</v>
      </c>
      <c r="N1784" s="4" t="str" cm="1">
        <f t="array" ref="N1784">_xlfn.IFS(C1784&gt;35,"HIGH",C1784&gt;25,"MIDDLE",TRUE,"LOW")</f>
        <v>MIDDLE</v>
      </c>
      <c r="O1784" s="4" t="str">
        <f t="shared" si="82"/>
        <v>OTHERS</v>
      </c>
      <c r="P1784" s="4" t="str">
        <f t="shared" si="83"/>
        <v>OTHERS</v>
      </c>
    </row>
    <row r="1785" spans="1:16" x14ac:dyDescent="0.3">
      <c r="A1785" s="4">
        <v>18</v>
      </c>
      <c r="B1785" t="s">
        <v>11</v>
      </c>
      <c r="C1785" s="4">
        <v>35.76</v>
      </c>
      <c r="D1785" t="s">
        <v>12</v>
      </c>
      <c r="E1785" t="s">
        <v>20</v>
      </c>
      <c r="F1785" s="4" t="s">
        <v>30</v>
      </c>
      <c r="G1785" s="4" t="s">
        <v>37</v>
      </c>
      <c r="H1785" s="4">
        <v>4</v>
      </c>
      <c r="I1785" s="4">
        <v>10</v>
      </c>
      <c r="J1785" s="1">
        <v>45575</v>
      </c>
      <c r="K1785" s="2">
        <v>3.9990740740740736E-2</v>
      </c>
      <c r="M1785" s="4" t="str">
        <f t="shared" si="81"/>
        <v>HIGH</v>
      </c>
      <c r="N1785" s="4" t="str" cm="1">
        <f t="array" ref="N1785">_xlfn.IFS(C1785&gt;35,"HIGH",C1785&gt;25,"MIDDLE",TRUE,"LOW")</f>
        <v>HIGH</v>
      </c>
      <c r="O1785" s="4" t="str">
        <f t="shared" si="82"/>
        <v>OTHERS</v>
      </c>
      <c r="P1785" s="4" t="str">
        <f t="shared" si="83"/>
        <v>PREMINUM MORNING</v>
      </c>
    </row>
    <row r="1786" spans="1:16" x14ac:dyDescent="0.3">
      <c r="A1786" s="4">
        <v>22</v>
      </c>
      <c r="B1786" t="s">
        <v>11</v>
      </c>
      <c r="C1786" s="4">
        <v>35.76</v>
      </c>
      <c r="D1786" t="s">
        <v>16</v>
      </c>
      <c r="E1786" t="s">
        <v>20</v>
      </c>
      <c r="F1786" s="4" t="s">
        <v>30</v>
      </c>
      <c r="G1786" s="4" t="s">
        <v>37</v>
      </c>
      <c r="H1786" s="4">
        <v>4</v>
      </c>
      <c r="I1786" s="4">
        <v>10</v>
      </c>
      <c r="J1786" s="1">
        <v>45575</v>
      </c>
      <c r="K1786" s="2">
        <v>2.3113425925925926E-2</v>
      </c>
      <c r="M1786" s="4" t="str">
        <f t="shared" si="81"/>
        <v>HIGH</v>
      </c>
      <c r="N1786" s="4" t="str" cm="1">
        <f t="array" ref="N1786">_xlfn.IFS(C1786&gt;35,"HIGH",C1786&gt;25,"MIDDLE",TRUE,"LOW")</f>
        <v>HIGH</v>
      </c>
      <c r="O1786" s="4" t="str">
        <f t="shared" si="82"/>
        <v>OTHERS</v>
      </c>
      <c r="P1786" s="4" t="str">
        <f t="shared" si="83"/>
        <v>PREMINUM MORNING</v>
      </c>
    </row>
    <row r="1787" spans="1:16" x14ac:dyDescent="0.3">
      <c r="A1787" s="4">
        <v>22</v>
      </c>
      <c r="B1787" t="s">
        <v>11</v>
      </c>
      <c r="C1787" s="4">
        <v>35.76</v>
      </c>
      <c r="D1787" t="s">
        <v>16</v>
      </c>
      <c r="E1787" t="s">
        <v>20</v>
      </c>
      <c r="F1787" s="4" t="s">
        <v>30</v>
      </c>
      <c r="G1787" s="4" t="s">
        <v>37</v>
      </c>
      <c r="H1787" s="4">
        <v>4</v>
      </c>
      <c r="I1787" s="4">
        <v>10</v>
      </c>
      <c r="J1787" s="1">
        <v>45575</v>
      </c>
      <c r="K1787" s="2">
        <v>2.360763888888889E-2</v>
      </c>
      <c r="M1787" s="4" t="str">
        <f t="shared" si="81"/>
        <v>HIGH</v>
      </c>
      <c r="N1787" s="4" t="str" cm="1">
        <f t="array" ref="N1787">_xlfn.IFS(C1787&gt;35,"HIGH",C1787&gt;25,"MIDDLE",TRUE,"LOW")</f>
        <v>HIGH</v>
      </c>
      <c r="O1787" s="4" t="str">
        <f t="shared" si="82"/>
        <v>OTHERS</v>
      </c>
      <c r="P1787" s="4" t="str">
        <f t="shared" si="83"/>
        <v>PREMINUM MORNING</v>
      </c>
    </row>
    <row r="1788" spans="1:16" x14ac:dyDescent="0.3">
      <c r="A1788" s="4">
        <v>7</v>
      </c>
      <c r="B1788" t="s">
        <v>11</v>
      </c>
      <c r="C1788" s="4">
        <v>30.86</v>
      </c>
      <c r="D1788" t="s">
        <v>19</v>
      </c>
      <c r="E1788" t="s">
        <v>13</v>
      </c>
      <c r="F1788" s="4" t="s">
        <v>14</v>
      </c>
      <c r="G1788" s="4" t="s">
        <v>37</v>
      </c>
      <c r="H1788" s="4">
        <v>5</v>
      </c>
      <c r="I1788" s="4">
        <v>10</v>
      </c>
      <c r="J1788" s="1">
        <v>45576</v>
      </c>
      <c r="K1788" s="2">
        <v>3.809722222222222E-2</v>
      </c>
      <c r="M1788" s="4" t="str">
        <f t="shared" si="81"/>
        <v>LOW</v>
      </c>
      <c r="N1788" s="4" t="str" cm="1">
        <f t="array" ref="N1788">_xlfn.IFS(C1788&gt;35,"HIGH",C1788&gt;25,"MIDDLE",TRUE,"LOW")</f>
        <v>MIDDLE</v>
      </c>
      <c r="O1788" s="4" t="str">
        <f t="shared" si="82"/>
        <v>OTHERS</v>
      </c>
      <c r="P1788" s="4" t="str">
        <f t="shared" si="83"/>
        <v>PREMINUM MORNING</v>
      </c>
    </row>
    <row r="1789" spans="1:16" x14ac:dyDescent="0.3">
      <c r="A1789" s="4">
        <v>8</v>
      </c>
      <c r="B1789" t="s">
        <v>11</v>
      </c>
      <c r="C1789" s="4">
        <v>35.76</v>
      </c>
      <c r="D1789" t="s">
        <v>12</v>
      </c>
      <c r="E1789" t="s">
        <v>13</v>
      </c>
      <c r="F1789" s="4" t="s">
        <v>14</v>
      </c>
      <c r="G1789" s="4" t="s">
        <v>37</v>
      </c>
      <c r="H1789" s="4">
        <v>5</v>
      </c>
      <c r="I1789" s="4">
        <v>10</v>
      </c>
      <c r="J1789" s="1">
        <v>45576</v>
      </c>
      <c r="K1789" s="2">
        <v>5.8912037037037038E-4</v>
      </c>
      <c r="M1789" s="4" t="str">
        <f t="shared" si="81"/>
        <v>HIGH</v>
      </c>
      <c r="N1789" s="4" t="str" cm="1">
        <f t="array" ref="N1789">_xlfn.IFS(C1789&gt;35,"HIGH",C1789&gt;25,"MIDDLE",TRUE,"LOW")</f>
        <v>HIGH</v>
      </c>
      <c r="O1789" s="4" t="str">
        <f t="shared" si="82"/>
        <v>PREMINUM MORNING</v>
      </c>
      <c r="P1789" s="4" t="str">
        <f t="shared" si="83"/>
        <v>PREMINUM MORNING</v>
      </c>
    </row>
    <row r="1790" spans="1:16" x14ac:dyDescent="0.3">
      <c r="A1790" s="4">
        <v>8</v>
      </c>
      <c r="B1790" t="s">
        <v>11</v>
      </c>
      <c r="C1790" s="4">
        <v>25.96</v>
      </c>
      <c r="D1790" t="s">
        <v>24</v>
      </c>
      <c r="E1790" t="s">
        <v>13</v>
      </c>
      <c r="F1790" s="4" t="s">
        <v>14</v>
      </c>
      <c r="G1790" s="4" t="s">
        <v>37</v>
      </c>
      <c r="H1790" s="4">
        <v>5</v>
      </c>
      <c r="I1790" s="4">
        <v>10</v>
      </c>
      <c r="J1790" s="1">
        <v>45576</v>
      </c>
      <c r="K1790" s="2">
        <v>8.5682870370370357E-3</v>
      </c>
      <c r="M1790" s="4" t="str">
        <f t="shared" si="81"/>
        <v>LOW</v>
      </c>
      <c r="N1790" s="4" t="str" cm="1">
        <f t="array" ref="N1790">_xlfn.IFS(C1790&gt;35,"HIGH",C1790&gt;25,"MIDDLE",TRUE,"LOW")</f>
        <v>MIDDLE</v>
      </c>
      <c r="O1790" s="4" t="str">
        <f t="shared" si="82"/>
        <v>OTHERS</v>
      </c>
      <c r="P1790" s="4" t="str">
        <f t="shared" si="83"/>
        <v>PREMINUM MORNING</v>
      </c>
    </row>
    <row r="1791" spans="1:16" x14ac:dyDescent="0.3">
      <c r="A1791" s="4">
        <v>8</v>
      </c>
      <c r="B1791" t="s">
        <v>11</v>
      </c>
      <c r="C1791" s="4">
        <v>35.76</v>
      </c>
      <c r="D1791" t="s">
        <v>12</v>
      </c>
      <c r="E1791" t="s">
        <v>13</v>
      </c>
      <c r="F1791" s="4" t="s">
        <v>14</v>
      </c>
      <c r="G1791" s="4" t="s">
        <v>37</v>
      </c>
      <c r="H1791" s="4">
        <v>5</v>
      </c>
      <c r="I1791" s="4">
        <v>10</v>
      </c>
      <c r="J1791" s="1">
        <v>45576</v>
      </c>
      <c r="K1791" s="2">
        <v>1.9663194444444445E-2</v>
      </c>
      <c r="M1791" s="4" t="str">
        <f t="shared" si="81"/>
        <v>HIGH</v>
      </c>
      <c r="N1791" s="4" t="str" cm="1">
        <f t="array" ref="N1791">_xlfn.IFS(C1791&gt;35,"HIGH",C1791&gt;25,"MIDDLE",TRUE,"LOW")</f>
        <v>HIGH</v>
      </c>
      <c r="O1791" s="4" t="str">
        <f t="shared" si="82"/>
        <v>PREMINUM MORNING</v>
      </c>
      <c r="P1791" s="4" t="str">
        <f t="shared" si="83"/>
        <v>PREMINUM MORNING</v>
      </c>
    </row>
    <row r="1792" spans="1:16" x14ac:dyDescent="0.3">
      <c r="A1792" s="4">
        <v>8</v>
      </c>
      <c r="B1792" t="s">
        <v>11</v>
      </c>
      <c r="C1792" s="4">
        <v>35.76</v>
      </c>
      <c r="D1792" t="s">
        <v>21</v>
      </c>
      <c r="E1792" t="s">
        <v>13</v>
      </c>
      <c r="F1792" s="4" t="s">
        <v>14</v>
      </c>
      <c r="G1792" s="4" t="s">
        <v>37</v>
      </c>
      <c r="H1792" s="4">
        <v>5</v>
      </c>
      <c r="I1792" s="4">
        <v>10</v>
      </c>
      <c r="J1792" s="1">
        <v>45576</v>
      </c>
      <c r="K1792" s="2">
        <v>2.0398148148148148E-2</v>
      </c>
      <c r="M1792" s="4" t="str">
        <f t="shared" si="81"/>
        <v>HIGH</v>
      </c>
      <c r="N1792" s="4" t="str" cm="1">
        <f t="array" ref="N1792">_xlfn.IFS(C1792&gt;35,"HIGH",C1792&gt;25,"MIDDLE",TRUE,"LOW")</f>
        <v>HIGH</v>
      </c>
      <c r="O1792" s="4" t="str">
        <f t="shared" si="82"/>
        <v>PREMINUM MORNING</v>
      </c>
      <c r="P1792" s="4" t="str">
        <f t="shared" si="83"/>
        <v>PREMINUM MORNING</v>
      </c>
    </row>
    <row r="1793" spans="1:16" x14ac:dyDescent="0.3">
      <c r="A1793" s="4">
        <v>8</v>
      </c>
      <c r="B1793" t="s">
        <v>11</v>
      </c>
      <c r="C1793" s="4">
        <v>35.76</v>
      </c>
      <c r="D1793" t="s">
        <v>21</v>
      </c>
      <c r="E1793" t="s">
        <v>13</v>
      </c>
      <c r="F1793" s="4" t="s">
        <v>14</v>
      </c>
      <c r="G1793" s="4" t="s">
        <v>37</v>
      </c>
      <c r="H1793" s="4">
        <v>5</v>
      </c>
      <c r="I1793" s="4">
        <v>10</v>
      </c>
      <c r="J1793" s="1">
        <v>45576</v>
      </c>
      <c r="K1793" s="2">
        <v>3.8701388888888889E-2</v>
      </c>
      <c r="M1793" s="4" t="str">
        <f t="shared" si="81"/>
        <v>HIGH</v>
      </c>
      <c r="N1793" s="4" t="str" cm="1">
        <f t="array" ref="N1793">_xlfn.IFS(C1793&gt;35,"HIGH",C1793&gt;25,"MIDDLE",TRUE,"LOW")</f>
        <v>HIGH</v>
      </c>
      <c r="O1793" s="4" t="str">
        <f t="shared" si="82"/>
        <v>PREMINUM MORNING</v>
      </c>
      <c r="P1793" s="4" t="str">
        <f t="shared" si="83"/>
        <v>PREMINUM MORNING</v>
      </c>
    </row>
    <row r="1794" spans="1:16" x14ac:dyDescent="0.3">
      <c r="A1794" s="4">
        <v>8</v>
      </c>
      <c r="B1794" t="s">
        <v>11</v>
      </c>
      <c r="C1794" s="4">
        <v>30.86</v>
      </c>
      <c r="D1794" t="s">
        <v>19</v>
      </c>
      <c r="E1794" t="s">
        <v>13</v>
      </c>
      <c r="F1794" s="4" t="s">
        <v>14</v>
      </c>
      <c r="G1794" s="4" t="s">
        <v>37</v>
      </c>
      <c r="H1794" s="4">
        <v>5</v>
      </c>
      <c r="I1794" s="4">
        <v>10</v>
      </c>
      <c r="J1794" s="1">
        <v>45576</v>
      </c>
      <c r="K1794" s="2">
        <v>3.9569444444444449E-2</v>
      </c>
      <c r="M1794" s="4" t="str">
        <f t="shared" si="81"/>
        <v>LOW</v>
      </c>
      <c r="N1794" s="4" t="str" cm="1">
        <f t="array" ref="N1794">_xlfn.IFS(C1794&gt;35,"HIGH",C1794&gt;25,"MIDDLE",TRUE,"LOW")</f>
        <v>MIDDLE</v>
      </c>
      <c r="O1794" s="4" t="str">
        <f t="shared" si="82"/>
        <v>OTHERS</v>
      </c>
      <c r="P1794" s="4" t="str">
        <f t="shared" si="83"/>
        <v>PREMINUM MORNING</v>
      </c>
    </row>
    <row r="1795" spans="1:16" x14ac:dyDescent="0.3">
      <c r="A1795" s="4">
        <v>8</v>
      </c>
      <c r="B1795" t="s">
        <v>11</v>
      </c>
      <c r="C1795" s="4">
        <v>35.76</v>
      </c>
      <c r="D1795" t="s">
        <v>16</v>
      </c>
      <c r="E1795" t="s">
        <v>13</v>
      </c>
      <c r="F1795" s="4" t="s">
        <v>14</v>
      </c>
      <c r="G1795" s="4" t="s">
        <v>37</v>
      </c>
      <c r="H1795" s="4">
        <v>5</v>
      </c>
      <c r="I1795" s="4">
        <v>10</v>
      </c>
      <c r="J1795" s="1">
        <v>45576</v>
      </c>
      <c r="K1795" s="2">
        <v>4.0383101851851851E-2</v>
      </c>
      <c r="M1795" s="4" t="str">
        <f t="shared" ref="M1795:M1858" si="84">IF(C1795&gt;35,"HIGH","LOW")</f>
        <v>HIGH</v>
      </c>
      <c r="N1795" s="4" t="str" cm="1">
        <f t="array" ref="N1795">_xlfn.IFS(C1795&gt;35,"HIGH",C1795&gt;25,"MIDDLE",TRUE,"LOW")</f>
        <v>HIGH</v>
      </c>
      <c r="O1795" s="4" t="str">
        <f t="shared" ref="O1795:O1858" si="85">IF(AND(C1795&gt;35,E1795="MORNING"),"PREMINUM MORNING","OTHERS")</f>
        <v>PREMINUM MORNING</v>
      </c>
      <c r="P1795" s="4" t="str">
        <f t="shared" ref="P1795:P1858" si="86">IF(OR(C1795&gt;35,E1795="MORNING"),"PREMINUM MORNING","OTHERS")</f>
        <v>PREMINUM MORNING</v>
      </c>
    </row>
    <row r="1796" spans="1:16" x14ac:dyDescent="0.3">
      <c r="A1796" s="4">
        <v>9</v>
      </c>
      <c r="B1796" t="s">
        <v>11</v>
      </c>
      <c r="C1796" s="4">
        <v>30.86</v>
      </c>
      <c r="D1796" t="s">
        <v>19</v>
      </c>
      <c r="E1796" t="s">
        <v>13</v>
      </c>
      <c r="F1796" s="4" t="s">
        <v>14</v>
      </c>
      <c r="G1796" s="4" t="s">
        <v>37</v>
      </c>
      <c r="H1796" s="4">
        <v>5</v>
      </c>
      <c r="I1796" s="4">
        <v>10</v>
      </c>
      <c r="J1796" s="1">
        <v>45576</v>
      </c>
      <c r="K1796" s="2">
        <v>2.2017361111111109E-2</v>
      </c>
      <c r="M1796" s="4" t="str">
        <f t="shared" si="84"/>
        <v>LOW</v>
      </c>
      <c r="N1796" s="4" t="str" cm="1">
        <f t="array" ref="N1796">_xlfn.IFS(C1796&gt;35,"HIGH",C1796&gt;25,"MIDDLE",TRUE,"LOW")</f>
        <v>MIDDLE</v>
      </c>
      <c r="O1796" s="4" t="str">
        <f t="shared" si="85"/>
        <v>OTHERS</v>
      </c>
      <c r="P1796" s="4" t="str">
        <f t="shared" si="86"/>
        <v>PREMINUM MORNING</v>
      </c>
    </row>
    <row r="1797" spans="1:16" x14ac:dyDescent="0.3">
      <c r="A1797" s="4">
        <v>9</v>
      </c>
      <c r="B1797" t="s">
        <v>11</v>
      </c>
      <c r="C1797" s="4">
        <v>25.96</v>
      </c>
      <c r="D1797" t="s">
        <v>24</v>
      </c>
      <c r="E1797" t="s">
        <v>13</v>
      </c>
      <c r="F1797" s="4" t="s">
        <v>14</v>
      </c>
      <c r="G1797" s="4" t="s">
        <v>37</v>
      </c>
      <c r="H1797" s="4">
        <v>5</v>
      </c>
      <c r="I1797" s="4">
        <v>10</v>
      </c>
      <c r="J1797" s="1">
        <v>45576</v>
      </c>
      <c r="K1797" s="2">
        <v>2.6931712962962963E-2</v>
      </c>
      <c r="M1797" s="4" t="str">
        <f t="shared" si="84"/>
        <v>LOW</v>
      </c>
      <c r="N1797" s="4" t="str" cm="1">
        <f t="array" ref="N1797">_xlfn.IFS(C1797&gt;35,"HIGH",C1797&gt;25,"MIDDLE",TRUE,"LOW")</f>
        <v>MIDDLE</v>
      </c>
      <c r="O1797" s="4" t="str">
        <f t="shared" si="85"/>
        <v>OTHERS</v>
      </c>
      <c r="P1797" s="4" t="str">
        <f t="shared" si="86"/>
        <v>PREMINUM MORNING</v>
      </c>
    </row>
    <row r="1798" spans="1:16" x14ac:dyDescent="0.3">
      <c r="A1798" s="4">
        <v>10</v>
      </c>
      <c r="B1798" t="s">
        <v>11</v>
      </c>
      <c r="C1798" s="4">
        <v>25.96</v>
      </c>
      <c r="D1798" t="s">
        <v>18</v>
      </c>
      <c r="E1798" t="s">
        <v>13</v>
      </c>
      <c r="F1798" s="4" t="s">
        <v>14</v>
      </c>
      <c r="G1798" s="4" t="s">
        <v>37</v>
      </c>
      <c r="H1798" s="4">
        <v>5</v>
      </c>
      <c r="I1798" s="4">
        <v>10</v>
      </c>
      <c r="J1798" s="1">
        <v>45576</v>
      </c>
      <c r="K1798" s="2">
        <v>4.6759259259259258E-4</v>
      </c>
      <c r="M1798" s="4" t="str">
        <f t="shared" si="84"/>
        <v>LOW</v>
      </c>
      <c r="N1798" s="4" t="str" cm="1">
        <f t="array" ref="N1798">_xlfn.IFS(C1798&gt;35,"HIGH",C1798&gt;25,"MIDDLE",TRUE,"LOW")</f>
        <v>MIDDLE</v>
      </c>
      <c r="O1798" s="4" t="str">
        <f t="shared" si="85"/>
        <v>OTHERS</v>
      </c>
      <c r="P1798" s="4" t="str">
        <f t="shared" si="86"/>
        <v>PREMINUM MORNING</v>
      </c>
    </row>
    <row r="1799" spans="1:16" x14ac:dyDescent="0.3">
      <c r="A1799" s="4">
        <v>10</v>
      </c>
      <c r="B1799" t="s">
        <v>11</v>
      </c>
      <c r="C1799" s="4">
        <v>25.96</v>
      </c>
      <c r="D1799" t="s">
        <v>18</v>
      </c>
      <c r="E1799" t="s">
        <v>13</v>
      </c>
      <c r="F1799" s="4" t="s">
        <v>14</v>
      </c>
      <c r="G1799" s="4" t="s">
        <v>37</v>
      </c>
      <c r="H1799" s="4">
        <v>5</v>
      </c>
      <c r="I1799" s="4">
        <v>10</v>
      </c>
      <c r="J1799" s="1">
        <v>45576</v>
      </c>
      <c r="K1799" s="2">
        <v>1.3298611111111111E-3</v>
      </c>
      <c r="M1799" s="4" t="str">
        <f t="shared" si="84"/>
        <v>LOW</v>
      </c>
      <c r="N1799" s="4" t="str" cm="1">
        <f t="array" ref="N1799">_xlfn.IFS(C1799&gt;35,"HIGH",C1799&gt;25,"MIDDLE",TRUE,"LOW")</f>
        <v>MIDDLE</v>
      </c>
      <c r="O1799" s="4" t="str">
        <f t="shared" si="85"/>
        <v>OTHERS</v>
      </c>
      <c r="P1799" s="4" t="str">
        <f t="shared" si="86"/>
        <v>PREMINUM MORNING</v>
      </c>
    </row>
    <row r="1800" spans="1:16" x14ac:dyDescent="0.3">
      <c r="A1800" s="4">
        <v>10</v>
      </c>
      <c r="B1800" t="s">
        <v>11</v>
      </c>
      <c r="C1800" s="4">
        <v>30.86</v>
      </c>
      <c r="D1800" t="s">
        <v>19</v>
      </c>
      <c r="E1800" t="s">
        <v>13</v>
      </c>
      <c r="F1800" s="4" t="s">
        <v>14</v>
      </c>
      <c r="G1800" s="4" t="s">
        <v>37</v>
      </c>
      <c r="H1800" s="4">
        <v>5</v>
      </c>
      <c r="I1800" s="4">
        <v>10</v>
      </c>
      <c r="J1800" s="1">
        <v>45576</v>
      </c>
      <c r="K1800" s="2">
        <v>2.1250000000000002E-2</v>
      </c>
      <c r="M1800" s="4" t="str">
        <f t="shared" si="84"/>
        <v>LOW</v>
      </c>
      <c r="N1800" s="4" t="str" cm="1">
        <f t="array" ref="N1800">_xlfn.IFS(C1800&gt;35,"HIGH",C1800&gt;25,"MIDDLE",TRUE,"LOW")</f>
        <v>MIDDLE</v>
      </c>
      <c r="O1800" s="4" t="str">
        <f t="shared" si="85"/>
        <v>OTHERS</v>
      </c>
      <c r="P1800" s="4" t="str">
        <f t="shared" si="86"/>
        <v>PREMINUM MORNING</v>
      </c>
    </row>
    <row r="1801" spans="1:16" x14ac:dyDescent="0.3">
      <c r="A1801" s="4">
        <v>13</v>
      </c>
      <c r="B1801" t="s">
        <v>11</v>
      </c>
      <c r="C1801" s="4">
        <v>35.76</v>
      </c>
      <c r="D1801" t="s">
        <v>12</v>
      </c>
      <c r="E1801" t="s">
        <v>17</v>
      </c>
      <c r="F1801" s="4" t="s">
        <v>14</v>
      </c>
      <c r="G1801" s="4" t="s">
        <v>37</v>
      </c>
      <c r="H1801" s="4">
        <v>5</v>
      </c>
      <c r="I1801" s="4">
        <v>10</v>
      </c>
      <c r="J1801" s="1">
        <v>45576</v>
      </c>
      <c r="K1801" s="2">
        <v>3.4884259259259256E-3</v>
      </c>
      <c r="M1801" s="4" t="str">
        <f t="shared" si="84"/>
        <v>HIGH</v>
      </c>
      <c r="N1801" s="4" t="str" cm="1">
        <f t="array" ref="N1801">_xlfn.IFS(C1801&gt;35,"HIGH",C1801&gt;25,"MIDDLE",TRUE,"LOW")</f>
        <v>HIGH</v>
      </c>
      <c r="O1801" s="4" t="str">
        <f t="shared" si="85"/>
        <v>OTHERS</v>
      </c>
      <c r="P1801" s="4" t="str">
        <f t="shared" si="86"/>
        <v>PREMINUM MORNING</v>
      </c>
    </row>
    <row r="1802" spans="1:16" x14ac:dyDescent="0.3">
      <c r="A1802" s="4">
        <v>13</v>
      </c>
      <c r="B1802" t="s">
        <v>11</v>
      </c>
      <c r="C1802" s="4">
        <v>25.96</v>
      </c>
      <c r="D1802" t="s">
        <v>18</v>
      </c>
      <c r="E1802" t="s">
        <v>17</v>
      </c>
      <c r="F1802" s="4" t="s">
        <v>14</v>
      </c>
      <c r="G1802" s="4" t="s">
        <v>37</v>
      </c>
      <c r="H1802" s="4">
        <v>5</v>
      </c>
      <c r="I1802" s="4">
        <v>10</v>
      </c>
      <c r="J1802" s="1">
        <v>45576</v>
      </c>
      <c r="K1802" s="2">
        <v>2.0167824074074074E-2</v>
      </c>
      <c r="M1802" s="4" t="str">
        <f t="shared" si="84"/>
        <v>LOW</v>
      </c>
      <c r="N1802" s="4" t="str" cm="1">
        <f t="array" ref="N1802">_xlfn.IFS(C1802&gt;35,"HIGH",C1802&gt;25,"MIDDLE",TRUE,"LOW")</f>
        <v>MIDDLE</v>
      </c>
      <c r="O1802" s="4" t="str">
        <f t="shared" si="85"/>
        <v>OTHERS</v>
      </c>
      <c r="P1802" s="4" t="str">
        <f t="shared" si="86"/>
        <v>OTHERS</v>
      </c>
    </row>
    <row r="1803" spans="1:16" x14ac:dyDescent="0.3">
      <c r="A1803" s="4">
        <v>13</v>
      </c>
      <c r="B1803" t="s">
        <v>11</v>
      </c>
      <c r="C1803" s="4">
        <v>25.96</v>
      </c>
      <c r="D1803" t="s">
        <v>18</v>
      </c>
      <c r="E1803" t="s">
        <v>17</v>
      </c>
      <c r="F1803" s="4" t="s">
        <v>14</v>
      </c>
      <c r="G1803" s="4" t="s">
        <v>37</v>
      </c>
      <c r="H1803" s="4">
        <v>5</v>
      </c>
      <c r="I1803" s="4">
        <v>10</v>
      </c>
      <c r="J1803" s="1">
        <v>45576</v>
      </c>
      <c r="K1803" s="2">
        <v>2.0937500000000001E-2</v>
      </c>
      <c r="M1803" s="4" t="str">
        <f t="shared" si="84"/>
        <v>LOW</v>
      </c>
      <c r="N1803" s="4" t="str" cm="1">
        <f t="array" ref="N1803">_xlfn.IFS(C1803&gt;35,"HIGH",C1803&gt;25,"MIDDLE",TRUE,"LOW")</f>
        <v>MIDDLE</v>
      </c>
      <c r="O1803" s="4" t="str">
        <f t="shared" si="85"/>
        <v>OTHERS</v>
      </c>
      <c r="P1803" s="4" t="str">
        <f t="shared" si="86"/>
        <v>OTHERS</v>
      </c>
    </row>
    <row r="1804" spans="1:16" x14ac:dyDescent="0.3">
      <c r="A1804" s="4">
        <v>14</v>
      </c>
      <c r="B1804" t="s">
        <v>11</v>
      </c>
      <c r="C1804" s="4">
        <v>35.76</v>
      </c>
      <c r="D1804" t="s">
        <v>21</v>
      </c>
      <c r="E1804" t="s">
        <v>17</v>
      </c>
      <c r="F1804" s="4" t="s">
        <v>14</v>
      </c>
      <c r="G1804" s="4" t="s">
        <v>37</v>
      </c>
      <c r="H1804" s="4">
        <v>5</v>
      </c>
      <c r="I1804" s="4">
        <v>10</v>
      </c>
      <c r="J1804" s="1">
        <v>45576</v>
      </c>
      <c r="K1804" s="2">
        <v>2.3385416666666665E-2</v>
      </c>
      <c r="M1804" s="4" t="str">
        <f t="shared" si="84"/>
        <v>HIGH</v>
      </c>
      <c r="N1804" s="4" t="str" cm="1">
        <f t="array" ref="N1804">_xlfn.IFS(C1804&gt;35,"HIGH",C1804&gt;25,"MIDDLE",TRUE,"LOW")</f>
        <v>HIGH</v>
      </c>
      <c r="O1804" s="4" t="str">
        <f t="shared" si="85"/>
        <v>OTHERS</v>
      </c>
      <c r="P1804" s="4" t="str">
        <f t="shared" si="86"/>
        <v>PREMINUM MORNING</v>
      </c>
    </row>
    <row r="1805" spans="1:16" x14ac:dyDescent="0.3">
      <c r="A1805" s="4">
        <v>14</v>
      </c>
      <c r="B1805" t="s">
        <v>11</v>
      </c>
      <c r="C1805" s="4">
        <v>25.96</v>
      </c>
      <c r="D1805" t="s">
        <v>18</v>
      </c>
      <c r="E1805" t="s">
        <v>17</v>
      </c>
      <c r="F1805" s="4" t="s">
        <v>14</v>
      </c>
      <c r="G1805" s="4" t="s">
        <v>37</v>
      </c>
      <c r="H1805" s="4">
        <v>5</v>
      </c>
      <c r="I1805" s="4">
        <v>10</v>
      </c>
      <c r="J1805" s="1">
        <v>45576</v>
      </c>
      <c r="K1805" s="2">
        <v>2.4644675925925928E-2</v>
      </c>
      <c r="M1805" s="4" t="str">
        <f t="shared" si="84"/>
        <v>LOW</v>
      </c>
      <c r="N1805" s="4" t="str" cm="1">
        <f t="array" ref="N1805">_xlfn.IFS(C1805&gt;35,"HIGH",C1805&gt;25,"MIDDLE",TRUE,"LOW")</f>
        <v>MIDDLE</v>
      </c>
      <c r="O1805" s="4" t="str">
        <f t="shared" si="85"/>
        <v>OTHERS</v>
      </c>
      <c r="P1805" s="4" t="str">
        <f t="shared" si="86"/>
        <v>OTHERS</v>
      </c>
    </row>
    <row r="1806" spans="1:16" x14ac:dyDescent="0.3">
      <c r="A1806" s="4">
        <v>14</v>
      </c>
      <c r="B1806" t="s">
        <v>11</v>
      </c>
      <c r="C1806" s="4">
        <v>35.76</v>
      </c>
      <c r="D1806" t="s">
        <v>29</v>
      </c>
      <c r="E1806" t="s">
        <v>17</v>
      </c>
      <c r="F1806" s="4" t="s">
        <v>14</v>
      </c>
      <c r="G1806" s="4" t="s">
        <v>37</v>
      </c>
      <c r="H1806" s="4">
        <v>5</v>
      </c>
      <c r="I1806" s="4">
        <v>10</v>
      </c>
      <c r="J1806" s="1">
        <v>45576</v>
      </c>
      <c r="K1806" s="2">
        <v>3.4824074074074077E-2</v>
      </c>
      <c r="M1806" s="4" t="str">
        <f t="shared" si="84"/>
        <v>HIGH</v>
      </c>
      <c r="N1806" s="4" t="str" cm="1">
        <f t="array" ref="N1806">_xlfn.IFS(C1806&gt;35,"HIGH",C1806&gt;25,"MIDDLE",TRUE,"LOW")</f>
        <v>HIGH</v>
      </c>
      <c r="O1806" s="4" t="str">
        <f t="shared" si="85"/>
        <v>OTHERS</v>
      </c>
      <c r="P1806" s="4" t="str">
        <f t="shared" si="86"/>
        <v>PREMINUM MORNING</v>
      </c>
    </row>
    <row r="1807" spans="1:16" x14ac:dyDescent="0.3">
      <c r="A1807" s="4">
        <v>17</v>
      </c>
      <c r="B1807" t="s">
        <v>11</v>
      </c>
      <c r="C1807" s="4">
        <v>35.76</v>
      </c>
      <c r="D1807" t="s">
        <v>12</v>
      </c>
      <c r="E1807" t="s">
        <v>20</v>
      </c>
      <c r="F1807" s="4" t="s">
        <v>14</v>
      </c>
      <c r="G1807" s="4" t="s">
        <v>37</v>
      </c>
      <c r="H1807" s="4">
        <v>5</v>
      </c>
      <c r="I1807" s="4">
        <v>10</v>
      </c>
      <c r="J1807" s="1">
        <v>45576</v>
      </c>
      <c r="K1807" s="2">
        <v>8.4178240740740741E-3</v>
      </c>
      <c r="M1807" s="4" t="str">
        <f t="shared" si="84"/>
        <v>HIGH</v>
      </c>
      <c r="N1807" s="4" t="str" cm="1">
        <f t="array" ref="N1807">_xlfn.IFS(C1807&gt;35,"HIGH",C1807&gt;25,"MIDDLE",TRUE,"LOW")</f>
        <v>HIGH</v>
      </c>
      <c r="O1807" s="4" t="str">
        <f t="shared" si="85"/>
        <v>OTHERS</v>
      </c>
      <c r="P1807" s="4" t="str">
        <f t="shared" si="86"/>
        <v>PREMINUM MORNING</v>
      </c>
    </row>
    <row r="1808" spans="1:16" x14ac:dyDescent="0.3">
      <c r="A1808" s="4">
        <v>17</v>
      </c>
      <c r="B1808" t="s">
        <v>11</v>
      </c>
      <c r="C1808" s="4">
        <v>35.76</v>
      </c>
      <c r="D1808" t="s">
        <v>16</v>
      </c>
      <c r="E1808" t="s">
        <v>20</v>
      </c>
      <c r="F1808" s="4" t="s">
        <v>14</v>
      </c>
      <c r="G1808" s="4" t="s">
        <v>37</v>
      </c>
      <c r="H1808" s="4">
        <v>5</v>
      </c>
      <c r="I1808" s="4">
        <v>10</v>
      </c>
      <c r="J1808" s="1">
        <v>45576</v>
      </c>
      <c r="K1808" s="2">
        <v>9.2777777777777789E-3</v>
      </c>
      <c r="M1808" s="4" t="str">
        <f t="shared" si="84"/>
        <v>HIGH</v>
      </c>
      <c r="N1808" s="4" t="str" cm="1">
        <f t="array" ref="N1808">_xlfn.IFS(C1808&gt;35,"HIGH",C1808&gt;25,"MIDDLE",TRUE,"LOW")</f>
        <v>HIGH</v>
      </c>
      <c r="O1808" s="4" t="str">
        <f t="shared" si="85"/>
        <v>OTHERS</v>
      </c>
      <c r="P1808" s="4" t="str">
        <f t="shared" si="86"/>
        <v>PREMINUM MORNING</v>
      </c>
    </row>
    <row r="1809" spans="1:16" x14ac:dyDescent="0.3">
      <c r="A1809" s="4">
        <v>17</v>
      </c>
      <c r="B1809" t="s">
        <v>11</v>
      </c>
      <c r="C1809" s="4">
        <v>35.76</v>
      </c>
      <c r="D1809" t="s">
        <v>16</v>
      </c>
      <c r="E1809" t="s">
        <v>20</v>
      </c>
      <c r="F1809" s="4" t="s">
        <v>14</v>
      </c>
      <c r="G1809" s="4" t="s">
        <v>37</v>
      </c>
      <c r="H1809" s="4">
        <v>5</v>
      </c>
      <c r="I1809" s="4">
        <v>10</v>
      </c>
      <c r="J1809" s="1">
        <v>45576</v>
      </c>
      <c r="K1809" s="2">
        <v>1.8185185185185186E-2</v>
      </c>
      <c r="M1809" s="4" t="str">
        <f t="shared" si="84"/>
        <v>HIGH</v>
      </c>
      <c r="N1809" s="4" t="str" cm="1">
        <f t="array" ref="N1809">_xlfn.IFS(C1809&gt;35,"HIGH",C1809&gt;25,"MIDDLE",TRUE,"LOW")</f>
        <v>HIGH</v>
      </c>
      <c r="O1809" s="4" t="str">
        <f t="shared" si="85"/>
        <v>OTHERS</v>
      </c>
      <c r="P1809" s="4" t="str">
        <f t="shared" si="86"/>
        <v>PREMINUM MORNING</v>
      </c>
    </row>
    <row r="1810" spans="1:16" x14ac:dyDescent="0.3">
      <c r="A1810" s="4">
        <v>21</v>
      </c>
      <c r="B1810" t="s">
        <v>11</v>
      </c>
      <c r="C1810" s="4">
        <v>35.76</v>
      </c>
      <c r="D1810" t="s">
        <v>12</v>
      </c>
      <c r="E1810" t="s">
        <v>20</v>
      </c>
      <c r="F1810" s="4" t="s">
        <v>14</v>
      </c>
      <c r="G1810" s="4" t="s">
        <v>37</v>
      </c>
      <c r="H1810" s="4">
        <v>5</v>
      </c>
      <c r="I1810" s="4">
        <v>10</v>
      </c>
      <c r="J1810" s="1">
        <v>45576</v>
      </c>
      <c r="K1810" s="2">
        <v>3.3769675925925925E-2</v>
      </c>
      <c r="M1810" s="4" t="str">
        <f t="shared" si="84"/>
        <v>HIGH</v>
      </c>
      <c r="N1810" s="4" t="str" cm="1">
        <f t="array" ref="N1810">_xlfn.IFS(C1810&gt;35,"HIGH",C1810&gt;25,"MIDDLE",TRUE,"LOW")</f>
        <v>HIGH</v>
      </c>
      <c r="O1810" s="4" t="str">
        <f t="shared" si="85"/>
        <v>OTHERS</v>
      </c>
      <c r="P1810" s="4" t="str">
        <f t="shared" si="86"/>
        <v>PREMINUM MORNING</v>
      </c>
    </row>
    <row r="1811" spans="1:16" x14ac:dyDescent="0.3">
      <c r="A1811" s="4">
        <v>21</v>
      </c>
      <c r="B1811" t="s">
        <v>11</v>
      </c>
      <c r="C1811" s="4">
        <v>30.86</v>
      </c>
      <c r="D1811" t="s">
        <v>19</v>
      </c>
      <c r="E1811" t="s">
        <v>20</v>
      </c>
      <c r="F1811" s="4" t="s">
        <v>14</v>
      </c>
      <c r="G1811" s="4" t="s">
        <v>37</v>
      </c>
      <c r="H1811" s="4">
        <v>5</v>
      </c>
      <c r="I1811" s="4">
        <v>10</v>
      </c>
      <c r="J1811" s="1">
        <v>45576</v>
      </c>
      <c r="K1811" s="2">
        <v>3.7425925925925925E-2</v>
      </c>
      <c r="M1811" s="4" t="str">
        <f t="shared" si="84"/>
        <v>LOW</v>
      </c>
      <c r="N1811" s="4" t="str" cm="1">
        <f t="array" ref="N1811">_xlfn.IFS(C1811&gt;35,"HIGH",C1811&gt;25,"MIDDLE",TRUE,"LOW")</f>
        <v>MIDDLE</v>
      </c>
      <c r="O1811" s="4" t="str">
        <f t="shared" si="85"/>
        <v>OTHERS</v>
      </c>
      <c r="P1811" s="4" t="str">
        <f t="shared" si="86"/>
        <v>OTHERS</v>
      </c>
    </row>
    <row r="1812" spans="1:16" x14ac:dyDescent="0.3">
      <c r="A1812" s="4">
        <v>22</v>
      </c>
      <c r="B1812" t="s">
        <v>11</v>
      </c>
      <c r="C1812" s="4">
        <v>35.76</v>
      </c>
      <c r="D1812" t="s">
        <v>16</v>
      </c>
      <c r="E1812" t="s">
        <v>20</v>
      </c>
      <c r="F1812" s="4" t="s">
        <v>14</v>
      </c>
      <c r="G1812" s="4" t="s">
        <v>37</v>
      </c>
      <c r="H1812" s="4">
        <v>5</v>
      </c>
      <c r="I1812" s="4">
        <v>10</v>
      </c>
      <c r="J1812" s="1">
        <v>45576</v>
      </c>
      <c r="K1812" s="2">
        <v>2.5319444444444443E-2</v>
      </c>
      <c r="M1812" s="4" t="str">
        <f t="shared" si="84"/>
        <v>HIGH</v>
      </c>
      <c r="N1812" s="4" t="str" cm="1">
        <f t="array" ref="N1812">_xlfn.IFS(C1812&gt;35,"HIGH",C1812&gt;25,"MIDDLE",TRUE,"LOW")</f>
        <v>HIGH</v>
      </c>
      <c r="O1812" s="4" t="str">
        <f t="shared" si="85"/>
        <v>OTHERS</v>
      </c>
      <c r="P1812" s="4" t="str">
        <f t="shared" si="86"/>
        <v>PREMINUM MORNING</v>
      </c>
    </row>
    <row r="1813" spans="1:16" x14ac:dyDescent="0.3">
      <c r="A1813" s="4">
        <v>22</v>
      </c>
      <c r="B1813" t="s">
        <v>11</v>
      </c>
      <c r="C1813" s="4">
        <v>35.76</v>
      </c>
      <c r="D1813" t="s">
        <v>16</v>
      </c>
      <c r="E1813" t="s">
        <v>20</v>
      </c>
      <c r="F1813" s="4" t="s">
        <v>14</v>
      </c>
      <c r="G1813" s="4" t="s">
        <v>37</v>
      </c>
      <c r="H1813" s="4">
        <v>5</v>
      </c>
      <c r="I1813" s="4">
        <v>10</v>
      </c>
      <c r="J1813" s="1">
        <v>45576</v>
      </c>
      <c r="K1813" s="2">
        <v>2.6003472222222219E-2</v>
      </c>
      <c r="M1813" s="4" t="str">
        <f t="shared" si="84"/>
        <v>HIGH</v>
      </c>
      <c r="N1813" s="4" t="str" cm="1">
        <f t="array" ref="N1813">_xlfn.IFS(C1813&gt;35,"HIGH",C1813&gt;25,"MIDDLE",TRUE,"LOW")</f>
        <v>HIGH</v>
      </c>
      <c r="O1813" s="4" t="str">
        <f t="shared" si="85"/>
        <v>OTHERS</v>
      </c>
      <c r="P1813" s="4" t="str">
        <f t="shared" si="86"/>
        <v>PREMINUM MORNING</v>
      </c>
    </row>
    <row r="1814" spans="1:16" x14ac:dyDescent="0.3">
      <c r="A1814" s="4">
        <v>8</v>
      </c>
      <c r="B1814" t="s">
        <v>11</v>
      </c>
      <c r="C1814" s="4">
        <v>25.96</v>
      </c>
      <c r="D1814" t="s">
        <v>24</v>
      </c>
      <c r="E1814" t="s">
        <v>13</v>
      </c>
      <c r="F1814" s="4" t="s">
        <v>22</v>
      </c>
      <c r="G1814" s="4" t="s">
        <v>37</v>
      </c>
      <c r="H1814" s="4">
        <v>6</v>
      </c>
      <c r="I1814" s="4">
        <v>10</v>
      </c>
      <c r="J1814" s="1">
        <v>45577</v>
      </c>
      <c r="K1814" s="2">
        <v>1.9623842592592592E-2</v>
      </c>
      <c r="M1814" s="4" t="str">
        <f t="shared" si="84"/>
        <v>LOW</v>
      </c>
      <c r="N1814" s="4" t="str" cm="1">
        <f t="array" ref="N1814">_xlfn.IFS(C1814&gt;35,"HIGH",C1814&gt;25,"MIDDLE",TRUE,"LOW")</f>
        <v>MIDDLE</v>
      </c>
      <c r="O1814" s="4" t="str">
        <f t="shared" si="85"/>
        <v>OTHERS</v>
      </c>
      <c r="P1814" s="4" t="str">
        <f t="shared" si="86"/>
        <v>PREMINUM MORNING</v>
      </c>
    </row>
    <row r="1815" spans="1:16" x14ac:dyDescent="0.3">
      <c r="A1815" s="4">
        <v>10</v>
      </c>
      <c r="B1815" t="s">
        <v>11</v>
      </c>
      <c r="C1815" s="4">
        <v>25.96</v>
      </c>
      <c r="D1815" t="s">
        <v>24</v>
      </c>
      <c r="E1815" t="s">
        <v>13</v>
      </c>
      <c r="F1815" s="4" t="s">
        <v>22</v>
      </c>
      <c r="G1815" s="4" t="s">
        <v>37</v>
      </c>
      <c r="H1815" s="4">
        <v>6</v>
      </c>
      <c r="I1815" s="4">
        <v>10</v>
      </c>
      <c r="J1815" s="1">
        <v>45577</v>
      </c>
      <c r="K1815" s="2">
        <v>2.197800925925926E-2</v>
      </c>
      <c r="M1815" s="4" t="str">
        <f t="shared" si="84"/>
        <v>LOW</v>
      </c>
      <c r="N1815" s="4" t="str" cm="1">
        <f t="array" ref="N1815">_xlfn.IFS(C1815&gt;35,"HIGH",C1815&gt;25,"MIDDLE",TRUE,"LOW")</f>
        <v>MIDDLE</v>
      </c>
      <c r="O1815" s="4" t="str">
        <f t="shared" si="85"/>
        <v>OTHERS</v>
      </c>
      <c r="P1815" s="4" t="str">
        <f t="shared" si="86"/>
        <v>PREMINUM MORNING</v>
      </c>
    </row>
    <row r="1816" spans="1:16" x14ac:dyDescent="0.3">
      <c r="A1816" s="4">
        <v>10</v>
      </c>
      <c r="B1816" t="s">
        <v>11</v>
      </c>
      <c r="C1816" s="4">
        <v>25.96</v>
      </c>
      <c r="D1816" t="s">
        <v>24</v>
      </c>
      <c r="E1816" t="s">
        <v>13</v>
      </c>
      <c r="F1816" s="4" t="s">
        <v>22</v>
      </c>
      <c r="G1816" s="4" t="s">
        <v>37</v>
      </c>
      <c r="H1816" s="4">
        <v>6</v>
      </c>
      <c r="I1816" s="4">
        <v>10</v>
      </c>
      <c r="J1816" s="1">
        <v>45577</v>
      </c>
      <c r="K1816" s="2">
        <v>2.2864583333333334E-2</v>
      </c>
      <c r="M1816" s="4" t="str">
        <f t="shared" si="84"/>
        <v>LOW</v>
      </c>
      <c r="N1816" s="4" t="str" cm="1">
        <f t="array" ref="N1816">_xlfn.IFS(C1816&gt;35,"HIGH",C1816&gt;25,"MIDDLE",TRUE,"LOW")</f>
        <v>MIDDLE</v>
      </c>
      <c r="O1816" s="4" t="str">
        <f t="shared" si="85"/>
        <v>OTHERS</v>
      </c>
      <c r="P1816" s="4" t="str">
        <f t="shared" si="86"/>
        <v>PREMINUM MORNING</v>
      </c>
    </row>
    <row r="1817" spans="1:16" x14ac:dyDescent="0.3">
      <c r="A1817" s="4">
        <v>11</v>
      </c>
      <c r="B1817" t="s">
        <v>11</v>
      </c>
      <c r="C1817" s="4">
        <v>35.76</v>
      </c>
      <c r="D1817" t="s">
        <v>12</v>
      </c>
      <c r="E1817" t="s">
        <v>13</v>
      </c>
      <c r="F1817" s="4" t="s">
        <v>22</v>
      </c>
      <c r="G1817" s="4" t="s">
        <v>37</v>
      </c>
      <c r="H1817" s="4">
        <v>6</v>
      </c>
      <c r="I1817" s="4">
        <v>10</v>
      </c>
      <c r="J1817" s="1">
        <v>45577</v>
      </c>
      <c r="K1817" s="2">
        <v>3.6290509259259258E-2</v>
      </c>
      <c r="M1817" s="4" t="str">
        <f t="shared" si="84"/>
        <v>HIGH</v>
      </c>
      <c r="N1817" s="4" t="str" cm="1">
        <f t="array" ref="N1817">_xlfn.IFS(C1817&gt;35,"HIGH",C1817&gt;25,"MIDDLE",TRUE,"LOW")</f>
        <v>HIGH</v>
      </c>
      <c r="O1817" s="4" t="str">
        <f t="shared" si="85"/>
        <v>PREMINUM MORNING</v>
      </c>
      <c r="P1817" s="4" t="str">
        <f t="shared" si="86"/>
        <v>PREMINUM MORNING</v>
      </c>
    </row>
    <row r="1818" spans="1:16" x14ac:dyDescent="0.3">
      <c r="A1818" s="4">
        <v>11</v>
      </c>
      <c r="B1818" t="s">
        <v>11</v>
      </c>
      <c r="C1818" s="4">
        <v>30.86</v>
      </c>
      <c r="D1818" t="s">
        <v>19</v>
      </c>
      <c r="E1818" t="s">
        <v>13</v>
      </c>
      <c r="F1818" s="4" t="s">
        <v>22</v>
      </c>
      <c r="G1818" s="4" t="s">
        <v>37</v>
      </c>
      <c r="H1818" s="4">
        <v>6</v>
      </c>
      <c r="I1818" s="4">
        <v>10</v>
      </c>
      <c r="J1818" s="1">
        <v>45577</v>
      </c>
      <c r="K1818" s="2">
        <v>3.7281250000000002E-2</v>
      </c>
      <c r="M1818" s="4" t="str">
        <f t="shared" si="84"/>
        <v>LOW</v>
      </c>
      <c r="N1818" s="4" t="str" cm="1">
        <f t="array" ref="N1818">_xlfn.IFS(C1818&gt;35,"HIGH",C1818&gt;25,"MIDDLE",TRUE,"LOW")</f>
        <v>MIDDLE</v>
      </c>
      <c r="O1818" s="4" t="str">
        <f t="shared" si="85"/>
        <v>OTHERS</v>
      </c>
      <c r="P1818" s="4" t="str">
        <f t="shared" si="86"/>
        <v>PREMINUM MORNING</v>
      </c>
    </row>
    <row r="1819" spans="1:16" x14ac:dyDescent="0.3">
      <c r="A1819" s="4">
        <v>13</v>
      </c>
      <c r="B1819" t="s">
        <v>11</v>
      </c>
      <c r="C1819" s="4">
        <v>35.76</v>
      </c>
      <c r="D1819" t="s">
        <v>29</v>
      </c>
      <c r="E1819" t="s">
        <v>17</v>
      </c>
      <c r="F1819" s="4" t="s">
        <v>22</v>
      </c>
      <c r="G1819" s="4" t="s">
        <v>37</v>
      </c>
      <c r="H1819" s="4">
        <v>6</v>
      </c>
      <c r="I1819" s="4">
        <v>10</v>
      </c>
      <c r="J1819" s="1">
        <v>45577</v>
      </c>
      <c r="K1819" s="2">
        <v>1.3045138888888887E-2</v>
      </c>
      <c r="M1819" s="4" t="str">
        <f t="shared" si="84"/>
        <v>HIGH</v>
      </c>
      <c r="N1819" s="4" t="str" cm="1">
        <f t="array" ref="N1819">_xlfn.IFS(C1819&gt;35,"HIGH",C1819&gt;25,"MIDDLE",TRUE,"LOW")</f>
        <v>HIGH</v>
      </c>
      <c r="O1819" s="4" t="str">
        <f t="shared" si="85"/>
        <v>OTHERS</v>
      </c>
      <c r="P1819" s="4" t="str">
        <f t="shared" si="86"/>
        <v>PREMINUM MORNING</v>
      </c>
    </row>
    <row r="1820" spans="1:16" x14ac:dyDescent="0.3">
      <c r="A1820" s="4">
        <v>20</v>
      </c>
      <c r="B1820" t="s">
        <v>11</v>
      </c>
      <c r="C1820" s="4">
        <v>35.76</v>
      </c>
      <c r="D1820" t="s">
        <v>12</v>
      </c>
      <c r="E1820" t="s">
        <v>20</v>
      </c>
      <c r="F1820" s="4" t="s">
        <v>22</v>
      </c>
      <c r="G1820" s="4" t="s">
        <v>37</v>
      </c>
      <c r="H1820" s="4">
        <v>6</v>
      </c>
      <c r="I1820" s="4">
        <v>10</v>
      </c>
      <c r="J1820" s="1">
        <v>45577</v>
      </c>
      <c r="K1820" s="2">
        <v>7.5682870370370366E-3</v>
      </c>
      <c r="M1820" s="4" t="str">
        <f t="shared" si="84"/>
        <v>HIGH</v>
      </c>
      <c r="N1820" s="4" t="str" cm="1">
        <f t="array" ref="N1820">_xlfn.IFS(C1820&gt;35,"HIGH",C1820&gt;25,"MIDDLE",TRUE,"LOW")</f>
        <v>HIGH</v>
      </c>
      <c r="O1820" s="4" t="str">
        <f t="shared" si="85"/>
        <v>OTHERS</v>
      </c>
      <c r="P1820" s="4" t="str">
        <f t="shared" si="86"/>
        <v>PREMINUM MORNING</v>
      </c>
    </row>
    <row r="1821" spans="1:16" x14ac:dyDescent="0.3">
      <c r="A1821" s="4">
        <v>9</v>
      </c>
      <c r="B1821" t="s">
        <v>11</v>
      </c>
      <c r="C1821" s="4">
        <v>25.96</v>
      </c>
      <c r="D1821" t="s">
        <v>24</v>
      </c>
      <c r="E1821" t="s">
        <v>13</v>
      </c>
      <c r="F1821" s="4" t="s">
        <v>23</v>
      </c>
      <c r="G1821" s="4" t="s">
        <v>37</v>
      </c>
      <c r="H1821" s="4">
        <v>7</v>
      </c>
      <c r="I1821" s="4">
        <v>10</v>
      </c>
      <c r="J1821" s="1">
        <v>45578</v>
      </c>
      <c r="K1821" s="2">
        <v>3.8138888888888889E-2</v>
      </c>
      <c r="M1821" s="4" t="str">
        <f t="shared" si="84"/>
        <v>LOW</v>
      </c>
      <c r="N1821" s="4" t="str" cm="1">
        <f t="array" ref="N1821">_xlfn.IFS(C1821&gt;35,"HIGH",C1821&gt;25,"MIDDLE",TRUE,"LOW")</f>
        <v>MIDDLE</v>
      </c>
      <c r="O1821" s="4" t="str">
        <f t="shared" si="85"/>
        <v>OTHERS</v>
      </c>
      <c r="P1821" s="4" t="str">
        <f t="shared" si="86"/>
        <v>PREMINUM MORNING</v>
      </c>
    </row>
    <row r="1822" spans="1:16" x14ac:dyDescent="0.3">
      <c r="A1822" s="4">
        <v>12</v>
      </c>
      <c r="B1822" t="s">
        <v>11</v>
      </c>
      <c r="C1822" s="4">
        <v>30.86</v>
      </c>
      <c r="D1822" t="s">
        <v>19</v>
      </c>
      <c r="E1822" t="s">
        <v>17</v>
      </c>
      <c r="F1822" s="4" t="s">
        <v>23</v>
      </c>
      <c r="G1822" s="4" t="s">
        <v>37</v>
      </c>
      <c r="H1822" s="4">
        <v>7</v>
      </c>
      <c r="I1822" s="4">
        <v>10</v>
      </c>
      <c r="J1822" s="1">
        <v>45578</v>
      </c>
      <c r="K1822" s="2">
        <v>1.442824074074074E-2</v>
      </c>
      <c r="M1822" s="4" t="str">
        <f t="shared" si="84"/>
        <v>LOW</v>
      </c>
      <c r="N1822" s="4" t="str" cm="1">
        <f t="array" ref="N1822">_xlfn.IFS(C1822&gt;35,"HIGH",C1822&gt;25,"MIDDLE",TRUE,"LOW")</f>
        <v>MIDDLE</v>
      </c>
      <c r="O1822" s="4" t="str">
        <f t="shared" si="85"/>
        <v>OTHERS</v>
      </c>
      <c r="P1822" s="4" t="str">
        <f t="shared" si="86"/>
        <v>OTHERS</v>
      </c>
    </row>
    <row r="1823" spans="1:16" x14ac:dyDescent="0.3">
      <c r="A1823" s="4">
        <v>13</v>
      </c>
      <c r="B1823" t="s">
        <v>11</v>
      </c>
      <c r="C1823" s="4">
        <v>25.96</v>
      </c>
      <c r="D1823" t="s">
        <v>24</v>
      </c>
      <c r="E1823" t="s">
        <v>17</v>
      </c>
      <c r="F1823" s="4" t="s">
        <v>23</v>
      </c>
      <c r="G1823" s="4" t="s">
        <v>37</v>
      </c>
      <c r="H1823" s="4">
        <v>7</v>
      </c>
      <c r="I1823" s="4">
        <v>10</v>
      </c>
      <c r="J1823" s="1">
        <v>45578</v>
      </c>
      <c r="K1823" s="2">
        <v>2.2563657407407407E-2</v>
      </c>
      <c r="M1823" s="4" t="str">
        <f t="shared" si="84"/>
        <v>LOW</v>
      </c>
      <c r="N1823" s="4" t="str" cm="1">
        <f t="array" ref="N1823">_xlfn.IFS(C1823&gt;35,"HIGH",C1823&gt;25,"MIDDLE",TRUE,"LOW")</f>
        <v>MIDDLE</v>
      </c>
      <c r="O1823" s="4" t="str">
        <f t="shared" si="85"/>
        <v>OTHERS</v>
      </c>
      <c r="P1823" s="4" t="str">
        <f t="shared" si="86"/>
        <v>OTHERS</v>
      </c>
    </row>
    <row r="1824" spans="1:16" x14ac:dyDescent="0.3">
      <c r="A1824" s="4">
        <v>13</v>
      </c>
      <c r="B1824" t="s">
        <v>11</v>
      </c>
      <c r="C1824" s="4">
        <v>21.06</v>
      </c>
      <c r="D1824" t="s">
        <v>26</v>
      </c>
      <c r="E1824" t="s">
        <v>17</v>
      </c>
      <c r="F1824" s="4" t="s">
        <v>23</v>
      </c>
      <c r="G1824" s="4" t="s">
        <v>37</v>
      </c>
      <c r="H1824" s="4">
        <v>7</v>
      </c>
      <c r="I1824" s="4">
        <v>10</v>
      </c>
      <c r="J1824" s="1">
        <v>45578</v>
      </c>
      <c r="K1824" s="2">
        <v>2.3256944444444445E-2</v>
      </c>
      <c r="M1824" s="4" t="str">
        <f t="shared" si="84"/>
        <v>LOW</v>
      </c>
      <c r="N1824" s="4" t="str" cm="1">
        <f t="array" ref="N1824">_xlfn.IFS(C1824&gt;35,"HIGH",C1824&gt;25,"MIDDLE",TRUE,"LOW")</f>
        <v>LOW</v>
      </c>
      <c r="O1824" s="4" t="str">
        <f t="shared" si="85"/>
        <v>OTHERS</v>
      </c>
      <c r="P1824" s="4" t="str">
        <f t="shared" si="86"/>
        <v>OTHERS</v>
      </c>
    </row>
    <row r="1825" spans="1:16" x14ac:dyDescent="0.3">
      <c r="A1825" s="4">
        <v>13</v>
      </c>
      <c r="B1825" t="s">
        <v>11</v>
      </c>
      <c r="C1825" s="4">
        <v>25.96</v>
      </c>
      <c r="D1825" t="s">
        <v>24</v>
      </c>
      <c r="E1825" t="s">
        <v>17</v>
      </c>
      <c r="F1825" s="4" t="s">
        <v>23</v>
      </c>
      <c r="G1825" s="4" t="s">
        <v>37</v>
      </c>
      <c r="H1825" s="4">
        <v>7</v>
      </c>
      <c r="I1825" s="4">
        <v>10</v>
      </c>
      <c r="J1825" s="1">
        <v>45578</v>
      </c>
      <c r="K1825" s="2">
        <v>2.3910879629629629E-2</v>
      </c>
      <c r="M1825" s="4" t="str">
        <f t="shared" si="84"/>
        <v>LOW</v>
      </c>
      <c r="N1825" s="4" t="str" cm="1">
        <f t="array" ref="N1825">_xlfn.IFS(C1825&gt;35,"HIGH",C1825&gt;25,"MIDDLE",TRUE,"LOW")</f>
        <v>MIDDLE</v>
      </c>
      <c r="O1825" s="4" t="str">
        <f t="shared" si="85"/>
        <v>OTHERS</v>
      </c>
      <c r="P1825" s="4" t="str">
        <f t="shared" si="86"/>
        <v>OTHERS</v>
      </c>
    </row>
    <row r="1826" spans="1:16" x14ac:dyDescent="0.3">
      <c r="A1826" s="4">
        <v>17</v>
      </c>
      <c r="B1826" t="s">
        <v>11</v>
      </c>
      <c r="C1826" s="4">
        <v>35.76</v>
      </c>
      <c r="D1826" t="s">
        <v>12</v>
      </c>
      <c r="E1826" t="s">
        <v>20</v>
      </c>
      <c r="F1826" s="4" t="s">
        <v>23</v>
      </c>
      <c r="G1826" s="4" t="s">
        <v>37</v>
      </c>
      <c r="H1826" s="4">
        <v>7</v>
      </c>
      <c r="I1826" s="4">
        <v>10</v>
      </c>
      <c r="J1826" s="1">
        <v>45578</v>
      </c>
      <c r="K1826" s="2">
        <v>3.7045138888888884E-2</v>
      </c>
      <c r="M1826" s="4" t="str">
        <f t="shared" si="84"/>
        <v>HIGH</v>
      </c>
      <c r="N1826" s="4" t="str" cm="1">
        <f t="array" ref="N1826">_xlfn.IFS(C1826&gt;35,"HIGH",C1826&gt;25,"MIDDLE",TRUE,"LOW")</f>
        <v>HIGH</v>
      </c>
      <c r="O1826" s="4" t="str">
        <f t="shared" si="85"/>
        <v>OTHERS</v>
      </c>
      <c r="P1826" s="4" t="str">
        <f t="shared" si="86"/>
        <v>PREMINUM MORNING</v>
      </c>
    </row>
    <row r="1827" spans="1:16" x14ac:dyDescent="0.3">
      <c r="A1827" s="4">
        <v>17</v>
      </c>
      <c r="B1827" t="s">
        <v>11</v>
      </c>
      <c r="C1827" s="4">
        <v>35.76</v>
      </c>
      <c r="D1827" t="s">
        <v>12</v>
      </c>
      <c r="E1827" t="s">
        <v>20</v>
      </c>
      <c r="F1827" s="4" t="s">
        <v>23</v>
      </c>
      <c r="G1827" s="4" t="s">
        <v>37</v>
      </c>
      <c r="H1827" s="4">
        <v>7</v>
      </c>
      <c r="I1827" s="4">
        <v>10</v>
      </c>
      <c r="J1827" s="1">
        <v>45578</v>
      </c>
      <c r="K1827" s="2">
        <v>3.7759259259259263E-2</v>
      </c>
      <c r="M1827" s="4" t="str">
        <f t="shared" si="84"/>
        <v>HIGH</v>
      </c>
      <c r="N1827" s="4" t="str" cm="1">
        <f t="array" ref="N1827">_xlfn.IFS(C1827&gt;35,"HIGH",C1827&gt;25,"MIDDLE",TRUE,"LOW")</f>
        <v>HIGH</v>
      </c>
      <c r="O1827" s="4" t="str">
        <f t="shared" si="85"/>
        <v>OTHERS</v>
      </c>
      <c r="P1827" s="4" t="str">
        <f t="shared" si="86"/>
        <v>PREMINUM MORNING</v>
      </c>
    </row>
    <row r="1828" spans="1:16" x14ac:dyDescent="0.3">
      <c r="A1828" s="4">
        <v>18</v>
      </c>
      <c r="B1828" t="s">
        <v>11</v>
      </c>
      <c r="C1828" s="4">
        <v>35.76</v>
      </c>
      <c r="D1828" t="s">
        <v>29</v>
      </c>
      <c r="E1828" t="s">
        <v>20</v>
      </c>
      <c r="F1828" s="4" t="s">
        <v>23</v>
      </c>
      <c r="G1828" s="4" t="s">
        <v>37</v>
      </c>
      <c r="H1828" s="4">
        <v>7</v>
      </c>
      <c r="I1828" s="4">
        <v>10</v>
      </c>
      <c r="J1828" s="1">
        <v>45578</v>
      </c>
      <c r="K1828" s="2">
        <v>1.5958333333333331E-2</v>
      </c>
      <c r="M1828" s="4" t="str">
        <f t="shared" si="84"/>
        <v>HIGH</v>
      </c>
      <c r="N1828" s="4" t="str" cm="1">
        <f t="array" ref="N1828">_xlfn.IFS(C1828&gt;35,"HIGH",C1828&gt;25,"MIDDLE",TRUE,"LOW")</f>
        <v>HIGH</v>
      </c>
      <c r="O1828" s="4" t="str">
        <f t="shared" si="85"/>
        <v>OTHERS</v>
      </c>
      <c r="P1828" s="4" t="str">
        <f t="shared" si="86"/>
        <v>PREMINUM MORNING</v>
      </c>
    </row>
    <row r="1829" spans="1:16" x14ac:dyDescent="0.3">
      <c r="A1829" s="4">
        <v>20</v>
      </c>
      <c r="B1829" t="s">
        <v>11</v>
      </c>
      <c r="C1829" s="4">
        <v>35.76</v>
      </c>
      <c r="D1829" t="s">
        <v>29</v>
      </c>
      <c r="E1829" t="s">
        <v>20</v>
      </c>
      <c r="F1829" s="4" t="s">
        <v>23</v>
      </c>
      <c r="G1829" s="4" t="s">
        <v>37</v>
      </c>
      <c r="H1829" s="4">
        <v>7</v>
      </c>
      <c r="I1829" s="4">
        <v>10</v>
      </c>
      <c r="J1829" s="1">
        <v>45578</v>
      </c>
      <c r="K1829" s="2">
        <v>2.9917824074074076E-2</v>
      </c>
      <c r="M1829" s="4" t="str">
        <f t="shared" si="84"/>
        <v>HIGH</v>
      </c>
      <c r="N1829" s="4" t="str" cm="1">
        <f t="array" ref="N1829">_xlfn.IFS(C1829&gt;35,"HIGH",C1829&gt;25,"MIDDLE",TRUE,"LOW")</f>
        <v>HIGH</v>
      </c>
      <c r="O1829" s="4" t="str">
        <f t="shared" si="85"/>
        <v>OTHERS</v>
      </c>
      <c r="P1829" s="4" t="str">
        <f t="shared" si="86"/>
        <v>PREMINUM MORNING</v>
      </c>
    </row>
    <row r="1830" spans="1:16" x14ac:dyDescent="0.3">
      <c r="A1830" s="4">
        <v>8</v>
      </c>
      <c r="B1830" t="s">
        <v>11</v>
      </c>
      <c r="C1830" s="4">
        <v>30.86</v>
      </c>
      <c r="D1830" t="s">
        <v>19</v>
      </c>
      <c r="E1830" t="s">
        <v>13</v>
      </c>
      <c r="F1830" s="4" t="s">
        <v>25</v>
      </c>
      <c r="G1830" s="4" t="s">
        <v>37</v>
      </c>
      <c r="H1830" s="4">
        <v>1</v>
      </c>
      <c r="I1830" s="4">
        <v>10</v>
      </c>
      <c r="J1830" s="1">
        <v>45579</v>
      </c>
      <c r="K1830" s="2">
        <v>1.8687499999999999E-2</v>
      </c>
      <c r="M1830" s="4" t="str">
        <f t="shared" si="84"/>
        <v>LOW</v>
      </c>
      <c r="N1830" s="4" t="str" cm="1">
        <f t="array" ref="N1830">_xlfn.IFS(C1830&gt;35,"HIGH",C1830&gt;25,"MIDDLE",TRUE,"LOW")</f>
        <v>MIDDLE</v>
      </c>
      <c r="O1830" s="4" t="str">
        <f t="shared" si="85"/>
        <v>OTHERS</v>
      </c>
      <c r="P1830" s="4" t="str">
        <f t="shared" si="86"/>
        <v>PREMINUM MORNING</v>
      </c>
    </row>
    <row r="1831" spans="1:16" x14ac:dyDescent="0.3">
      <c r="A1831" s="4">
        <v>9</v>
      </c>
      <c r="B1831" t="s">
        <v>11</v>
      </c>
      <c r="C1831" s="4">
        <v>35.76</v>
      </c>
      <c r="D1831" t="s">
        <v>21</v>
      </c>
      <c r="E1831" t="s">
        <v>13</v>
      </c>
      <c r="F1831" s="4" t="s">
        <v>25</v>
      </c>
      <c r="G1831" s="4" t="s">
        <v>37</v>
      </c>
      <c r="H1831" s="4">
        <v>1</v>
      </c>
      <c r="I1831" s="4">
        <v>10</v>
      </c>
      <c r="J1831" s="1">
        <v>45579</v>
      </c>
      <c r="K1831" s="2">
        <v>3.4659722222222224E-2</v>
      </c>
      <c r="M1831" s="4" t="str">
        <f t="shared" si="84"/>
        <v>HIGH</v>
      </c>
      <c r="N1831" s="4" t="str" cm="1">
        <f t="array" ref="N1831">_xlfn.IFS(C1831&gt;35,"HIGH",C1831&gt;25,"MIDDLE",TRUE,"LOW")</f>
        <v>HIGH</v>
      </c>
      <c r="O1831" s="4" t="str">
        <f t="shared" si="85"/>
        <v>PREMINUM MORNING</v>
      </c>
      <c r="P1831" s="4" t="str">
        <f t="shared" si="86"/>
        <v>PREMINUM MORNING</v>
      </c>
    </row>
    <row r="1832" spans="1:16" x14ac:dyDescent="0.3">
      <c r="A1832" s="4">
        <v>10</v>
      </c>
      <c r="B1832" t="s">
        <v>11</v>
      </c>
      <c r="C1832" s="4">
        <v>25.96</v>
      </c>
      <c r="D1832" t="s">
        <v>24</v>
      </c>
      <c r="E1832" t="s">
        <v>13</v>
      </c>
      <c r="F1832" s="4" t="s">
        <v>25</v>
      </c>
      <c r="G1832" s="4" t="s">
        <v>37</v>
      </c>
      <c r="H1832" s="4">
        <v>1</v>
      </c>
      <c r="I1832" s="4">
        <v>10</v>
      </c>
      <c r="J1832" s="1">
        <v>45579</v>
      </c>
      <c r="K1832" s="2">
        <v>1.9341435185185184E-2</v>
      </c>
      <c r="M1832" s="4" t="str">
        <f t="shared" si="84"/>
        <v>LOW</v>
      </c>
      <c r="N1832" s="4" t="str" cm="1">
        <f t="array" ref="N1832">_xlfn.IFS(C1832&gt;35,"HIGH",C1832&gt;25,"MIDDLE",TRUE,"LOW")</f>
        <v>MIDDLE</v>
      </c>
      <c r="O1832" s="4" t="str">
        <f t="shared" si="85"/>
        <v>OTHERS</v>
      </c>
      <c r="P1832" s="4" t="str">
        <f t="shared" si="86"/>
        <v>PREMINUM MORNING</v>
      </c>
    </row>
    <row r="1833" spans="1:16" x14ac:dyDescent="0.3">
      <c r="A1833" s="4">
        <v>10</v>
      </c>
      <c r="B1833" t="s">
        <v>11</v>
      </c>
      <c r="C1833" s="4">
        <v>35.76</v>
      </c>
      <c r="D1833" t="s">
        <v>12</v>
      </c>
      <c r="E1833" t="s">
        <v>13</v>
      </c>
      <c r="F1833" s="4" t="s">
        <v>25</v>
      </c>
      <c r="G1833" s="4" t="s">
        <v>37</v>
      </c>
      <c r="H1833" s="4">
        <v>1</v>
      </c>
      <c r="I1833" s="4">
        <v>10</v>
      </c>
      <c r="J1833" s="1">
        <v>45579</v>
      </c>
      <c r="K1833" s="2">
        <v>2.6467592592592595E-2</v>
      </c>
      <c r="M1833" s="4" t="str">
        <f t="shared" si="84"/>
        <v>HIGH</v>
      </c>
      <c r="N1833" s="4" t="str" cm="1">
        <f t="array" ref="N1833">_xlfn.IFS(C1833&gt;35,"HIGH",C1833&gt;25,"MIDDLE",TRUE,"LOW")</f>
        <v>HIGH</v>
      </c>
      <c r="O1833" s="4" t="str">
        <f t="shared" si="85"/>
        <v>PREMINUM MORNING</v>
      </c>
      <c r="P1833" s="4" t="str">
        <f t="shared" si="86"/>
        <v>PREMINUM MORNING</v>
      </c>
    </row>
    <row r="1834" spans="1:16" x14ac:dyDescent="0.3">
      <c r="A1834" s="4">
        <v>10</v>
      </c>
      <c r="B1834" t="s">
        <v>11</v>
      </c>
      <c r="C1834" s="4">
        <v>35.76</v>
      </c>
      <c r="D1834" t="s">
        <v>12</v>
      </c>
      <c r="E1834" t="s">
        <v>13</v>
      </c>
      <c r="F1834" s="4" t="s">
        <v>25</v>
      </c>
      <c r="G1834" s="4" t="s">
        <v>37</v>
      </c>
      <c r="H1834" s="4">
        <v>1</v>
      </c>
      <c r="I1834" s="4">
        <v>10</v>
      </c>
      <c r="J1834" s="1">
        <v>45579</v>
      </c>
      <c r="K1834" s="2">
        <v>2.7241898148148147E-2</v>
      </c>
      <c r="M1834" s="4" t="str">
        <f t="shared" si="84"/>
        <v>HIGH</v>
      </c>
      <c r="N1834" s="4" t="str" cm="1">
        <f t="array" ref="N1834">_xlfn.IFS(C1834&gt;35,"HIGH",C1834&gt;25,"MIDDLE",TRUE,"LOW")</f>
        <v>HIGH</v>
      </c>
      <c r="O1834" s="4" t="str">
        <f t="shared" si="85"/>
        <v>PREMINUM MORNING</v>
      </c>
      <c r="P1834" s="4" t="str">
        <f t="shared" si="86"/>
        <v>PREMINUM MORNING</v>
      </c>
    </row>
    <row r="1835" spans="1:16" x14ac:dyDescent="0.3">
      <c r="A1835" s="4">
        <v>11</v>
      </c>
      <c r="B1835" t="s">
        <v>11</v>
      </c>
      <c r="C1835" s="4">
        <v>35.76</v>
      </c>
      <c r="D1835" t="s">
        <v>29</v>
      </c>
      <c r="E1835" t="s">
        <v>13</v>
      </c>
      <c r="F1835" s="4" t="s">
        <v>25</v>
      </c>
      <c r="G1835" s="4" t="s">
        <v>37</v>
      </c>
      <c r="H1835" s="4">
        <v>1</v>
      </c>
      <c r="I1835" s="4">
        <v>10</v>
      </c>
      <c r="J1835" s="1">
        <v>45579</v>
      </c>
      <c r="K1835" s="2">
        <v>1.6557870370370369E-2</v>
      </c>
      <c r="M1835" s="4" t="str">
        <f t="shared" si="84"/>
        <v>HIGH</v>
      </c>
      <c r="N1835" s="4" t="str" cm="1">
        <f t="array" ref="N1835">_xlfn.IFS(C1835&gt;35,"HIGH",C1835&gt;25,"MIDDLE",TRUE,"LOW")</f>
        <v>HIGH</v>
      </c>
      <c r="O1835" s="4" t="str">
        <f t="shared" si="85"/>
        <v>PREMINUM MORNING</v>
      </c>
      <c r="P1835" s="4" t="str">
        <f t="shared" si="86"/>
        <v>PREMINUM MORNING</v>
      </c>
    </row>
    <row r="1836" spans="1:16" x14ac:dyDescent="0.3">
      <c r="A1836" s="4">
        <v>11</v>
      </c>
      <c r="B1836" t="s">
        <v>11</v>
      </c>
      <c r="C1836" s="4">
        <v>25.96</v>
      </c>
      <c r="D1836" t="s">
        <v>18</v>
      </c>
      <c r="E1836" t="s">
        <v>13</v>
      </c>
      <c r="F1836" s="4" t="s">
        <v>25</v>
      </c>
      <c r="G1836" s="4" t="s">
        <v>37</v>
      </c>
      <c r="H1836" s="4">
        <v>1</v>
      </c>
      <c r="I1836" s="4">
        <v>10</v>
      </c>
      <c r="J1836" s="1">
        <v>45579</v>
      </c>
      <c r="K1836" s="2">
        <v>1.7792824074074072E-2</v>
      </c>
      <c r="M1836" s="4" t="str">
        <f t="shared" si="84"/>
        <v>LOW</v>
      </c>
      <c r="N1836" s="4" t="str" cm="1">
        <f t="array" ref="N1836">_xlfn.IFS(C1836&gt;35,"HIGH",C1836&gt;25,"MIDDLE",TRUE,"LOW")</f>
        <v>MIDDLE</v>
      </c>
      <c r="O1836" s="4" t="str">
        <f t="shared" si="85"/>
        <v>OTHERS</v>
      </c>
      <c r="P1836" s="4" t="str">
        <f t="shared" si="86"/>
        <v>PREMINUM MORNING</v>
      </c>
    </row>
    <row r="1837" spans="1:16" x14ac:dyDescent="0.3">
      <c r="A1837" s="4">
        <v>11</v>
      </c>
      <c r="B1837" t="s">
        <v>11</v>
      </c>
      <c r="C1837" s="4">
        <v>25.96</v>
      </c>
      <c r="D1837" t="s">
        <v>18</v>
      </c>
      <c r="E1837" t="s">
        <v>13</v>
      </c>
      <c r="F1837" s="4" t="s">
        <v>25</v>
      </c>
      <c r="G1837" s="4" t="s">
        <v>37</v>
      </c>
      <c r="H1837" s="4">
        <v>1</v>
      </c>
      <c r="I1837" s="4">
        <v>10</v>
      </c>
      <c r="J1837" s="1">
        <v>45579</v>
      </c>
      <c r="K1837" s="2">
        <v>1.8578703703703705E-2</v>
      </c>
      <c r="M1837" s="4" t="str">
        <f t="shared" si="84"/>
        <v>LOW</v>
      </c>
      <c r="N1837" s="4" t="str" cm="1">
        <f t="array" ref="N1837">_xlfn.IFS(C1837&gt;35,"HIGH",C1837&gt;25,"MIDDLE",TRUE,"LOW")</f>
        <v>MIDDLE</v>
      </c>
      <c r="O1837" s="4" t="str">
        <f t="shared" si="85"/>
        <v>OTHERS</v>
      </c>
      <c r="P1837" s="4" t="str">
        <f t="shared" si="86"/>
        <v>PREMINUM MORNING</v>
      </c>
    </row>
    <row r="1838" spans="1:16" x14ac:dyDescent="0.3">
      <c r="A1838" s="4">
        <v>14</v>
      </c>
      <c r="B1838" t="s">
        <v>11</v>
      </c>
      <c r="C1838" s="4">
        <v>35.76</v>
      </c>
      <c r="D1838" t="s">
        <v>12</v>
      </c>
      <c r="E1838" t="s">
        <v>17</v>
      </c>
      <c r="F1838" s="4" t="s">
        <v>25</v>
      </c>
      <c r="G1838" s="4" t="s">
        <v>37</v>
      </c>
      <c r="H1838" s="4">
        <v>1</v>
      </c>
      <c r="I1838" s="4">
        <v>10</v>
      </c>
      <c r="J1838" s="1">
        <v>45579</v>
      </c>
      <c r="K1838" s="2">
        <v>2.5082175925925924E-2</v>
      </c>
      <c r="M1838" s="4" t="str">
        <f t="shared" si="84"/>
        <v>HIGH</v>
      </c>
      <c r="N1838" s="4" t="str" cm="1">
        <f t="array" ref="N1838">_xlfn.IFS(C1838&gt;35,"HIGH",C1838&gt;25,"MIDDLE",TRUE,"LOW")</f>
        <v>HIGH</v>
      </c>
      <c r="O1838" s="4" t="str">
        <f t="shared" si="85"/>
        <v>OTHERS</v>
      </c>
      <c r="P1838" s="4" t="str">
        <f t="shared" si="86"/>
        <v>PREMINUM MORNING</v>
      </c>
    </row>
    <row r="1839" spans="1:16" x14ac:dyDescent="0.3">
      <c r="A1839" s="4">
        <v>14</v>
      </c>
      <c r="B1839" t="s">
        <v>11</v>
      </c>
      <c r="C1839" s="4">
        <v>35.76</v>
      </c>
      <c r="D1839" t="s">
        <v>12</v>
      </c>
      <c r="E1839" t="s">
        <v>17</v>
      </c>
      <c r="F1839" s="4" t="s">
        <v>25</v>
      </c>
      <c r="G1839" s="4" t="s">
        <v>37</v>
      </c>
      <c r="H1839" s="4">
        <v>1</v>
      </c>
      <c r="I1839" s="4">
        <v>10</v>
      </c>
      <c r="J1839" s="1">
        <v>45579</v>
      </c>
      <c r="K1839" s="2">
        <v>3.4623842592592595E-2</v>
      </c>
      <c r="M1839" s="4" t="str">
        <f t="shared" si="84"/>
        <v>HIGH</v>
      </c>
      <c r="N1839" s="4" t="str" cm="1">
        <f t="array" ref="N1839">_xlfn.IFS(C1839&gt;35,"HIGH",C1839&gt;25,"MIDDLE",TRUE,"LOW")</f>
        <v>HIGH</v>
      </c>
      <c r="O1839" s="4" t="str">
        <f t="shared" si="85"/>
        <v>OTHERS</v>
      </c>
      <c r="P1839" s="4" t="str">
        <f t="shared" si="86"/>
        <v>PREMINUM MORNING</v>
      </c>
    </row>
    <row r="1840" spans="1:16" x14ac:dyDescent="0.3">
      <c r="A1840" s="4">
        <v>16</v>
      </c>
      <c r="B1840" t="s">
        <v>11</v>
      </c>
      <c r="C1840" s="4">
        <v>25.96</v>
      </c>
      <c r="D1840" t="s">
        <v>18</v>
      </c>
      <c r="E1840" t="s">
        <v>17</v>
      </c>
      <c r="F1840" s="4" t="s">
        <v>25</v>
      </c>
      <c r="G1840" s="4" t="s">
        <v>37</v>
      </c>
      <c r="H1840" s="4">
        <v>1</v>
      </c>
      <c r="I1840" s="4">
        <v>10</v>
      </c>
      <c r="J1840" s="1">
        <v>45579</v>
      </c>
      <c r="K1840" s="2">
        <v>2.6244212962962962E-2</v>
      </c>
      <c r="M1840" s="4" t="str">
        <f t="shared" si="84"/>
        <v>LOW</v>
      </c>
      <c r="N1840" s="4" t="str" cm="1">
        <f t="array" ref="N1840">_xlfn.IFS(C1840&gt;35,"HIGH",C1840&gt;25,"MIDDLE",TRUE,"LOW")</f>
        <v>MIDDLE</v>
      </c>
      <c r="O1840" s="4" t="str">
        <f t="shared" si="85"/>
        <v>OTHERS</v>
      </c>
      <c r="P1840" s="4" t="str">
        <f t="shared" si="86"/>
        <v>OTHERS</v>
      </c>
    </row>
    <row r="1841" spans="1:16" x14ac:dyDescent="0.3">
      <c r="A1841" s="4">
        <v>18</v>
      </c>
      <c r="B1841" t="s">
        <v>11</v>
      </c>
      <c r="C1841" s="4">
        <v>35.76</v>
      </c>
      <c r="D1841" t="s">
        <v>12</v>
      </c>
      <c r="E1841" t="s">
        <v>20</v>
      </c>
      <c r="F1841" s="4" t="s">
        <v>25</v>
      </c>
      <c r="G1841" s="4" t="s">
        <v>37</v>
      </c>
      <c r="H1841" s="4">
        <v>1</v>
      </c>
      <c r="I1841" s="4">
        <v>10</v>
      </c>
      <c r="J1841" s="1">
        <v>45579</v>
      </c>
      <c r="K1841" s="2">
        <v>1.3416666666666667E-2</v>
      </c>
      <c r="M1841" s="4" t="str">
        <f t="shared" si="84"/>
        <v>HIGH</v>
      </c>
      <c r="N1841" s="4" t="str" cm="1">
        <f t="array" ref="N1841">_xlfn.IFS(C1841&gt;35,"HIGH",C1841&gt;25,"MIDDLE",TRUE,"LOW")</f>
        <v>HIGH</v>
      </c>
      <c r="O1841" s="4" t="str">
        <f t="shared" si="85"/>
        <v>OTHERS</v>
      </c>
      <c r="P1841" s="4" t="str">
        <f t="shared" si="86"/>
        <v>PREMINUM MORNING</v>
      </c>
    </row>
    <row r="1842" spans="1:16" x14ac:dyDescent="0.3">
      <c r="A1842" s="4">
        <v>18</v>
      </c>
      <c r="B1842" t="s">
        <v>11</v>
      </c>
      <c r="C1842" s="4">
        <v>35.76</v>
      </c>
      <c r="D1842" t="s">
        <v>29</v>
      </c>
      <c r="E1842" t="s">
        <v>20</v>
      </c>
      <c r="F1842" s="4" t="s">
        <v>25</v>
      </c>
      <c r="G1842" s="4" t="s">
        <v>37</v>
      </c>
      <c r="H1842" s="4">
        <v>1</v>
      </c>
      <c r="I1842" s="4">
        <v>10</v>
      </c>
      <c r="J1842" s="1">
        <v>45579</v>
      </c>
      <c r="K1842" s="2">
        <v>1.4127314814814813E-2</v>
      </c>
      <c r="M1842" s="4" t="str">
        <f t="shared" si="84"/>
        <v>HIGH</v>
      </c>
      <c r="N1842" s="4" t="str" cm="1">
        <f t="array" ref="N1842">_xlfn.IFS(C1842&gt;35,"HIGH",C1842&gt;25,"MIDDLE",TRUE,"LOW")</f>
        <v>HIGH</v>
      </c>
      <c r="O1842" s="4" t="str">
        <f t="shared" si="85"/>
        <v>OTHERS</v>
      </c>
      <c r="P1842" s="4" t="str">
        <f t="shared" si="86"/>
        <v>PREMINUM MORNING</v>
      </c>
    </row>
    <row r="1843" spans="1:16" x14ac:dyDescent="0.3">
      <c r="A1843" s="4">
        <v>22</v>
      </c>
      <c r="B1843" t="s">
        <v>11</v>
      </c>
      <c r="C1843" s="4">
        <v>35.76</v>
      </c>
      <c r="D1843" t="s">
        <v>12</v>
      </c>
      <c r="E1843" t="s">
        <v>20</v>
      </c>
      <c r="F1843" s="4" t="s">
        <v>25</v>
      </c>
      <c r="G1843" s="4" t="s">
        <v>37</v>
      </c>
      <c r="H1843" s="4">
        <v>1</v>
      </c>
      <c r="I1843" s="4">
        <v>10</v>
      </c>
      <c r="J1843" s="1">
        <v>45579</v>
      </c>
      <c r="K1843" s="2">
        <v>6.1770833333333339E-3</v>
      </c>
      <c r="M1843" s="4" t="str">
        <f t="shared" si="84"/>
        <v>HIGH</v>
      </c>
      <c r="N1843" s="4" t="str" cm="1">
        <f t="array" ref="N1843">_xlfn.IFS(C1843&gt;35,"HIGH",C1843&gt;25,"MIDDLE",TRUE,"LOW")</f>
        <v>HIGH</v>
      </c>
      <c r="O1843" s="4" t="str">
        <f t="shared" si="85"/>
        <v>OTHERS</v>
      </c>
      <c r="P1843" s="4" t="str">
        <f t="shared" si="86"/>
        <v>PREMINUM MORNING</v>
      </c>
    </row>
    <row r="1844" spans="1:16" x14ac:dyDescent="0.3">
      <c r="A1844" s="4">
        <v>22</v>
      </c>
      <c r="B1844" t="s">
        <v>11</v>
      </c>
      <c r="C1844" s="4">
        <v>35.76</v>
      </c>
      <c r="D1844" t="s">
        <v>12</v>
      </c>
      <c r="E1844" t="s">
        <v>20</v>
      </c>
      <c r="F1844" s="4" t="s">
        <v>25</v>
      </c>
      <c r="G1844" s="4" t="s">
        <v>37</v>
      </c>
      <c r="H1844" s="4">
        <v>1</v>
      </c>
      <c r="I1844" s="4">
        <v>10</v>
      </c>
      <c r="J1844" s="1">
        <v>45579</v>
      </c>
      <c r="K1844" s="2">
        <v>7.2187500000000003E-3</v>
      </c>
      <c r="M1844" s="4" t="str">
        <f t="shared" si="84"/>
        <v>HIGH</v>
      </c>
      <c r="N1844" s="4" t="str" cm="1">
        <f t="array" ref="N1844">_xlfn.IFS(C1844&gt;35,"HIGH",C1844&gt;25,"MIDDLE",TRUE,"LOW")</f>
        <v>HIGH</v>
      </c>
      <c r="O1844" s="4" t="str">
        <f t="shared" si="85"/>
        <v>OTHERS</v>
      </c>
      <c r="P1844" s="4" t="str">
        <f t="shared" si="86"/>
        <v>PREMINUM MORNING</v>
      </c>
    </row>
    <row r="1845" spans="1:16" x14ac:dyDescent="0.3">
      <c r="A1845" s="4">
        <v>22</v>
      </c>
      <c r="B1845" t="s">
        <v>11</v>
      </c>
      <c r="C1845" s="4">
        <v>35.76</v>
      </c>
      <c r="D1845" t="s">
        <v>12</v>
      </c>
      <c r="E1845" t="s">
        <v>20</v>
      </c>
      <c r="F1845" s="4" t="s">
        <v>25</v>
      </c>
      <c r="G1845" s="4" t="s">
        <v>37</v>
      </c>
      <c r="H1845" s="4">
        <v>1</v>
      </c>
      <c r="I1845" s="4">
        <v>10</v>
      </c>
      <c r="J1845" s="1">
        <v>45579</v>
      </c>
      <c r="K1845" s="2">
        <v>1.5207175925925928E-2</v>
      </c>
      <c r="M1845" s="4" t="str">
        <f t="shared" si="84"/>
        <v>HIGH</v>
      </c>
      <c r="N1845" s="4" t="str" cm="1">
        <f t="array" ref="N1845">_xlfn.IFS(C1845&gt;35,"HIGH",C1845&gt;25,"MIDDLE",TRUE,"LOW")</f>
        <v>HIGH</v>
      </c>
      <c r="O1845" s="4" t="str">
        <f t="shared" si="85"/>
        <v>OTHERS</v>
      </c>
      <c r="P1845" s="4" t="str">
        <f t="shared" si="86"/>
        <v>PREMINUM MORNING</v>
      </c>
    </row>
    <row r="1846" spans="1:16" x14ac:dyDescent="0.3">
      <c r="A1846" s="4">
        <v>8</v>
      </c>
      <c r="B1846" t="s">
        <v>11</v>
      </c>
      <c r="C1846" s="4">
        <v>25.96</v>
      </c>
      <c r="D1846" t="s">
        <v>24</v>
      </c>
      <c r="E1846" t="s">
        <v>13</v>
      </c>
      <c r="F1846" s="4" t="s">
        <v>27</v>
      </c>
      <c r="G1846" s="4" t="s">
        <v>37</v>
      </c>
      <c r="H1846" s="4">
        <v>2</v>
      </c>
      <c r="I1846" s="4">
        <v>10</v>
      </c>
      <c r="J1846" s="1">
        <v>45580</v>
      </c>
      <c r="K1846" s="2">
        <v>1.0054398148148149E-2</v>
      </c>
      <c r="M1846" s="4" t="str">
        <f t="shared" si="84"/>
        <v>LOW</v>
      </c>
      <c r="N1846" s="4" t="str" cm="1">
        <f t="array" ref="N1846">_xlfn.IFS(C1846&gt;35,"HIGH",C1846&gt;25,"MIDDLE",TRUE,"LOW")</f>
        <v>MIDDLE</v>
      </c>
      <c r="O1846" s="4" t="str">
        <f t="shared" si="85"/>
        <v>OTHERS</v>
      </c>
      <c r="P1846" s="4" t="str">
        <f t="shared" si="86"/>
        <v>PREMINUM MORNING</v>
      </c>
    </row>
    <row r="1847" spans="1:16" x14ac:dyDescent="0.3">
      <c r="A1847" s="4">
        <v>8</v>
      </c>
      <c r="B1847" t="s">
        <v>11</v>
      </c>
      <c r="C1847" s="4">
        <v>21.06</v>
      </c>
      <c r="D1847" t="s">
        <v>26</v>
      </c>
      <c r="E1847" t="s">
        <v>13</v>
      </c>
      <c r="F1847" s="4" t="s">
        <v>27</v>
      </c>
      <c r="G1847" s="4" t="s">
        <v>37</v>
      </c>
      <c r="H1847" s="4">
        <v>2</v>
      </c>
      <c r="I1847" s="4">
        <v>10</v>
      </c>
      <c r="J1847" s="1">
        <v>45580</v>
      </c>
      <c r="K1847" s="2">
        <v>2.3818287037037037E-2</v>
      </c>
      <c r="M1847" s="4" t="str">
        <f t="shared" si="84"/>
        <v>LOW</v>
      </c>
      <c r="N1847" s="4" t="str" cm="1">
        <f t="array" ref="N1847">_xlfn.IFS(C1847&gt;35,"HIGH",C1847&gt;25,"MIDDLE",TRUE,"LOW")</f>
        <v>LOW</v>
      </c>
      <c r="O1847" s="4" t="str">
        <f t="shared" si="85"/>
        <v>OTHERS</v>
      </c>
      <c r="P1847" s="4" t="str">
        <f t="shared" si="86"/>
        <v>PREMINUM MORNING</v>
      </c>
    </row>
    <row r="1848" spans="1:16" x14ac:dyDescent="0.3">
      <c r="A1848" s="4">
        <v>11</v>
      </c>
      <c r="B1848" t="s">
        <v>11</v>
      </c>
      <c r="C1848" s="4">
        <v>35.76</v>
      </c>
      <c r="D1848" t="s">
        <v>16</v>
      </c>
      <c r="E1848" t="s">
        <v>13</v>
      </c>
      <c r="F1848" s="4" t="s">
        <v>27</v>
      </c>
      <c r="G1848" s="4" t="s">
        <v>37</v>
      </c>
      <c r="H1848" s="4">
        <v>2</v>
      </c>
      <c r="I1848" s="4">
        <v>10</v>
      </c>
      <c r="J1848" s="1">
        <v>45580</v>
      </c>
      <c r="K1848" s="2">
        <v>9.2824074074074076E-3</v>
      </c>
      <c r="M1848" s="4" t="str">
        <f t="shared" si="84"/>
        <v>HIGH</v>
      </c>
      <c r="N1848" s="4" t="str" cm="1">
        <f t="array" ref="N1848">_xlfn.IFS(C1848&gt;35,"HIGH",C1848&gt;25,"MIDDLE",TRUE,"LOW")</f>
        <v>HIGH</v>
      </c>
      <c r="O1848" s="4" t="str">
        <f t="shared" si="85"/>
        <v>PREMINUM MORNING</v>
      </c>
      <c r="P1848" s="4" t="str">
        <f t="shared" si="86"/>
        <v>PREMINUM MORNING</v>
      </c>
    </row>
    <row r="1849" spans="1:16" x14ac:dyDescent="0.3">
      <c r="A1849" s="4">
        <v>11</v>
      </c>
      <c r="B1849" t="s">
        <v>11</v>
      </c>
      <c r="C1849" s="4">
        <v>35.76</v>
      </c>
      <c r="D1849" t="s">
        <v>12</v>
      </c>
      <c r="E1849" t="s">
        <v>13</v>
      </c>
      <c r="F1849" s="4" t="s">
        <v>27</v>
      </c>
      <c r="G1849" s="4" t="s">
        <v>37</v>
      </c>
      <c r="H1849" s="4">
        <v>2</v>
      </c>
      <c r="I1849" s="4">
        <v>10</v>
      </c>
      <c r="J1849" s="1">
        <v>45580</v>
      </c>
      <c r="K1849" s="2">
        <v>1.0655092592592593E-2</v>
      </c>
      <c r="M1849" s="4" t="str">
        <f t="shared" si="84"/>
        <v>HIGH</v>
      </c>
      <c r="N1849" s="4" t="str" cm="1">
        <f t="array" ref="N1849">_xlfn.IFS(C1849&gt;35,"HIGH",C1849&gt;25,"MIDDLE",TRUE,"LOW")</f>
        <v>HIGH</v>
      </c>
      <c r="O1849" s="4" t="str">
        <f t="shared" si="85"/>
        <v>PREMINUM MORNING</v>
      </c>
      <c r="P1849" s="4" t="str">
        <f t="shared" si="86"/>
        <v>PREMINUM MORNING</v>
      </c>
    </row>
    <row r="1850" spans="1:16" x14ac:dyDescent="0.3">
      <c r="A1850" s="4">
        <v>11</v>
      </c>
      <c r="B1850" t="s">
        <v>11</v>
      </c>
      <c r="C1850" s="4">
        <v>35.76</v>
      </c>
      <c r="D1850" t="s">
        <v>16</v>
      </c>
      <c r="E1850" t="s">
        <v>13</v>
      </c>
      <c r="F1850" s="4" t="s">
        <v>27</v>
      </c>
      <c r="G1850" s="4" t="s">
        <v>37</v>
      </c>
      <c r="H1850" s="4">
        <v>2</v>
      </c>
      <c r="I1850" s="4">
        <v>10</v>
      </c>
      <c r="J1850" s="1">
        <v>45580</v>
      </c>
      <c r="K1850" s="2">
        <v>1.1429398148148149E-2</v>
      </c>
      <c r="M1850" s="4" t="str">
        <f t="shared" si="84"/>
        <v>HIGH</v>
      </c>
      <c r="N1850" s="4" t="str" cm="1">
        <f t="array" ref="N1850">_xlfn.IFS(C1850&gt;35,"HIGH",C1850&gt;25,"MIDDLE",TRUE,"LOW")</f>
        <v>HIGH</v>
      </c>
      <c r="O1850" s="4" t="str">
        <f t="shared" si="85"/>
        <v>PREMINUM MORNING</v>
      </c>
      <c r="P1850" s="4" t="str">
        <f t="shared" si="86"/>
        <v>PREMINUM MORNING</v>
      </c>
    </row>
    <row r="1851" spans="1:16" x14ac:dyDescent="0.3">
      <c r="A1851" s="4">
        <v>13</v>
      </c>
      <c r="B1851" t="s">
        <v>11</v>
      </c>
      <c r="C1851" s="4">
        <v>35.76</v>
      </c>
      <c r="D1851" t="s">
        <v>12</v>
      </c>
      <c r="E1851" t="s">
        <v>17</v>
      </c>
      <c r="F1851" s="4" t="s">
        <v>27</v>
      </c>
      <c r="G1851" s="4" t="s">
        <v>37</v>
      </c>
      <c r="H1851" s="4">
        <v>2</v>
      </c>
      <c r="I1851" s="4">
        <v>10</v>
      </c>
      <c r="J1851" s="1">
        <v>45580</v>
      </c>
      <c r="K1851" s="2">
        <v>5.0000000000000001E-4</v>
      </c>
      <c r="M1851" s="4" t="str">
        <f t="shared" si="84"/>
        <v>HIGH</v>
      </c>
      <c r="N1851" s="4" t="str" cm="1">
        <f t="array" ref="N1851">_xlfn.IFS(C1851&gt;35,"HIGH",C1851&gt;25,"MIDDLE",TRUE,"LOW")</f>
        <v>HIGH</v>
      </c>
      <c r="O1851" s="4" t="str">
        <f t="shared" si="85"/>
        <v>OTHERS</v>
      </c>
      <c r="P1851" s="4" t="str">
        <f t="shared" si="86"/>
        <v>PREMINUM MORNING</v>
      </c>
    </row>
    <row r="1852" spans="1:16" x14ac:dyDescent="0.3">
      <c r="A1852" s="4">
        <v>13</v>
      </c>
      <c r="B1852" t="s">
        <v>11</v>
      </c>
      <c r="C1852" s="4">
        <v>30.86</v>
      </c>
      <c r="D1852" t="s">
        <v>19</v>
      </c>
      <c r="E1852" t="s">
        <v>17</v>
      </c>
      <c r="F1852" s="4" t="s">
        <v>27</v>
      </c>
      <c r="G1852" s="4" t="s">
        <v>37</v>
      </c>
      <c r="H1852" s="4">
        <v>2</v>
      </c>
      <c r="I1852" s="4">
        <v>10</v>
      </c>
      <c r="J1852" s="1">
        <v>45580</v>
      </c>
      <c r="K1852" s="2">
        <v>1.0935185185185185E-2</v>
      </c>
      <c r="M1852" s="4" t="str">
        <f t="shared" si="84"/>
        <v>LOW</v>
      </c>
      <c r="N1852" s="4" t="str" cm="1">
        <f t="array" ref="N1852">_xlfn.IFS(C1852&gt;35,"HIGH",C1852&gt;25,"MIDDLE",TRUE,"LOW")</f>
        <v>MIDDLE</v>
      </c>
      <c r="O1852" s="4" t="str">
        <f t="shared" si="85"/>
        <v>OTHERS</v>
      </c>
      <c r="P1852" s="4" t="str">
        <f t="shared" si="86"/>
        <v>OTHERS</v>
      </c>
    </row>
    <row r="1853" spans="1:16" x14ac:dyDescent="0.3">
      <c r="A1853" s="4">
        <v>15</v>
      </c>
      <c r="B1853" t="s">
        <v>11</v>
      </c>
      <c r="C1853" s="4">
        <v>35.76</v>
      </c>
      <c r="D1853" t="s">
        <v>12</v>
      </c>
      <c r="E1853" t="s">
        <v>17</v>
      </c>
      <c r="F1853" s="4" t="s">
        <v>27</v>
      </c>
      <c r="G1853" s="4" t="s">
        <v>37</v>
      </c>
      <c r="H1853" s="4">
        <v>2</v>
      </c>
      <c r="I1853" s="4">
        <v>10</v>
      </c>
      <c r="J1853" s="1">
        <v>45580</v>
      </c>
      <c r="K1853" s="2">
        <v>2.235300925925926E-2</v>
      </c>
      <c r="M1853" s="4" t="str">
        <f t="shared" si="84"/>
        <v>HIGH</v>
      </c>
      <c r="N1853" s="4" t="str" cm="1">
        <f t="array" ref="N1853">_xlfn.IFS(C1853&gt;35,"HIGH",C1853&gt;25,"MIDDLE",TRUE,"LOW")</f>
        <v>HIGH</v>
      </c>
      <c r="O1853" s="4" t="str">
        <f t="shared" si="85"/>
        <v>OTHERS</v>
      </c>
      <c r="P1853" s="4" t="str">
        <f t="shared" si="86"/>
        <v>PREMINUM MORNING</v>
      </c>
    </row>
    <row r="1854" spans="1:16" x14ac:dyDescent="0.3">
      <c r="A1854" s="4">
        <v>15</v>
      </c>
      <c r="B1854" t="s">
        <v>11</v>
      </c>
      <c r="C1854" s="4">
        <v>25.96</v>
      </c>
      <c r="D1854" t="s">
        <v>18</v>
      </c>
      <c r="E1854" t="s">
        <v>17</v>
      </c>
      <c r="F1854" s="4" t="s">
        <v>27</v>
      </c>
      <c r="G1854" s="4" t="s">
        <v>37</v>
      </c>
      <c r="H1854" s="4">
        <v>2</v>
      </c>
      <c r="I1854" s="4">
        <v>10</v>
      </c>
      <c r="J1854" s="1">
        <v>45580</v>
      </c>
      <c r="K1854" s="2">
        <v>3.7690972222222223E-2</v>
      </c>
      <c r="M1854" s="4" t="str">
        <f t="shared" si="84"/>
        <v>LOW</v>
      </c>
      <c r="N1854" s="4" t="str" cm="1">
        <f t="array" ref="N1854">_xlfn.IFS(C1854&gt;35,"HIGH",C1854&gt;25,"MIDDLE",TRUE,"LOW")</f>
        <v>MIDDLE</v>
      </c>
      <c r="O1854" s="4" t="str">
        <f t="shared" si="85"/>
        <v>OTHERS</v>
      </c>
      <c r="P1854" s="4" t="str">
        <f t="shared" si="86"/>
        <v>OTHERS</v>
      </c>
    </row>
    <row r="1855" spans="1:16" x14ac:dyDescent="0.3">
      <c r="A1855" s="4">
        <v>15</v>
      </c>
      <c r="B1855" t="s">
        <v>11</v>
      </c>
      <c r="C1855" s="4">
        <v>21.06</v>
      </c>
      <c r="D1855" t="s">
        <v>26</v>
      </c>
      <c r="E1855" t="s">
        <v>17</v>
      </c>
      <c r="F1855" s="4" t="s">
        <v>27</v>
      </c>
      <c r="G1855" s="4" t="s">
        <v>37</v>
      </c>
      <c r="H1855" s="4">
        <v>2</v>
      </c>
      <c r="I1855" s="4">
        <v>10</v>
      </c>
      <c r="J1855" s="1">
        <v>45580</v>
      </c>
      <c r="K1855" s="2">
        <v>3.8414351851851852E-2</v>
      </c>
      <c r="M1855" s="4" t="str">
        <f t="shared" si="84"/>
        <v>LOW</v>
      </c>
      <c r="N1855" s="4" t="str" cm="1">
        <f t="array" ref="N1855">_xlfn.IFS(C1855&gt;35,"HIGH",C1855&gt;25,"MIDDLE",TRUE,"LOW")</f>
        <v>LOW</v>
      </c>
      <c r="O1855" s="4" t="str">
        <f t="shared" si="85"/>
        <v>OTHERS</v>
      </c>
      <c r="P1855" s="4" t="str">
        <f t="shared" si="86"/>
        <v>OTHERS</v>
      </c>
    </row>
    <row r="1856" spans="1:16" x14ac:dyDescent="0.3">
      <c r="A1856" s="4">
        <v>17</v>
      </c>
      <c r="B1856" t="s">
        <v>11</v>
      </c>
      <c r="C1856" s="4">
        <v>35.76</v>
      </c>
      <c r="D1856" t="s">
        <v>16</v>
      </c>
      <c r="E1856" t="s">
        <v>20</v>
      </c>
      <c r="F1856" s="4" t="s">
        <v>27</v>
      </c>
      <c r="G1856" s="4" t="s">
        <v>37</v>
      </c>
      <c r="H1856" s="4">
        <v>2</v>
      </c>
      <c r="I1856" s="4">
        <v>10</v>
      </c>
      <c r="J1856" s="1">
        <v>45580</v>
      </c>
      <c r="K1856" s="2">
        <v>2.9085648148148148E-3</v>
      </c>
      <c r="M1856" s="4" t="str">
        <f t="shared" si="84"/>
        <v>HIGH</v>
      </c>
      <c r="N1856" s="4" t="str" cm="1">
        <f t="array" ref="N1856">_xlfn.IFS(C1856&gt;35,"HIGH",C1856&gt;25,"MIDDLE",TRUE,"LOW")</f>
        <v>HIGH</v>
      </c>
      <c r="O1856" s="4" t="str">
        <f t="shared" si="85"/>
        <v>OTHERS</v>
      </c>
      <c r="P1856" s="4" t="str">
        <f t="shared" si="86"/>
        <v>PREMINUM MORNING</v>
      </c>
    </row>
    <row r="1857" spans="1:16" x14ac:dyDescent="0.3">
      <c r="A1857" s="4">
        <v>19</v>
      </c>
      <c r="B1857" t="s">
        <v>11</v>
      </c>
      <c r="C1857" s="4">
        <v>25.96</v>
      </c>
      <c r="D1857" t="s">
        <v>18</v>
      </c>
      <c r="E1857" t="s">
        <v>20</v>
      </c>
      <c r="F1857" s="4" t="s">
        <v>27</v>
      </c>
      <c r="G1857" s="4" t="s">
        <v>37</v>
      </c>
      <c r="H1857" s="4">
        <v>2</v>
      </c>
      <c r="I1857" s="4">
        <v>10</v>
      </c>
      <c r="J1857" s="1">
        <v>45580</v>
      </c>
      <c r="K1857" s="2">
        <v>1.5525462962962965E-2</v>
      </c>
      <c r="M1857" s="4" t="str">
        <f t="shared" si="84"/>
        <v>LOW</v>
      </c>
      <c r="N1857" s="4" t="str" cm="1">
        <f t="array" ref="N1857">_xlfn.IFS(C1857&gt;35,"HIGH",C1857&gt;25,"MIDDLE",TRUE,"LOW")</f>
        <v>MIDDLE</v>
      </c>
      <c r="O1857" s="4" t="str">
        <f t="shared" si="85"/>
        <v>OTHERS</v>
      </c>
      <c r="P1857" s="4" t="str">
        <f t="shared" si="86"/>
        <v>OTHERS</v>
      </c>
    </row>
    <row r="1858" spans="1:16" x14ac:dyDescent="0.3">
      <c r="A1858" s="4">
        <v>19</v>
      </c>
      <c r="B1858" t="s">
        <v>11</v>
      </c>
      <c r="C1858" s="4">
        <v>35.76</v>
      </c>
      <c r="D1858" t="s">
        <v>21</v>
      </c>
      <c r="E1858" t="s">
        <v>20</v>
      </c>
      <c r="F1858" s="4" t="s">
        <v>27</v>
      </c>
      <c r="G1858" s="4" t="s">
        <v>37</v>
      </c>
      <c r="H1858" s="4">
        <v>2</v>
      </c>
      <c r="I1858" s="4">
        <v>10</v>
      </c>
      <c r="J1858" s="1">
        <v>45580</v>
      </c>
      <c r="K1858" s="2">
        <v>1.6173611111111111E-2</v>
      </c>
      <c r="M1858" s="4" t="str">
        <f t="shared" si="84"/>
        <v>HIGH</v>
      </c>
      <c r="N1858" s="4" t="str" cm="1">
        <f t="array" ref="N1858">_xlfn.IFS(C1858&gt;35,"HIGH",C1858&gt;25,"MIDDLE",TRUE,"LOW")</f>
        <v>HIGH</v>
      </c>
      <c r="O1858" s="4" t="str">
        <f t="shared" si="85"/>
        <v>OTHERS</v>
      </c>
      <c r="P1858" s="4" t="str">
        <f t="shared" si="86"/>
        <v>PREMINUM MORNING</v>
      </c>
    </row>
    <row r="1859" spans="1:16" x14ac:dyDescent="0.3">
      <c r="A1859" s="4">
        <v>20</v>
      </c>
      <c r="B1859" t="s">
        <v>11</v>
      </c>
      <c r="C1859" s="4">
        <v>35.76</v>
      </c>
      <c r="D1859" t="s">
        <v>12</v>
      </c>
      <c r="E1859" t="s">
        <v>20</v>
      </c>
      <c r="F1859" s="4" t="s">
        <v>27</v>
      </c>
      <c r="G1859" s="4" t="s">
        <v>37</v>
      </c>
      <c r="H1859" s="4">
        <v>2</v>
      </c>
      <c r="I1859" s="4">
        <v>10</v>
      </c>
      <c r="J1859" s="1">
        <v>45580</v>
      </c>
      <c r="K1859" s="2">
        <v>7.8113425925925919E-3</v>
      </c>
      <c r="M1859" s="4" t="str">
        <f t="shared" ref="M1859:M1922" si="87">IF(C1859&gt;35,"HIGH","LOW")</f>
        <v>HIGH</v>
      </c>
      <c r="N1859" s="4" t="str" cm="1">
        <f t="array" ref="N1859">_xlfn.IFS(C1859&gt;35,"HIGH",C1859&gt;25,"MIDDLE",TRUE,"LOW")</f>
        <v>HIGH</v>
      </c>
      <c r="O1859" s="4" t="str">
        <f t="shared" ref="O1859:O1922" si="88">IF(AND(C1859&gt;35,E1859="MORNING"),"PREMINUM MORNING","OTHERS")</f>
        <v>OTHERS</v>
      </c>
      <c r="P1859" s="4" t="str">
        <f t="shared" ref="P1859:P1922" si="89">IF(OR(C1859&gt;35,E1859="MORNING"),"PREMINUM MORNING","OTHERS")</f>
        <v>PREMINUM MORNING</v>
      </c>
    </row>
    <row r="1860" spans="1:16" x14ac:dyDescent="0.3">
      <c r="A1860" s="4">
        <v>20</v>
      </c>
      <c r="B1860" t="s">
        <v>11</v>
      </c>
      <c r="C1860" s="4">
        <v>35.76</v>
      </c>
      <c r="D1860" t="s">
        <v>12</v>
      </c>
      <c r="E1860" t="s">
        <v>20</v>
      </c>
      <c r="F1860" s="4" t="s">
        <v>27</v>
      </c>
      <c r="G1860" s="4" t="s">
        <v>37</v>
      </c>
      <c r="H1860" s="4">
        <v>2</v>
      </c>
      <c r="I1860" s="4">
        <v>10</v>
      </c>
      <c r="J1860" s="1">
        <v>45580</v>
      </c>
      <c r="K1860" s="2">
        <v>8.6643518518518519E-3</v>
      </c>
      <c r="M1860" s="4" t="str">
        <f t="shared" si="87"/>
        <v>HIGH</v>
      </c>
      <c r="N1860" s="4" t="str" cm="1">
        <f t="array" ref="N1860">_xlfn.IFS(C1860&gt;35,"HIGH",C1860&gt;25,"MIDDLE",TRUE,"LOW")</f>
        <v>HIGH</v>
      </c>
      <c r="O1860" s="4" t="str">
        <f t="shared" si="88"/>
        <v>OTHERS</v>
      </c>
      <c r="P1860" s="4" t="str">
        <f t="shared" si="89"/>
        <v>PREMINUM MORNING</v>
      </c>
    </row>
    <row r="1861" spans="1:16" x14ac:dyDescent="0.3">
      <c r="A1861" s="4">
        <v>21</v>
      </c>
      <c r="B1861" t="s">
        <v>11</v>
      </c>
      <c r="C1861" s="4">
        <v>35.76</v>
      </c>
      <c r="D1861" t="s">
        <v>16</v>
      </c>
      <c r="E1861" t="s">
        <v>20</v>
      </c>
      <c r="F1861" s="4" t="s">
        <v>27</v>
      </c>
      <c r="G1861" s="4" t="s">
        <v>37</v>
      </c>
      <c r="H1861" s="4">
        <v>2</v>
      </c>
      <c r="I1861" s="4">
        <v>10</v>
      </c>
      <c r="J1861" s="1">
        <v>45580</v>
      </c>
      <c r="K1861" s="2">
        <v>1.2597222222222223E-2</v>
      </c>
      <c r="M1861" s="4" t="str">
        <f t="shared" si="87"/>
        <v>HIGH</v>
      </c>
      <c r="N1861" s="4" t="str" cm="1">
        <f t="array" ref="N1861">_xlfn.IFS(C1861&gt;35,"HIGH",C1861&gt;25,"MIDDLE",TRUE,"LOW")</f>
        <v>HIGH</v>
      </c>
      <c r="O1861" s="4" t="str">
        <f t="shared" si="88"/>
        <v>OTHERS</v>
      </c>
      <c r="P1861" s="4" t="str">
        <f t="shared" si="89"/>
        <v>PREMINUM MORNING</v>
      </c>
    </row>
    <row r="1862" spans="1:16" x14ac:dyDescent="0.3">
      <c r="A1862" s="4">
        <v>21</v>
      </c>
      <c r="B1862" t="s">
        <v>11</v>
      </c>
      <c r="C1862" s="4">
        <v>35.76</v>
      </c>
      <c r="D1862" t="s">
        <v>16</v>
      </c>
      <c r="E1862" t="s">
        <v>20</v>
      </c>
      <c r="F1862" s="4" t="s">
        <v>27</v>
      </c>
      <c r="G1862" s="4" t="s">
        <v>37</v>
      </c>
      <c r="H1862" s="4">
        <v>2</v>
      </c>
      <c r="I1862" s="4">
        <v>10</v>
      </c>
      <c r="J1862" s="1">
        <v>45580</v>
      </c>
      <c r="K1862" s="2">
        <v>2.453587962962963E-2</v>
      </c>
      <c r="M1862" s="4" t="str">
        <f t="shared" si="87"/>
        <v>HIGH</v>
      </c>
      <c r="N1862" s="4" t="str" cm="1">
        <f t="array" ref="N1862">_xlfn.IFS(C1862&gt;35,"HIGH",C1862&gt;25,"MIDDLE",TRUE,"LOW")</f>
        <v>HIGH</v>
      </c>
      <c r="O1862" s="4" t="str">
        <f t="shared" si="88"/>
        <v>OTHERS</v>
      </c>
      <c r="P1862" s="4" t="str">
        <f t="shared" si="89"/>
        <v>PREMINUM MORNING</v>
      </c>
    </row>
    <row r="1863" spans="1:16" x14ac:dyDescent="0.3">
      <c r="A1863" s="4">
        <v>22</v>
      </c>
      <c r="B1863" t="s">
        <v>11</v>
      </c>
      <c r="C1863" s="4">
        <v>35.76</v>
      </c>
      <c r="D1863" t="s">
        <v>12</v>
      </c>
      <c r="E1863" t="s">
        <v>20</v>
      </c>
      <c r="F1863" s="4" t="s">
        <v>27</v>
      </c>
      <c r="G1863" s="4" t="s">
        <v>37</v>
      </c>
      <c r="H1863" s="4">
        <v>2</v>
      </c>
      <c r="I1863" s="4">
        <v>10</v>
      </c>
      <c r="J1863" s="1">
        <v>45580</v>
      </c>
      <c r="K1863" s="2">
        <v>1.0644675925925927E-2</v>
      </c>
      <c r="M1863" s="4" t="str">
        <f t="shared" si="87"/>
        <v>HIGH</v>
      </c>
      <c r="N1863" s="4" t="str" cm="1">
        <f t="array" ref="N1863">_xlfn.IFS(C1863&gt;35,"HIGH",C1863&gt;25,"MIDDLE",TRUE,"LOW")</f>
        <v>HIGH</v>
      </c>
      <c r="O1863" s="4" t="str">
        <f t="shared" si="88"/>
        <v>OTHERS</v>
      </c>
      <c r="P1863" s="4" t="str">
        <f t="shared" si="89"/>
        <v>PREMINUM MORNING</v>
      </c>
    </row>
    <row r="1864" spans="1:16" x14ac:dyDescent="0.3">
      <c r="A1864" s="4">
        <v>8</v>
      </c>
      <c r="B1864" t="s">
        <v>11</v>
      </c>
      <c r="C1864" s="4">
        <v>30.86</v>
      </c>
      <c r="D1864" t="s">
        <v>19</v>
      </c>
      <c r="E1864" t="s">
        <v>13</v>
      </c>
      <c r="F1864" s="4" t="s">
        <v>28</v>
      </c>
      <c r="G1864" s="4" t="s">
        <v>37</v>
      </c>
      <c r="H1864" s="4">
        <v>3</v>
      </c>
      <c r="I1864" s="4">
        <v>10</v>
      </c>
      <c r="J1864" s="1">
        <v>45581</v>
      </c>
      <c r="K1864" s="2">
        <v>1.4884259259259259E-2</v>
      </c>
      <c r="M1864" s="4" t="str">
        <f t="shared" si="87"/>
        <v>LOW</v>
      </c>
      <c r="N1864" s="4" t="str" cm="1">
        <f t="array" ref="N1864">_xlfn.IFS(C1864&gt;35,"HIGH",C1864&gt;25,"MIDDLE",TRUE,"LOW")</f>
        <v>MIDDLE</v>
      </c>
      <c r="O1864" s="4" t="str">
        <f t="shared" si="88"/>
        <v>OTHERS</v>
      </c>
      <c r="P1864" s="4" t="str">
        <f t="shared" si="89"/>
        <v>PREMINUM MORNING</v>
      </c>
    </row>
    <row r="1865" spans="1:16" x14ac:dyDescent="0.3">
      <c r="A1865" s="4">
        <v>8</v>
      </c>
      <c r="B1865" t="s">
        <v>11</v>
      </c>
      <c r="C1865" s="4">
        <v>35.76</v>
      </c>
      <c r="D1865" t="s">
        <v>16</v>
      </c>
      <c r="E1865" t="s">
        <v>13</v>
      </c>
      <c r="F1865" s="4" t="s">
        <v>28</v>
      </c>
      <c r="G1865" s="4" t="s">
        <v>37</v>
      </c>
      <c r="H1865" s="4">
        <v>3</v>
      </c>
      <c r="I1865" s="4">
        <v>10</v>
      </c>
      <c r="J1865" s="1">
        <v>45581</v>
      </c>
      <c r="K1865" s="2">
        <v>2.5273148148148149E-2</v>
      </c>
      <c r="M1865" s="4" t="str">
        <f t="shared" si="87"/>
        <v>HIGH</v>
      </c>
      <c r="N1865" s="4" t="str" cm="1">
        <f t="array" ref="N1865">_xlfn.IFS(C1865&gt;35,"HIGH",C1865&gt;25,"MIDDLE",TRUE,"LOW")</f>
        <v>HIGH</v>
      </c>
      <c r="O1865" s="4" t="str">
        <f t="shared" si="88"/>
        <v>PREMINUM MORNING</v>
      </c>
      <c r="P1865" s="4" t="str">
        <f t="shared" si="89"/>
        <v>PREMINUM MORNING</v>
      </c>
    </row>
    <row r="1866" spans="1:16" x14ac:dyDescent="0.3">
      <c r="A1866" s="4">
        <v>9</v>
      </c>
      <c r="B1866" t="s">
        <v>11</v>
      </c>
      <c r="C1866" s="4">
        <v>35.76</v>
      </c>
      <c r="D1866" t="s">
        <v>12</v>
      </c>
      <c r="E1866" t="s">
        <v>13</v>
      </c>
      <c r="F1866" s="4" t="s">
        <v>28</v>
      </c>
      <c r="G1866" s="4" t="s">
        <v>37</v>
      </c>
      <c r="H1866" s="4">
        <v>3</v>
      </c>
      <c r="I1866" s="4">
        <v>10</v>
      </c>
      <c r="J1866" s="1">
        <v>45581</v>
      </c>
      <c r="K1866" s="2">
        <v>1.7953703703703704E-2</v>
      </c>
      <c r="M1866" s="4" t="str">
        <f t="shared" si="87"/>
        <v>HIGH</v>
      </c>
      <c r="N1866" s="4" t="str" cm="1">
        <f t="array" ref="N1866">_xlfn.IFS(C1866&gt;35,"HIGH",C1866&gt;25,"MIDDLE",TRUE,"LOW")</f>
        <v>HIGH</v>
      </c>
      <c r="O1866" s="4" t="str">
        <f t="shared" si="88"/>
        <v>PREMINUM MORNING</v>
      </c>
      <c r="P1866" s="4" t="str">
        <f t="shared" si="89"/>
        <v>PREMINUM MORNING</v>
      </c>
    </row>
    <row r="1867" spans="1:16" x14ac:dyDescent="0.3">
      <c r="A1867" s="4">
        <v>10</v>
      </c>
      <c r="B1867" t="s">
        <v>11</v>
      </c>
      <c r="C1867" s="4">
        <v>30.86</v>
      </c>
      <c r="D1867" t="s">
        <v>19</v>
      </c>
      <c r="E1867" t="s">
        <v>13</v>
      </c>
      <c r="F1867" s="4" t="s">
        <v>28</v>
      </c>
      <c r="G1867" s="4" t="s">
        <v>37</v>
      </c>
      <c r="H1867" s="4">
        <v>3</v>
      </c>
      <c r="I1867" s="4">
        <v>10</v>
      </c>
      <c r="J1867" s="1">
        <v>45581</v>
      </c>
      <c r="K1867" s="2">
        <v>1.0971064814814814E-2</v>
      </c>
      <c r="M1867" s="4" t="str">
        <f t="shared" si="87"/>
        <v>LOW</v>
      </c>
      <c r="N1867" s="4" t="str" cm="1">
        <f t="array" ref="N1867">_xlfn.IFS(C1867&gt;35,"HIGH",C1867&gt;25,"MIDDLE",TRUE,"LOW")</f>
        <v>MIDDLE</v>
      </c>
      <c r="O1867" s="4" t="str">
        <f t="shared" si="88"/>
        <v>OTHERS</v>
      </c>
      <c r="P1867" s="4" t="str">
        <f t="shared" si="89"/>
        <v>PREMINUM MORNING</v>
      </c>
    </row>
    <row r="1868" spans="1:16" x14ac:dyDescent="0.3">
      <c r="A1868" s="4">
        <v>10</v>
      </c>
      <c r="B1868" t="s">
        <v>11</v>
      </c>
      <c r="C1868" s="4">
        <v>30.86</v>
      </c>
      <c r="D1868" t="s">
        <v>19</v>
      </c>
      <c r="E1868" t="s">
        <v>13</v>
      </c>
      <c r="F1868" s="4" t="s">
        <v>28</v>
      </c>
      <c r="G1868" s="4" t="s">
        <v>37</v>
      </c>
      <c r="H1868" s="4">
        <v>3</v>
      </c>
      <c r="I1868" s="4">
        <v>10</v>
      </c>
      <c r="J1868" s="1">
        <v>45581</v>
      </c>
      <c r="K1868" s="2">
        <v>1.173263888888889E-2</v>
      </c>
      <c r="M1868" s="4" t="str">
        <f t="shared" si="87"/>
        <v>LOW</v>
      </c>
      <c r="N1868" s="4" t="str" cm="1">
        <f t="array" ref="N1868">_xlfn.IFS(C1868&gt;35,"HIGH",C1868&gt;25,"MIDDLE",TRUE,"LOW")</f>
        <v>MIDDLE</v>
      </c>
      <c r="O1868" s="4" t="str">
        <f t="shared" si="88"/>
        <v>OTHERS</v>
      </c>
      <c r="P1868" s="4" t="str">
        <f t="shared" si="89"/>
        <v>PREMINUM MORNING</v>
      </c>
    </row>
    <row r="1869" spans="1:16" x14ac:dyDescent="0.3">
      <c r="A1869" s="4">
        <v>10</v>
      </c>
      <c r="B1869" t="s">
        <v>11</v>
      </c>
      <c r="C1869" s="4">
        <v>30.86</v>
      </c>
      <c r="D1869" t="s">
        <v>19</v>
      </c>
      <c r="E1869" t="s">
        <v>13</v>
      </c>
      <c r="F1869" s="4" t="s">
        <v>28</v>
      </c>
      <c r="G1869" s="4" t="s">
        <v>37</v>
      </c>
      <c r="H1869" s="4">
        <v>3</v>
      </c>
      <c r="I1869" s="4">
        <v>10</v>
      </c>
      <c r="J1869" s="1">
        <v>45581</v>
      </c>
      <c r="K1869" s="2">
        <v>3.1539351851851853E-2</v>
      </c>
      <c r="M1869" s="4" t="str">
        <f t="shared" si="87"/>
        <v>LOW</v>
      </c>
      <c r="N1869" s="4" t="str" cm="1">
        <f t="array" ref="N1869">_xlfn.IFS(C1869&gt;35,"HIGH",C1869&gt;25,"MIDDLE",TRUE,"LOW")</f>
        <v>MIDDLE</v>
      </c>
      <c r="O1869" s="4" t="str">
        <f t="shared" si="88"/>
        <v>OTHERS</v>
      </c>
      <c r="P1869" s="4" t="str">
        <f t="shared" si="89"/>
        <v>PREMINUM MORNING</v>
      </c>
    </row>
    <row r="1870" spans="1:16" x14ac:dyDescent="0.3">
      <c r="A1870" s="4">
        <v>11</v>
      </c>
      <c r="B1870" t="s">
        <v>11</v>
      </c>
      <c r="C1870" s="4">
        <v>25.96</v>
      </c>
      <c r="D1870" t="s">
        <v>18</v>
      </c>
      <c r="E1870" t="s">
        <v>13</v>
      </c>
      <c r="F1870" s="4" t="s">
        <v>28</v>
      </c>
      <c r="G1870" s="4" t="s">
        <v>37</v>
      </c>
      <c r="H1870" s="4">
        <v>3</v>
      </c>
      <c r="I1870" s="4">
        <v>10</v>
      </c>
      <c r="J1870" s="1">
        <v>45581</v>
      </c>
      <c r="K1870" s="2">
        <v>3.4543981481481481E-2</v>
      </c>
      <c r="M1870" s="4" t="str">
        <f t="shared" si="87"/>
        <v>LOW</v>
      </c>
      <c r="N1870" s="4" t="str" cm="1">
        <f t="array" ref="N1870">_xlfn.IFS(C1870&gt;35,"HIGH",C1870&gt;25,"MIDDLE",TRUE,"LOW")</f>
        <v>MIDDLE</v>
      </c>
      <c r="O1870" s="4" t="str">
        <f t="shared" si="88"/>
        <v>OTHERS</v>
      </c>
      <c r="P1870" s="4" t="str">
        <f t="shared" si="89"/>
        <v>PREMINUM MORNING</v>
      </c>
    </row>
    <row r="1871" spans="1:16" x14ac:dyDescent="0.3">
      <c r="A1871" s="4">
        <v>12</v>
      </c>
      <c r="B1871" t="s">
        <v>11</v>
      </c>
      <c r="C1871" s="4">
        <v>30.86</v>
      </c>
      <c r="D1871" t="s">
        <v>19</v>
      </c>
      <c r="E1871" t="s">
        <v>17</v>
      </c>
      <c r="F1871" s="4" t="s">
        <v>28</v>
      </c>
      <c r="G1871" s="4" t="s">
        <v>37</v>
      </c>
      <c r="H1871" s="4">
        <v>3</v>
      </c>
      <c r="I1871" s="4">
        <v>10</v>
      </c>
      <c r="J1871" s="1">
        <v>45581</v>
      </c>
      <c r="K1871" s="2">
        <v>2.0651620370370369E-2</v>
      </c>
      <c r="M1871" s="4" t="str">
        <f t="shared" si="87"/>
        <v>LOW</v>
      </c>
      <c r="N1871" s="4" t="str" cm="1">
        <f t="array" ref="N1871">_xlfn.IFS(C1871&gt;35,"HIGH",C1871&gt;25,"MIDDLE",TRUE,"LOW")</f>
        <v>MIDDLE</v>
      </c>
      <c r="O1871" s="4" t="str">
        <f t="shared" si="88"/>
        <v>OTHERS</v>
      </c>
      <c r="P1871" s="4" t="str">
        <f t="shared" si="89"/>
        <v>OTHERS</v>
      </c>
    </row>
    <row r="1872" spans="1:16" x14ac:dyDescent="0.3">
      <c r="A1872" s="4">
        <v>13</v>
      </c>
      <c r="B1872" t="s">
        <v>11</v>
      </c>
      <c r="C1872" s="4">
        <v>25.96</v>
      </c>
      <c r="D1872" t="s">
        <v>18</v>
      </c>
      <c r="E1872" t="s">
        <v>17</v>
      </c>
      <c r="F1872" s="4" t="s">
        <v>28</v>
      </c>
      <c r="G1872" s="4" t="s">
        <v>37</v>
      </c>
      <c r="H1872" s="4">
        <v>3</v>
      </c>
      <c r="I1872" s="4">
        <v>10</v>
      </c>
      <c r="J1872" s="1">
        <v>45581</v>
      </c>
      <c r="K1872" s="2">
        <v>1.4010416666666666E-2</v>
      </c>
      <c r="M1872" s="4" t="str">
        <f t="shared" si="87"/>
        <v>LOW</v>
      </c>
      <c r="N1872" s="4" t="str" cm="1">
        <f t="array" ref="N1872">_xlfn.IFS(C1872&gt;35,"HIGH",C1872&gt;25,"MIDDLE",TRUE,"LOW")</f>
        <v>MIDDLE</v>
      </c>
      <c r="O1872" s="4" t="str">
        <f t="shared" si="88"/>
        <v>OTHERS</v>
      </c>
      <c r="P1872" s="4" t="str">
        <f t="shared" si="89"/>
        <v>OTHERS</v>
      </c>
    </row>
    <row r="1873" spans="1:16" x14ac:dyDescent="0.3">
      <c r="A1873" s="4">
        <v>16</v>
      </c>
      <c r="B1873" t="s">
        <v>11</v>
      </c>
      <c r="C1873" s="4">
        <v>35.76</v>
      </c>
      <c r="D1873" t="s">
        <v>12</v>
      </c>
      <c r="E1873" t="s">
        <v>17</v>
      </c>
      <c r="F1873" s="4" t="s">
        <v>28</v>
      </c>
      <c r="G1873" s="4" t="s">
        <v>37</v>
      </c>
      <c r="H1873" s="4">
        <v>3</v>
      </c>
      <c r="I1873" s="4">
        <v>10</v>
      </c>
      <c r="J1873" s="1">
        <v>45581</v>
      </c>
      <c r="K1873" s="2">
        <v>3.1591435185185188E-2</v>
      </c>
      <c r="M1873" s="4" t="str">
        <f t="shared" si="87"/>
        <v>HIGH</v>
      </c>
      <c r="N1873" s="4" t="str" cm="1">
        <f t="array" ref="N1873">_xlfn.IFS(C1873&gt;35,"HIGH",C1873&gt;25,"MIDDLE",TRUE,"LOW")</f>
        <v>HIGH</v>
      </c>
      <c r="O1873" s="4" t="str">
        <f t="shared" si="88"/>
        <v>OTHERS</v>
      </c>
      <c r="P1873" s="4" t="str">
        <f t="shared" si="89"/>
        <v>PREMINUM MORNING</v>
      </c>
    </row>
    <row r="1874" spans="1:16" x14ac:dyDescent="0.3">
      <c r="A1874" s="4">
        <v>17</v>
      </c>
      <c r="B1874" t="s">
        <v>11</v>
      </c>
      <c r="C1874" s="4">
        <v>30.86</v>
      </c>
      <c r="D1874" t="s">
        <v>19</v>
      </c>
      <c r="E1874" t="s">
        <v>20</v>
      </c>
      <c r="F1874" s="4" t="s">
        <v>28</v>
      </c>
      <c r="G1874" s="4" t="s">
        <v>37</v>
      </c>
      <c r="H1874" s="4">
        <v>3</v>
      </c>
      <c r="I1874" s="4">
        <v>10</v>
      </c>
      <c r="J1874" s="1">
        <v>45581</v>
      </c>
      <c r="K1874" s="2">
        <v>3.0100694444444444E-2</v>
      </c>
      <c r="M1874" s="4" t="str">
        <f t="shared" si="87"/>
        <v>LOW</v>
      </c>
      <c r="N1874" s="4" t="str" cm="1">
        <f t="array" ref="N1874">_xlfn.IFS(C1874&gt;35,"HIGH",C1874&gt;25,"MIDDLE",TRUE,"LOW")</f>
        <v>MIDDLE</v>
      </c>
      <c r="O1874" s="4" t="str">
        <f t="shared" si="88"/>
        <v>OTHERS</v>
      </c>
      <c r="P1874" s="4" t="str">
        <f t="shared" si="89"/>
        <v>OTHERS</v>
      </c>
    </row>
    <row r="1875" spans="1:16" x14ac:dyDescent="0.3">
      <c r="A1875" s="4">
        <v>19</v>
      </c>
      <c r="B1875" t="s">
        <v>11</v>
      </c>
      <c r="C1875" s="4">
        <v>30.86</v>
      </c>
      <c r="D1875" t="s">
        <v>19</v>
      </c>
      <c r="E1875" t="s">
        <v>20</v>
      </c>
      <c r="F1875" s="4" t="s">
        <v>28</v>
      </c>
      <c r="G1875" s="4" t="s">
        <v>37</v>
      </c>
      <c r="H1875" s="4">
        <v>3</v>
      </c>
      <c r="I1875" s="4">
        <v>10</v>
      </c>
      <c r="J1875" s="1">
        <v>45581</v>
      </c>
      <c r="K1875" s="2">
        <v>2.6185185185185186E-2</v>
      </c>
      <c r="M1875" s="4" t="str">
        <f t="shared" si="87"/>
        <v>LOW</v>
      </c>
      <c r="N1875" s="4" t="str" cm="1">
        <f t="array" ref="N1875">_xlfn.IFS(C1875&gt;35,"HIGH",C1875&gt;25,"MIDDLE",TRUE,"LOW")</f>
        <v>MIDDLE</v>
      </c>
      <c r="O1875" s="4" t="str">
        <f t="shared" si="88"/>
        <v>OTHERS</v>
      </c>
      <c r="P1875" s="4" t="str">
        <f t="shared" si="89"/>
        <v>OTHERS</v>
      </c>
    </row>
    <row r="1876" spans="1:16" x14ac:dyDescent="0.3">
      <c r="A1876" s="4">
        <v>19</v>
      </c>
      <c r="B1876" t="s">
        <v>11</v>
      </c>
      <c r="C1876" s="4">
        <v>30.86</v>
      </c>
      <c r="D1876" t="s">
        <v>19</v>
      </c>
      <c r="E1876" t="s">
        <v>20</v>
      </c>
      <c r="F1876" s="4" t="s">
        <v>28</v>
      </c>
      <c r="G1876" s="4" t="s">
        <v>37</v>
      </c>
      <c r="H1876" s="4">
        <v>3</v>
      </c>
      <c r="I1876" s="4">
        <v>10</v>
      </c>
      <c r="J1876" s="1">
        <v>45581</v>
      </c>
      <c r="K1876" s="2">
        <v>2.68125E-2</v>
      </c>
      <c r="M1876" s="4" t="str">
        <f t="shared" si="87"/>
        <v>LOW</v>
      </c>
      <c r="N1876" s="4" t="str" cm="1">
        <f t="array" ref="N1876">_xlfn.IFS(C1876&gt;35,"HIGH",C1876&gt;25,"MIDDLE",TRUE,"LOW")</f>
        <v>MIDDLE</v>
      </c>
      <c r="O1876" s="4" t="str">
        <f t="shared" si="88"/>
        <v>OTHERS</v>
      </c>
      <c r="P1876" s="4" t="str">
        <f t="shared" si="89"/>
        <v>OTHERS</v>
      </c>
    </row>
    <row r="1877" spans="1:16" x14ac:dyDescent="0.3">
      <c r="A1877" s="4">
        <v>21</v>
      </c>
      <c r="B1877" t="s">
        <v>11</v>
      </c>
      <c r="C1877" s="4">
        <v>35.76</v>
      </c>
      <c r="D1877" t="s">
        <v>16</v>
      </c>
      <c r="E1877" t="s">
        <v>20</v>
      </c>
      <c r="F1877" s="4" t="s">
        <v>28</v>
      </c>
      <c r="G1877" s="4" t="s">
        <v>37</v>
      </c>
      <c r="H1877" s="4">
        <v>3</v>
      </c>
      <c r="I1877" s="4">
        <v>10</v>
      </c>
      <c r="J1877" s="1">
        <v>45581</v>
      </c>
      <c r="K1877" s="2">
        <v>1.421875E-2</v>
      </c>
      <c r="M1877" s="4" t="str">
        <f t="shared" si="87"/>
        <v>HIGH</v>
      </c>
      <c r="N1877" s="4" t="str" cm="1">
        <f t="array" ref="N1877">_xlfn.IFS(C1877&gt;35,"HIGH",C1877&gt;25,"MIDDLE",TRUE,"LOW")</f>
        <v>HIGH</v>
      </c>
      <c r="O1877" s="4" t="str">
        <f t="shared" si="88"/>
        <v>OTHERS</v>
      </c>
      <c r="P1877" s="4" t="str">
        <f t="shared" si="89"/>
        <v>PREMINUM MORNING</v>
      </c>
    </row>
    <row r="1878" spans="1:16" x14ac:dyDescent="0.3">
      <c r="A1878" s="4">
        <v>7</v>
      </c>
      <c r="B1878" t="s">
        <v>11</v>
      </c>
      <c r="C1878" s="4">
        <v>35.76</v>
      </c>
      <c r="D1878" t="s">
        <v>12</v>
      </c>
      <c r="E1878" t="s">
        <v>13</v>
      </c>
      <c r="F1878" s="4" t="s">
        <v>30</v>
      </c>
      <c r="G1878" s="4" t="s">
        <v>37</v>
      </c>
      <c r="H1878" s="4">
        <v>4</v>
      </c>
      <c r="I1878" s="4">
        <v>10</v>
      </c>
      <c r="J1878" s="1">
        <v>45582</v>
      </c>
      <c r="K1878" s="2">
        <v>3.2649305555555556E-2</v>
      </c>
      <c r="M1878" s="4" t="str">
        <f t="shared" si="87"/>
        <v>HIGH</v>
      </c>
      <c r="N1878" s="4" t="str" cm="1">
        <f t="array" ref="N1878">_xlfn.IFS(C1878&gt;35,"HIGH",C1878&gt;25,"MIDDLE",TRUE,"LOW")</f>
        <v>HIGH</v>
      </c>
      <c r="O1878" s="4" t="str">
        <f t="shared" si="88"/>
        <v>PREMINUM MORNING</v>
      </c>
      <c r="P1878" s="4" t="str">
        <f t="shared" si="89"/>
        <v>PREMINUM MORNING</v>
      </c>
    </row>
    <row r="1879" spans="1:16" x14ac:dyDescent="0.3">
      <c r="A1879" s="4">
        <v>7</v>
      </c>
      <c r="B1879" t="s">
        <v>11</v>
      </c>
      <c r="C1879" s="4">
        <v>35.76</v>
      </c>
      <c r="D1879" t="s">
        <v>12</v>
      </c>
      <c r="E1879" t="s">
        <v>13</v>
      </c>
      <c r="F1879" s="4" t="s">
        <v>30</v>
      </c>
      <c r="G1879" s="4" t="s">
        <v>37</v>
      </c>
      <c r="H1879" s="4">
        <v>4</v>
      </c>
      <c r="I1879" s="4">
        <v>10</v>
      </c>
      <c r="J1879" s="1">
        <v>45582</v>
      </c>
      <c r="K1879" s="2">
        <v>4.0356481481481486E-2</v>
      </c>
      <c r="M1879" s="4" t="str">
        <f t="shared" si="87"/>
        <v>HIGH</v>
      </c>
      <c r="N1879" s="4" t="str" cm="1">
        <f t="array" ref="N1879">_xlfn.IFS(C1879&gt;35,"HIGH",C1879&gt;25,"MIDDLE",TRUE,"LOW")</f>
        <v>HIGH</v>
      </c>
      <c r="O1879" s="4" t="str">
        <f t="shared" si="88"/>
        <v>PREMINUM MORNING</v>
      </c>
      <c r="P1879" s="4" t="str">
        <f t="shared" si="89"/>
        <v>PREMINUM MORNING</v>
      </c>
    </row>
    <row r="1880" spans="1:16" x14ac:dyDescent="0.3">
      <c r="A1880" s="4">
        <v>9</v>
      </c>
      <c r="B1880" t="s">
        <v>11</v>
      </c>
      <c r="C1880" s="4">
        <v>30.86</v>
      </c>
      <c r="D1880" t="s">
        <v>19</v>
      </c>
      <c r="E1880" t="s">
        <v>13</v>
      </c>
      <c r="F1880" s="4" t="s">
        <v>30</v>
      </c>
      <c r="G1880" s="4" t="s">
        <v>37</v>
      </c>
      <c r="H1880" s="4">
        <v>4</v>
      </c>
      <c r="I1880" s="4">
        <v>10</v>
      </c>
      <c r="J1880" s="1">
        <v>45582</v>
      </c>
      <c r="K1880" s="2">
        <v>1.6981481481481483E-2</v>
      </c>
      <c r="M1880" s="4" t="str">
        <f t="shared" si="87"/>
        <v>LOW</v>
      </c>
      <c r="N1880" s="4" t="str" cm="1">
        <f t="array" ref="N1880">_xlfn.IFS(C1880&gt;35,"HIGH",C1880&gt;25,"MIDDLE",TRUE,"LOW")</f>
        <v>MIDDLE</v>
      </c>
      <c r="O1880" s="4" t="str">
        <f t="shared" si="88"/>
        <v>OTHERS</v>
      </c>
      <c r="P1880" s="4" t="str">
        <f t="shared" si="89"/>
        <v>PREMINUM MORNING</v>
      </c>
    </row>
    <row r="1881" spans="1:16" x14ac:dyDescent="0.3">
      <c r="A1881" s="4">
        <v>10</v>
      </c>
      <c r="B1881" t="s">
        <v>11</v>
      </c>
      <c r="C1881" s="4">
        <v>35.76</v>
      </c>
      <c r="D1881" t="s">
        <v>12</v>
      </c>
      <c r="E1881" t="s">
        <v>13</v>
      </c>
      <c r="F1881" s="4" t="s">
        <v>30</v>
      </c>
      <c r="G1881" s="4" t="s">
        <v>37</v>
      </c>
      <c r="H1881" s="4">
        <v>4</v>
      </c>
      <c r="I1881" s="4">
        <v>10</v>
      </c>
      <c r="J1881" s="1">
        <v>45582</v>
      </c>
      <c r="K1881" s="2">
        <v>1.8493055555555554E-2</v>
      </c>
      <c r="M1881" s="4" t="str">
        <f t="shared" si="87"/>
        <v>HIGH</v>
      </c>
      <c r="N1881" s="4" t="str" cm="1">
        <f t="array" ref="N1881">_xlfn.IFS(C1881&gt;35,"HIGH",C1881&gt;25,"MIDDLE",TRUE,"LOW")</f>
        <v>HIGH</v>
      </c>
      <c r="O1881" s="4" t="str">
        <f t="shared" si="88"/>
        <v>PREMINUM MORNING</v>
      </c>
      <c r="P1881" s="4" t="str">
        <f t="shared" si="89"/>
        <v>PREMINUM MORNING</v>
      </c>
    </row>
    <row r="1882" spans="1:16" x14ac:dyDescent="0.3">
      <c r="A1882" s="4">
        <v>10</v>
      </c>
      <c r="B1882" t="s">
        <v>11</v>
      </c>
      <c r="C1882" s="4">
        <v>35.76</v>
      </c>
      <c r="D1882" t="s">
        <v>16</v>
      </c>
      <c r="E1882" t="s">
        <v>13</v>
      </c>
      <c r="F1882" s="4" t="s">
        <v>30</v>
      </c>
      <c r="G1882" s="4" t="s">
        <v>37</v>
      </c>
      <c r="H1882" s="4">
        <v>4</v>
      </c>
      <c r="I1882" s="4">
        <v>10</v>
      </c>
      <c r="J1882" s="1">
        <v>45582</v>
      </c>
      <c r="K1882" s="2">
        <v>3.1182870370370368E-2</v>
      </c>
      <c r="M1882" s="4" t="str">
        <f t="shared" si="87"/>
        <v>HIGH</v>
      </c>
      <c r="N1882" s="4" t="str" cm="1">
        <f t="array" ref="N1882">_xlfn.IFS(C1882&gt;35,"HIGH",C1882&gt;25,"MIDDLE",TRUE,"LOW")</f>
        <v>HIGH</v>
      </c>
      <c r="O1882" s="4" t="str">
        <f t="shared" si="88"/>
        <v>PREMINUM MORNING</v>
      </c>
      <c r="P1882" s="4" t="str">
        <f t="shared" si="89"/>
        <v>PREMINUM MORNING</v>
      </c>
    </row>
    <row r="1883" spans="1:16" x14ac:dyDescent="0.3">
      <c r="A1883" s="4">
        <v>11</v>
      </c>
      <c r="B1883" t="s">
        <v>11</v>
      </c>
      <c r="C1883" s="4">
        <v>30.86</v>
      </c>
      <c r="D1883" t="s">
        <v>19</v>
      </c>
      <c r="E1883" t="s">
        <v>13</v>
      </c>
      <c r="F1883" s="4" t="s">
        <v>30</v>
      </c>
      <c r="G1883" s="4" t="s">
        <v>37</v>
      </c>
      <c r="H1883" s="4">
        <v>4</v>
      </c>
      <c r="I1883" s="4">
        <v>10</v>
      </c>
      <c r="J1883" s="1">
        <v>45582</v>
      </c>
      <c r="K1883" s="2">
        <v>4.1283564814814815E-2</v>
      </c>
      <c r="M1883" s="4" t="str">
        <f t="shared" si="87"/>
        <v>LOW</v>
      </c>
      <c r="N1883" s="4" t="str" cm="1">
        <f t="array" ref="N1883">_xlfn.IFS(C1883&gt;35,"HIGH",C1883&gt;25,"MIDDLE",TRUE,"LOW")</f>
        <v>MIDDLE</v>
      </c>
      <c r="O1883" s="4" t="str">
        <f t="shared" si="88"/>
        <v>OTHERS</v>
      </c>
      <c r="P1883" s="4" t="str">
        <f t="shared" si="89"/>
        <v>PREMINUM MORNING</v>
      </c>
    </row>
    <row r="1884" spans="1:16" x14ac:dyDescent="0.3">
      <c r="A1884" s="4">
        <v>13</v>
      </c>
      <c r="B1884" t="s">
        <v>11</v>
      </c>
      <c r="C1884" s="4">
        <v>35.76</v>
      </c>
      <c r="D1884" t="s">
        <v>12</v>
      </c>
      <c r="E1884" t="s">
        <v>17</v>
      </c>
      <c r="F1884" s="4" t="s">
        <v>30</v>
      </c>
      <c r="G1884" s="4" t="s">
        <v>37</v>
      </c>
      <c r="H1884" s="4">
        <v>4</v>
      </c>
      <c r="I1884" s="4">
        <v>10</v>
      </c>
      <c r="J1884" s="1">
        <v>45582</v>
      </c>
      <c r="K1884" s="2">
        <v>3.9871527777777777E-2</v>
      </c>
      <c r="M1884" s="4" t="str">
        <f t="shared" si="87"/>
        <v>HIGH</v>
      </c>
      <c r="N1884" s="4" t="str" cm="1">
        <f t="array" ref="N1884">_xlfn.IFS(C1884&gt;35,"HIGH",C1884&gt;25,"MIDDLE",TRUE,"LOW")</f>
        <v>HIGH</v>
      </c>
      <c r="O1884" s="4" t="str">
        <f t="shared" si="88"/>
        <v>OTHERS</v>
      </c>
      <c r="P1884" s="4" t="str">
        <f t="shared" si="89"/>
        <v>PREMINUM MORNING</v>
      </c>
    </row>
    <row r="1885" spans="1:16" x14ac:dyDescent="0.3">
      <c r="A1885" s="4">
        <v>14</v>
      </c>
      <c r="B1885" t="s">
        <v>11</v>
      </c>
      <c r="C1885" s="4">
        <v>25.96</v>
      </c>
      <c r="D1885" t="s">
        <v>18</v>
      </c>
      <c r="E1885" t="s">
        <v>17</v>
      </c>
      <c r="F1885" s="4" t="s">
        <v>30</v>
      </c>
      <c r="G1885" s="4" t="s">
        <v>37</v>
      </c>
      <c r="H1885" s="4">
        <v>4</v>
      </c>
      <c r="I1885" s="4">
        <v>10</v>
      </c>
      <c r="J1885" s="1">
        <v>45582</v>
      </c>
      <c r="K1885" s="2">
        <v>2.4104166666666666E-2</v>
      </c>
      <c r="M1885" s="4" t="str">
        <f t="shared" si="87"/>
        <v>LOW</v>
      </c>
      <c r="N1885" s="4" t="str" cm="1">
        <f t="array" ref="N1885">_xlfn.IFS(C1885&gt;35,"HIGH",C1885&gt;25,"MIDDLE",TRUE,"LOW")</f>
        <v>MIDDLE</v>
      </c>
      <c r="O1885" s="4" t="str">
        <f t="shared" si="88"/>
        <v>OTHERS</v>
      </c>
      <c r="P1885" s="4" t="str">
        <f t="shared" si="89"/>
        <v>OTHERS</v>
      </c>
    </row>
    <row r="1886" spans="1:16" x14ac:dyDescent="0.3">
      <c r="A1886" s="4">
        <v>16</v>
      </c>
      <c r="B1886" t="s">
        <v>11</v>
      </c>
      <c r="C1886" s="4">
        <v>35.76</v>
      </c>
      <c r="D1886" t="s">
        <v>16</v>
      </c>
      <c r="E1886" t="s">
        <v>17</v>
      </c>
      <c r="F1886" s="4" t="s">
        <v>30</v>
      </c>
      <c r="G1886" s="4" t="s">
        <v>37</v>
      </c>
      <c r="H1886" s="4">
        <v>4</v>
      </c>
      <c r="I1886" s="4">
        <v>10</v>
      </c>
      <c r="J1886" s="1">
        <v>45582</v>
      </c>
      <c r="K1886" s="2">
        <v>2.5840277777777778E-2</v>
      </c>
      <c r="M1886" s="4" t="str">
        <f t="shared" si="87"/>
        <v>HIGH</v>
      </c>
      <c r="N1886" s="4" t="str" cm="1">
        <f t="array" ref="N1886">_xlfn.IFS(C1886&gt;35,"HIGH",C1886&gt;25,"MIDDLE",TRUE,"LOW")</f>
        <v>HIGH</v>
      </c>
      <c r="O1886" s="4" t="str">
        <f t="shared" si="88"/>
        <v>OTHERS</v>
      </c>
      <c r="P1886" s="4" t="str">
        <f t="shared" si="89"/>
        <v>PREMINUM MORNING</v>
      </c>
    </row>
    <row r="1887" spans="1:16" x14ac:dyDescent="0.3">
      <c r="A1887" s="4">
        <v>16</v>
      </c>
      <c r="B1887" t="s">
        <v>11</v>
      </c>
      <c r="C1887" s="4">
        <v>35.76</v>
      </c>
      <c r="D1887" t="s">
        <v>16</v>
      </c>
      <c r="E1887" t="s">
        <v>17</v>
      </c>
      <c r="F1887" s="4" t="s">
        <v>30</v>
      </c>
      <c r="G1887" s="4" t="s">
        <v>37</v>
      </c>
      <c r="H1887" s="4">
        <v>4</v>
      </c>
      <c r="I1887" s="4">
        <v>10</v>
      </c>
      <c r="J1887" s="1">
        <v>45582</v>
      </c>
      <c r="K1887" s="2">
        <v>2.6597222222222223E-2</v>
      </c>
      <c r="M1887" s="4" t="str">
        <f t="shared" si="87"/>
        <v>HIGH</v>
      </c>
      <c r="N1887" s="4" t="str" cm="1">
        <f t="array" ref="N1887">_xlfn.IFS(C1887&gt;35,"HIGH",C1887&gt;25,"MIDDLE",TRUE,"LOW")</f>
        <v>HIGH</v>
      </c>
      <c r="O1887" s="4" t="str">
        <f t="shared" si="88"/>
        <v>OTHERS</v>
      </c>
      <c r="P1887" s="4" t="str">
        <f t="shared" si="89"/>
        <v>PREMINUM MORNING</v>
      </c>
    </row>
    <row r="1888" spans="1:16" x14ac:dyDescent="0.3">
      <c r="A1888" s="4">
        <v>16</v>
      </c>
      <c r="B1888" t="s">
        <v>11</v>
      </c>
      <c r="C1888" s="4">
        <v>35.76</v>
      </c>
      <c r="D1888" t="s">
        <v>12</v>
      </c>
      <c r="E1888" t="s">
        <v>17</v>
      </c>
      <c r="F1888" s="4" t="s">
        <v>30</v>
      </c>
      <c r="G1888" s="4" t="s">
        <v>37</v>
      </c>
      <c r="H1888" s="4">
        <v>4</v>
      </c>
      <c r="I1888" s="4">
        <v>10</v>
      </c>
      <c r="J1888" s="1">
        <v>45582</v>
      </c>
      <c r="K1888" s="2">
        <v>2.7194444444444445E-2</v>
      </c>
      <c r="M1888" s="4" t="str">
        <f t="shared" si="87"/>
        <v>HIGH</v>
      </c>
      <c r="N1888" s="4" t="str" cm="1">
        <f t="array" ref="N1888">_xlfn.IFS(C1888&gt;35,"HIGH",C1888&gt;25,"MIDDLE",TRUE,"LOW")</f>
        <v>HIGH</v>
      </c>
      <c r="O1888" s="4" t="str">
        <f t="shared" si="88"/>
        <v>OTHERS</v>
      </c>
      <c r="P1888" s="4" t="str">
        <f t="shared" si="89"/>
        <v>PREMINUM MORNING</v>
      </c>
    </row>
    <row r="1889" spans="1:16" x14ac:dyDescent="0.3">
      <c r="A1889" s="4">
        <v>16</v>
      </c>
      <c r="B1889" t="s">
        <v>11</v>
      </c>
      <c r="C1889" s="4">
        <v>35.76</v>
      </c>
      <c r="D1889" t="s">
        <v>16</v>
      </c>
      <c r="E1889" t="s">
        <v>17</v>
      </c>
      <c r="F1889" s="4" t="s">
        <v>30</v>
      </c>
      <c r="G1889" s="4" t="s">
        <v>37</v>
      </c>
      <c r="H1889" s="4">
        <v>4</v>
      </c>
      <c r="I1889" s="4">
        <v>10</v>
      </c>
      <c r="J1889" s="1">
        <v>45582</v>
      </c>
      <c r="K1889" s="2">
        <v>3.3748842592592594E-2</v>
      </c>
      <c r="M1889" s="4" t="str">
        <f t="shared" si="87"/>
        <v>HIGH</v>
      </c>
      <c r="N1889" s="4" t="str" cm="1">
        <f t="array" ref="N1889">_xlfn.IFS(C1889&gt;35,"HIGH",C1889&gt;25,"MIDDLE",TRUE,"LOW")</f>
        <v>HIGH</v>
      </c>
      <c r="O1889" s="4" t="str">
        <f t="shared" si="88"/>
        <v>OTHERS</v>
      </c>
      <c r="P1889" s="4" t="str">
        <f t="shared" si="89"/>
        <v>PREMINUM MORNING</v>
      </c>
    </row>
    <row r="1890" spans="1:16" x14ac:dyDescent="0.3">
      <c r="A1890" s="4">
        <v>16</v>
      </c>
      <c r="B1890" t="s">
        <v>11</v>
      </c>
      <c r="C1890" s="4">
        <v>35.76</v>
      </c>
      <c r="D1890" t="s">
        <v>16</v>
      </c>
      <c r="E1890" t="s">
        <v>17</v>
      </c>
      <c r="F1890" s="4" t="s">
        <v>30</v>
      </c>
      <c r="G1890" s="4" t="s">
        <v>37</v>
      </c>
      <c r="H1890" s="4">
        <v>4</v>
      </c>
      <c r="I1890" s="4">
        <v>10</v>
      </c>
      <c r="J1890" s="1">
        <v>45582</v>
      </c>
      <c r="K1890" s="2">
        <v>3.4412037037037033E-2</v>
      </c>
      <c r="M1890" s="4" t="str">
        <f t="shared" si="87"/>
        <v>HIGH</v>
      </c>
      <c r="N1890" s="4" t="str" cm="1">
        <f t="array" ref="N1890">_xlfn.IFS(C1890&gt;35,"HIGH",C1890&gt;25,"MIDDLE",TRUE,"LOW")</f>
        <v>HIGH</v>
      </c>
      <c r="O1890" s="4" t="str">
        <f t="shared" si="88"/>
        <v>OTHERS</v>
      </c>
      <c r="P1890" s="4" t="str">
        <f t="shared" si="89"/>
        <v>PREMINUM MORNING</v>
      </c>
    </row>
    <row r="1891" spans="1:16" x14ac:dyDescent="0.3">
      <c r="A1891" s="4">
        <v>17</v>
      </c>
      <c r="B1891" t="s">
        <v>11</v>
      </c>
      <c r="C1891" s="4">
        <v>35.76</v>
      </c>
      <c r="D1891" t="s">
        <v>29</v>
      </c>
      <c r="E1891" t="s">
        <v>20</v>
      </c>
      <c r="F1891" s="4" t="s">
        <v>30</v>
      </c>
      <c r="G1891" s="4" t="s">
        <v>37</v>
      </c>
      <c r="H1891" s="4">
        <v>4</v>
      </c>
      <c r="I1891" s="4">
        <v>10</v>
      </c>
      <c r="J1891" s="1">
        <v>45582</v>
      </c>
      <c r="K1891" s="2">
        <v>5.8773148148148152E-3</v>
      </c>
      <c r="M1891" s="4" t="str">
        <f t="shared" si="87"/>
        <v>HIGH</v>
      </c>
      <c r="N1891" s="4" t="str" cm="1">
        <f t="array" ref="N1891">_xlfn.IFS(C1891&gt;35,"HIGH",C1891&gt;25,"MIDDLE",TRUE,"LOW")</f>
        <v>HIGH</v>
      </c>
      <c r="O1891" s="4" t="str">
        <f t="shared" si="88"/>
        <v>OTHERS</v>
      </c>
      <c r="P1891" s="4" t="str">
        <f t="shared" si="89"/>
        <v>PREMINUM MORNING</v>
      </c>
    </row>
    <row r="1892" spans="1:16" x14ac:dyDescent="0.3">
      <c r="A1892" s="4">
        <v>17</v>
      </c>
      <c r="B1892" t="s">
        <v>11</v>
      </c>
      <c r="C1892" s="4">
        <v>35.76</v>
      </c>
      <c r="D1892" t="s">
        <v>16</v>
      </c>
      <c r="E1892" t="s">
        <v>20</v>
      </c>
      <c r="F1892" s="4" t="s">
        <v>30</v>
      </c>
      <c r="G1892" s="4" t="s">
        <v>37</v>
      </c>
      <c r="H1892" s="4">
        <v>4</v>
      </c>
      <c r="I1892" s="4">
        <v>10</v>
      </c>
      <c r="J1892" s="1">
        <v>45582</v>
      </c>
      <c r="K1892" s="2">
        <v>6.6006944444444438E-3</v>
      </c>
      <c r="M1892" s="4" t="str">
        <f t="shared" si="87"/>
        <v>HIGH</v>
      </c>
      <c r="N1892" s="4" t="str" cm="1">
        <f t="array" ref="N1892">_xlfn.IFS(C1892&gt;35,"HIGH",C1892&gt;25,"MIDDLE",TRUE,"LOW")</f>
        <v>HIGH</v>
      </c>
      <c r="O1892" s="4" t="str">
        <f t="shared" si="88"/>
        <v>OTHERS</v>
      </c>
      <c r="P1892" s="4" t="str">
        <f t="shared" si="89"/>
        <v>PREMINUM MORNING</v>
      </c>
    </row>
    <row r="1893" spans="1:16" x14ac:dyDescent="0.3">
      <c r="A1893" s="4">
        <v>19</v>
      </c>
      <c r="B1893" t="s">
        <v>11</v>
      </c>
      <c r="C1893" s="4">
        <v>35.76</v>
      </c>
      <c r="D1893" t="s">
        <v>12</v>
      </c>
      <c r="E1893" t="s">
        <v>20</v>
      </c>
      <c r="F1893" s="4" t="s">
        <v>30</v>
      </c>
      <c r="G1893" s="4" t="s">
        <v>37</v>
      </c>
      <c r="H1893" s="4">
        <v>4</v>
      </c>
      <c r="I1893" s="4">
        <v>10</v>
      </c>
      <c r="J1893" s="1">
        <v>45582</v>
      </c>
      <c r="K1893" s="2">
        <v>3.0002314814814812E-2</v>
      </c>
      <c r="M1893" s="4" t="str">
        <f t="shared" si="87"/>
        <v>HIGH</v>
      </c>
      <c r="N1893" s="4" t="str" cm="1">
        <f t="array" ref="N1893">_xlfn.IFS(C1893&gt;35,"HIGH",C1893&gt;25,"MIDDLE",TRUE,"LOW")</f>
        <v>HIGH</v>
      </c>
      <c r="O1893" s="4" t="str">
        <f t="shared" si="88"/>
        <v>OTHERS</v>
      </c>
      <c r="P1893" s="4" t="str">
        <f t="shared" si="89"/>
        <v>PREMINUM MORNING</v>
      </c>
    </row>
    <row r="1894" spans="1:16" x14ac:dyDescent="0.3">
      <c r="A1894" s="4">
        <v>20</v>
      </c>
      <c r="B1894" t="s">
        <v>11</v>
      </c>
      <c r="C1894" s="4">
        <v>30.86</v>
      </c>
      <c r="D1894" t="s">
        <v>19</v>
      </c>
      <c r="E1894" t="s">
        <v>20</v>
      </c>
      <c r="F1894" s="4" t="s">
        <v>30</v>
      </c>
      <c r="G1894" s="4" t="s">
        <v>37</v>
      </c>
      <c r="H1894" s="4">
        <v>4</v>
      </c>
      <c r="I1894" s="4">
        <v>10</v>
      </c>
      <c r="J1894" s="1">
        <v>45582</v>
      </c>
      <c r="K1894" s="2">
        <v>8.0601851851851841E-3</v>
      </c>
      <c r="M1894" s="4" t="str">
        <f t="shared" si="87"/>
        <v>LOW</v>
      </c>
      <c r="N1894" s="4" t="str" cm="1">
        <f t="array" ref="N1894">_xlfn.IFS(C1894&gt;35,"HIGH",C1894&gt;25,"MIDDLE",TRUE,"LOW")</f>
        <v>MIDDLE</v>
      </c>
      <c r="O1894" s="4" t="str">
        <f t="shared" si="88"/>
        <v>OTHERS</v>
      </c>
      <c r="P1894" s="4" t="str">
        <f t="shared" si="89"/>
        <v>OTHERS</v>
      </c>
    </row>
    <row r="1895" spans="1:16" x14ac:dyDescent="0.3">
      <c r="A1895" s="4">
        <v>21</v>
      </c>
      <c r="B1895" t="s">
        <v>11</v>
      </c>
      <c r="C1895" s="4">
        <v>35.76</v>
      </c>
      <c r="D1895" t="s">
        <v>12</v>
      </c>
      <c r="E1895" t="s">
        <v>20</v>
      </c>
      <c r="F1895" s="4" t="s">
        <v>30</v>
      </c>
      <c r="G1895" s="4" t="s">
        <v>37</v>
      </c>
      <c r="H1895" s="4">
        <v>4</v>
      </c>
      <c r="I1895" s="4">
        <v>10</v>
      </c>
      <c r="J1895" s="1">
        <v>45582</v>
      </c>
      <c r="K1895" s="2">
        <v>3.2093750000000004E-2</v>
      </c>
      <c r="M1895" s="4" t="str">
        <f t="shared" si="87"/>
        <v>HIGH</v>
      </c>
      <c r="N1895" s="4" t="str" cm="1">
        <f t="array" ref="N1895">_xlfn.IFS(C1895&gt;35,"HIGH",C1895&gt;25,"MIDDLE",TRUE,"LOW")</f>
        <v>HIGH</v>
      </c>
      <c r="O1895" s="4" t="str">
        <f t="shared" si="88"/>
        <v>OTHERS</v>
      </c>
      <c r="P1895" s="4" t="str">
        <f t="shared" si="89"/>
        <v>PREMINUM MORNING</v>
      </c>
    </row>
    <row r="1896" spans="1:16" x14ac:dyDescent="0.3">
      <c r="A1896" s="4">
        <v>21</v>
      </c>
      <c r="B1896" t="s">
        <v>11</v>
      </c>
      <c r="C1896" s="4">
        <v>35.76</v>
      </c>
      <c r="D1896" t="s">
        <v>12</v>
      </c>
      <c r="E1896" t="s">
        <v>20</v>
      </c>
      <c r="F1896" s="4" t="s">
        <v>30</v>
      </c>
      <c r="G1896" s="4" t="s">
        <v>37</v>
      </c>
      <c r="H1896" s="4">
        <v>4</v>
      </c>
      <c r="I1896" s="4">
        <v>10</v>
      </c>
      <c r="J1896" s="1">
        <v>45582</v>
      </c>
      <c r="K1896" s="2">
        <v>3.2876157407407409E-2</v>
      </c>
      <c r="M1896" s="4" t="str">
        <f t="shared" si="87"/>
        <v>HIGH</v>
      </c>
      <c r="N1896" s="4" t="str" cm="1">
        <f t="array" ref="N1896">_xlfn.IFS(C1896&gt;35,"HIGH",C1896&gt;25,"MIDDLE",TRUE,"LOW")</f>
        <v>HIGH</v>
      </c>
      <c r="O1896" s="4" t="str">
        <f t="shared" si="88"/>
        <v>OTHERS</v>
      </c>
      <c r="P1896" s="4" t="str">
        <f t="shared" si="89"/>
        <v>PREMINUM MORNING</v>
      </c>
    </row>
    <row r="1897" spans="1:16" x14ac:dyDescent="0.3">
      <c r="A1897" s="4">
        <v>21</v>
      </c>
      <c r="B1897" t="s">
        <v>11</v>
      </c>
      <c r="C1897" s="4">
        <v>35.76</v>
      </c>
      <c r="D1897" t="s">
        <v>12</v>
      </c>
      <c r="E1897" t="s">
        <v>20</v>
      </c>
      <c r="F1897" s="4" t="s">
        <v>30</v>
      </c>
      <c r="G1897" s="4" t="s">
        <v>37</v>
      </c>
      <c r="H1897" s="4">
        <v>4</v>
      </c>
      <c r="I1897" s="4">
        <v>10</v>
      </c>
      <c r="J1897" s="1">
        <v>45582</v>
      </c>
      <c r="K1897" s="2">
        <v>3.3700231481481477E-2</v>
      </c>
      <c r="M1897" s="4" t="str">
        <f t="shared" si="87"/>
        <v>HIGH</v>
      </c>
      <c r="N1897" s="4" t="str" cm="1">
        <f t="array" ref="N1897">_xlfn.IFS(C1897&gt;35,"HIGH",C1897&gt;25,"MIDDLE",TRUE,"LOW")</f>
        <v>HIGH</v>
      </c>
      <c r="O1897" s="4" t="str">
        <f t="shared" si="88"/>
        <v>OTHERS</v>
      </c>
      <c r="P1897" s="4" t="str">
        <f t="shared" si="89"/>
        <v>PREMINUM MORNING</v>
      </c>
    </row>
    <row r="1898" spans="1:16" x14ac:dyDescent="0.3">
      <c r="A1898" s="4">
        <v>21</v>
      </c>
      <c r="B1898" t="s">
        <v>11</v>
      </c>
      <c r="C1898" s="4">
        <v>35.76</v>
      </c>
      <c r="D1898" t="s">
        <v>16</v>
      </c>
      <c r="E1898" t="s">
        <v>20</v>
      </c>
      <c r="F1898" s="4" t="s">
        <v>30</v>
      </c>
      <c r="G1898" s="4" t="s">
        <v>37</v>
      </c>
      <c r="H1898" s="4">
        <v>4</v>
      </c>
      <c r="I1898" s="4">
        <v>10</v>
      </c>
      <c r="J1898" s="1">
        <v>45582</v>
      </c>
      <c r="K1898" s="2">
        <v>3.4659722222222224E-2</v>
      </c>
      <c r="M1898" s="4" t="str">
        <f t="shared" si="87"/>
        <v>HIGH</v>
      </c>
      <c r="N1898" s="4" t="str" cm="1">
        <f t="array" ref="N1898">_xlfn.IFS(C1898&gt;35,"HIGH",C1898&gt;25,"MIDDLE",TRUE,"LOW")</f>
        <v>HIGH</v>
      </c>
      <c r="O1898" s="4" t="str">
        <f t="shared" si="88"/>
        <v>OTHERS</v>
      </c>
      <c r="P1898" s="4" t="str">
        <f t="shared" si="89"/>
        <v>PREMINUM MORNING</v>
      </c>
    </row>
    <row r="1899" spans="1:16" x14ac:dyDescent="0.3">
      <c r="A1899" s="4">
        <v>8</v>
      </c>
      <c r="B1899" t="s">
        <v>11</v>
      </c>
      <c r="C1899" s="4">
        <v>35.76</v>
      </c>
      <c r="D1899" t="s">
        <v>21</v>
      </c>
      <c r="E1899" t="s">
        <v>13</v>
      </c>
      <c r="F1899" s="4" t="s">
        <v>14</v>
      </c>
      <c r="G1899" s="4" t="s">
        <v>37</v>
      </c>
      <c r="H1899" s="4">
        <v>5</v>
      </c>
      <c r="I1899" s="4">
        <v>10</v>
      </c>
      <c r="J1899" s="1">
        <v>45583</v>
      </c>
      <c r="K1899" s="2">
        <v>2.916087962962963E-2</v>
      </c>
      <c r="M1899" s="4" t="str">
        <f t="shared" si="87"/>
        <v>HIGH</v>
      </c>
      <c r="N1899" s="4" t="str" cm="1">
        <f t="array" ref="N1899">_xlfn.IFS(C1899&gt;35,"HIGH",C1899&gt;25,"MIDDLE",TRUE,"LOW")</f>
        <v>HIGH</v>
      </c>
      <c r="O1899" s="4" t="str">
        <f t="shared" si="88"/>
        <v>PREMINUM MORNING</v>
      </c>
      <c r="P1899" s="4" t="str">
        <f t="shared" si="89"/>
        <v>PREMINUM MORNING</v>
      </c>
    </row>
    <row r="1900" spans="1:16" x14ac:dyDescent="0.3">
      <c r="A1900" s="4">
        <v>8</v>
      </c>
      <c r="B1900" t="s">
        <v>11</v>
      </c>
      <c r="C1900" s="4">
        <v>35.76</v>
      </c>
      <c r="D1900" t="s">
        <v>21</v>
      </c>
      <c r="E1900" t="s">
        <v>13</v>
      </c>
      <c r="F1900" s="4" t="s">
        <v>14</v>
      </c>
      <c r="G1900" s="4" t="s">
        <v>37</v>
      </c>
      <c r="H1900" s="4">
        <v>5</v>
      </c>
      <c r="I1900" s="4">
        <v>10</v>
      </c>
      <c r="J1900" s="1">
        <v>45583</v>
      </c>
      <c r="K1900" s="2">
        <v>2.9851851851851848E-2</v>
      </c>
      <c r="M1900" s="4" t="str">
        <f t="shared" si="87"/>
        <v>HIGH</v>
      </c>
      <c r="N1900" s="4" t="str" cm="1">
        <f t="array" ref="N1900">_xlfn.IFS(C1900&gt;35,"HIGH",C1900&gt;25,"MIDDLE",TRUE,"LOW")</f>
        <v>HIGH</v>
      </c>
      <c r="O1900" s="4" t="str">
        <f t="shared" si="88"/>
        <v>PREMINUM MORNING</v>
      </c>
      <c r="P1900" s="4" t="str">
        <f t="shared" si="89"/>
        <v>PREMINUM MORNING</v>
      </c>
    </row>
    <row r="1901" spans="1:16" x14ac:dyDescent="0.3">
      <c r="A1901" s="4">
        <v>9</v>
      </c>
      <c r="B1901" t="s">
        <v>11</v>
      </c>
      <c r="C1901" s="4">
        <v>35.76</v>
      </c>
      <c r="D1901" t="s">
        <v>21</v>
      </c>
      <c r="E1901" t="s">
        <v>13</v>
      </c>
      <c r="F1901" s="4" t="s">
        <v>14</v>
      </c>
      <c r="G1901" s="4" t="s">
        <v>37</v>
      </c>
      <c r="H1901" s="4">
        <v>5</v>
      </c>
      <c r="I1901" s="4">
        <v>10</v>
      </c>
      <c r="J1901" s="1">
        <v>45583</v>
      </c>
      <c r="K1901" s="2">
        <v>2.2702546296296297E-2</v>
      </c>
      <c r="M1901" s="4" t="str">
        <f t="shared" si="87"/>
        <v>HIGH</v>
      </c>
      <c r="N1901" s="4" t="str" cm="1">
        <f t="array" ref="N1901">_xlfn.IFS(C1901&gt;35,"HIGH",C1901&gt;25,"MIDDLE",TRUE,"LOW")</f>
        <v>HIGH</v>
      </c>
      <c r="O1901" s="4" t="str">
        <f t="shared" si="88"/>
        <v>PREMINUM MORNING</v>
      </c>
      <c r="P1901" s="4" t="str">
        <f t="shared" si="89"/>
        <v>PREMINUM MORNING</v>
      </c>
    </row>
    <row r="1902" spans="1:16" x14ac:dyDescent="0.3">
      <c r="A1902" s="4">
        <v>9</v>
      </c>
      <c r="B1902" t="s">
        <v>11</v>
      </c>
      <c r="C1902" s="4">
        <v>35.76</v>
      </c>
      <c r="D1902" t="s">
        <v>21</v>
      </c>
      <c r="E1902" t="s">
        <v>13</v>
      </c>
      <c r="F1902" s="4" t="s">
        <v>14</v>
      </c>
      <c r="G1902" s="4" t="s">
        <v>37</v>
      </c>
      <c r="H1902" s="4">
        <v>5</v>
      </c>
      <c r="I1902" s="4">
        <v>10</v>
      </c>
      <c r="J1902" s="1">
        <v>45583</v>
      </c>
      <c r="K1902" s="2">
        <v>2.3703703703703703E-2</v>
      </c>
      <c r="M1902" s="4" t="str">
        <f t="shared" si="87"/>
        <v>HIGH</v>
      </c>
      <c r="N1902" s="4" t="str" cm="1">
        <f t="array" ref="N1902">_xlfn.IFS(C1902&gt;35,"HIGH",C1902&gt;25,"MIDDLE",TRUE,"LOW")</f>
        <v>HIGH</v>
      </c>
      <c r="O1902" s="4" t="str">
        <f t="shared" si="88"/>
        <v>PREMINUM MORNING</v>
      </c>
      <c r="P1902" s="4" t="str">
        <f t="shared" si="89"/>
        <v>PREMINUM MORNING</v>
      </c>
    </row>
    <row r="1903" spans="1:16" x14ac:dyDescent="0.3">
      <c r="A1903" s="4">
        <v>9</v>
      </c>
      <c r="B1903" t="s">
        <v>11</v>
      </c>
      <c r="C1903" s="4">
        <v>35.76</v>
      </c>
      <c r="D1903" t="s">
        <v>29</v>
      </c>
      <c r="E1903" t="s">
        <v>13</v>
      </c>
      <c r="F1903" s="4" t="s">
        <v>14</v>
      </c>
      <c r="G1903" s="4" t="s">
        <v>37</v>
      </c>
      <c r="H1903" s="4">
        <v>5</v>
      </c>
      <c r="I1903" s="4">
        <v>10</v>
      </c>
      <c r="J1903" s="1">
        <v>45583</v>
      </c>
      <c r="K1903" s="2">
        <v>3.8428240740740742E-2</v>
      </c>
      <c r="M1903" s="4" t="str">
        <f t="shared" si="87"/>
        <v>HIGH</v>
      </c>
      <c r="N1903" s="4" t="str" cm="1">
        <f t="array" ref="N1903">_xlfn.IFS(C1903&gt;35,"HIGH",C1903&gt;25,"MIDDLE",TRUE,"LOW")</f>
        <v>HIGH</v>
      </c>
      <c r="O1903" s="4" t="str">
        <f t="shared" si="88"/>
        <v>PREMINUM MORNING</v>
      </c>
      <c r="P1903" s="4" t="str">
        <f t="shared" si="89"/>
        <v>PREMINUM MORNING</v>
      </c>
    </row>
    <row r="1904" spans="1:16" x14ac:dyDescent="0.3">
      <c r="A1904" s="4">
        <v>11</v>
      </c>
      <c r="B1904" t="s">
        <v>11</v>
      </c>
      <c r="C1904" s="4">
        <v>35.76</v>
      </c>
      <c r="D1904" t="s">
        <v>29</v>
      </c>
      <c r="E1904" t="s">
        <v>13</v>
      </c>
      <c r="F1904" s="4" t="s">
        <v>14</v>
      </c>
      <c r="G1904" s="4" t="s">
        <v>37</v>
      </c>
      <c r="H1904" s="4">
        <v>5</v>
      </c>
      <c r="I1904" s="4">
        <v>10</v>
      </c>
      <c r="J1904" s="1">
        <v>45583</v>
      </c>
      <c r="K1904" s="2">
        <v>3.8180555555555558E-2</v>
      </c>
      <c r="M1904" s="4" t="str">
        <f t="shared" si="87"/>
        <v>HIGH</v>
      </c>
      <c r="N1904" s="4" t="str" cm="1">
        <f t="array" ref="N1904">_xlfn.IFS(C1904&gt;35,"HIGH",C1904&gt;25,"MIDDLE",TRUE,"LOW")</f>
        <v>HIGH</v>
      </c>
      <c r="O1904" s="4" t="str">
        <f t="shared" si="88"/>
        <v>PREMINUM MORNING</v>
      </c>
      <c r="P1904" s="4" t="str">
        <f t="shared" si="89"/>
        <v>PREMINUM MORNING</v>
      </c>
    </row>
    <row r="1905" spans="1:16" x14ac:dyDescent="0.3">
      <c r="A1905" s="4">
        <v>14</v>
      </c>
      <c r="B1905" t="s">
        <v>11</v>
      </c>
      <c r="C1905" s="4">
        <v>35.76</v>
      </c>
      <c r="D1905" t="s">
        <v>12</v>
      </c>
      <c r="E1905" t="s">
        <v>17</v>
      </c>
      <c r="F1905" s="4" t="s">
        <v>14</v>
      </c>
      <c r="G1905" s="4" t="s">
        <v>37</v>
      </c>
      <c r="H1905" s="4">
        <v>5</v>
      </c>
      <c r="I1905" s="4">
        <v>10</v>
      </c>
      <c r="J1905" s="1">
        <v>45583</v>
      </c>
      <c r="K1905" s="2">
        <v>3.5464120370370368E-2</v>
      </c>
      <c r="M1905" s="4" t="str">
        <f t="shared" si="87"/>
        <v>HIGH</v>
      </c>
      <c r="N1905" s="4" t="str" cm="1">
        <f t="array" ref="N1905">_xlfn.IFS(C1905&gt;35,"HIGH",C1905&gt;25,"MIDDLE",TRUE,"LOW")</f>
        <v>HIGH</v>
      </c>
      <c r="O1905" s="4" t="str">
        <f t="shared" si="88"/>
        <v>OTHERS</v>
      </c>
      <c r="P1905" s="4" t="str">
        <f t="shared" si="89"/>
        <v>PREMINUM MORNING</v>
      </c>
    </row>
    <row r="1906" spans="1:16" x14ac:dyDescent="0.3">
      <c r="A1906" s="4">
        <v>14</v>
      </c>
      <c r="B1906" t="s">
        <v>11</v>
      </c>
      <c r="C1906" s="4">
        <v>35.76</v>
      </c>
      <c r="D1906" t="s">
        <v>29</v>
      </c>
      <c r="E1906" t="s">
        <v>17</v>
      </c>
      <c r="F1906" s="4" t="s">
        <v>14</v>
      </c>
      <c r="G1906" s="4" t="s">
        <v>37</v>
      </c>
      <c r="H1906" s="4">
        <v>5</v>
      </c>
      <c r="I1906" s="4">
        <v>10</v>
      </c>
      <c r="J1906" s="1">
        <v>45583</v>
      </c>
      <c r="K1906" s="2">
        <v>3.6288194444444449E-2</v>
      </c>
      <c r="M1906" s="4" t="str">
        <f t="shared" si="87"/>
        <v>HIGH</v>
      </c>
      <c r="N1906" s="4" t="str" cm="1">
        <f t="array" ref="N1906">_xlfn.IFS(C1906&gt;35,"HIGH",C1906&gt;25,"MIDDLE",TRUE,"LOW")</f>
        <v>HIGH</v>
      </c>
      <c r="O1906" s="4" t="str">
        <f t="shared" si="88"/>
        <v>OTHERS</v>
      </c>
      <c r="P1906" s="4" t="str">
        <f t="shared" si="89"/>
        <v>PREMINUM MORNING</v>
      </c>
    </row>
    <row r="1907" spans="1:16" x14ac:dyDescent="0.3">
      <c r="A1907" s="4">
        <v>15</v>
      </c>
      <c r="B1907" t="s">
        <v>11</v>
      </c>
      <c r="C1907" s="4">
        <v>25.96</v>
      </c>
      <c r="D1907" t="s">
        <v>18</v>
      </c>
      <c r="E1907" t="s">
        <v>17</v>
      </c>
      <c r="F1907" s="4" t="s">
        <v>14</v>
      </c>
      <c r="G1907" s="4" t="s">
        <v>37</v>
      </c>
      <c r="H1907" s="4">
        <v>5</v>
      </c>
      <c r="I1907" s="4">
        <v>10</v>
      </c>
      <c r="J1907" s="1">
        <v>45583</v>
      </c>
      <c r="K1907" s="2">
        <v>2.7314814814814816E-2</v>
      </c>
      <c r="M1907" s="4" t="str">
        <f t="shared" si="87"/>
        <v>LOW</v>
      </c>
      <c r="N1907" s="4" t="str" cm="1">
        <f t="array" ref="N1907">_xlfn.IFS(C1907&gt;35,"HIGH",C1907&gt;25,"MIDDLE",TRUE,"LOW")</f>
        <v>MIDDLE</v>
      </c>
      <c r="O1907" s="4" t="str">
        <f t="shared" si="88"/>
        <v>OTHERS</v>
      </c>
      <c r="P1907" s="4" t="str">
        <f t="shared" si="89"/>
        <v>OTHERS</v>
      </c>
    </row>
    <row r="1908" spans="1:16" x14ac:dyDescent="0.3">
      <c r="A1908" s="4">
        <v>16</v>
      </c>
      <c r="B1908" t="s">
        <v>11</v>
      </c>
      <c r="C1908" s="4">
        <v>35.76</v>
      </c>
      <c r="D1908" t="s">
        <v>12</v>
      </c>
      <c r="E1908" t="s">
        <v>17</v>
      </c>
      <c r="F1908" s="4" t="s">
        <v>14</v>
      </c>
      <c r="G1908" s="4" t="s">
        <v>37</v>
      </c>
      <c r="H1908" s="4">
        <v>5</v>
      </c>
      <c r="I1908" s="4">
        <v>10</v>
      </c>
      <c r="J1908" s="1">
        <v>45583</v>
      </c>
      <c r="K1908" s="2">
        <v>6.9201388888888889E-3</v>
      </c>
      <c r="M1908" s="4" t="str">
        <f t="shared" si="87"/>
        <v>HIGH</v>
      </c>
      <c r="N1908" s="4" t="str" cm="1">
        <f t="array" ref="N1908">_xlfn.IFS(C1908&gt;35,"HIGH",C1908&gt;25,"MIDDLE",TRUE,"LOW")</f>
        <v>HIGH</v>
      </c>
      <c r="O1908" s="4" t="str">
        <f t="shared" si="88"/>
        <v>OTHERS</v>
      </c>
      <c r="P1908" s="4" t="str">
        <f t="shared" si="89"/>
        <v>PREMINUM MORNING</v>
      </c>
    </row>
    <row r="1909" spans="1:16" x14ac:dyDescent="0.3">
      <c r="A1909" s="4">
        <v>17</v>
      </c>
      <c r="B1909" t="s">
        <v>11</v>
      </c>
      <c r="C1909" s="4">
        <v>35.76</v>
      </c>
      <c r="D1909" t="s">
        <v>16</v>
      </c>
      <c r="E1909" t="s">
        <v>20</v>
      </c>
      <c r="F1909" s="4" t="s">
        <v>14</v>
      </c>
      <c r="G1909" s="4" t="s">
        <v>37</v>
      </c>
      <c r="H1909" s="4">
        <v>5</v>
      </c>
      <c r="I1909" s="4">
        <v>10</v>
      </c>
      <c r="J1909" s="1">
        <v>45583</v>
      </c>
      <c r="K1909" s="2">
        <v>3.170138888888889E-2</v>
      </c>
      <c r="M1909" s="4" t="str">
        <f t="shared" si="87"/>
        <v>HIGH</v>
      </c>
      <c r="N1909" s="4" t="str" cm="1">
        <f t="array" ref="N1909">_xlfn.IFS(C1909&gt;35,"HIGH",C1909&gt;25,"MIDDLE",TRUE,"LOW")</f>
        <v>HIGH</v>
      </c>
      <c r="O1909" s="4" t="str">
        <f t="shared" si="88"/>
        <v>OTHERS</v>
      </c>
      <c r="P1909" s="4" t="str">
        <f t="shared" si="89"/>
        <v>PREMINUM MORNING</v>
      </c>
    </row>
    <row r="1910" spans="1:16" x14ac:dyDescent="0.3">
      <c r="A1910" s="4">
        <v>21</v>
      </c>
      <c r="B1910" t="s">
        <v>11</v>
      </c>
      <c r="C1910" s="4">
        <v>35.76</v>
      </c>
      <c r="D1910" t="s">
        <v>21</v>
      </c>
      <c r="E1910" t="s">
        <v>20</v>
      </c>
      <c r="F1910" s="4" t="s">
        <v>14</v>
      </c>
      <c r="G1910" s="4" t="s">
        <v>37</v>
      </c>
      <c r="H1910" s="4">
        <v>5</v>
      </c>
      <c r="I1910" s="4">
        <v>10</v>
      </c>
      <c r="J1910" s="1">
        <v>45583</v>
      </c>
      <c r="K1910" s="2">
        <v>1.01875E-2</v>
      </c>
      <c r="M1910" s="4" t="str">
        <f t="shared" si="87"/>
        <v>HIGH</v>
      </c>
      <c r="N1910" s="4" t="str" cm="1">
        <f t="array" ref="N1910">_xlfn.IFS(C1910&gt;35,"HIGH",C1910&gt;25,"MIDDLE",TRUE,"LOW")</f>
        <v>HIGH</v>
      </c>
      <c r="O1910" s="4" t="str">
        <f t="shared" si="88"/>
        <v>OTHERS</v>
      </c>
      <c r="P1910" s="4" t="str">
        <f t="shared" si="89"/>
        <v>PREMINUM MORNING</v>
      </c>
    </row>
    <row r="1911" spans="1:16" x14ac:dyDescent="0.3">
      <c r="A1911" s="4">
        <v>21</v>
      </c>
      <c r="B1911" t="s">
        <v>11</v>
      </c>
      <c r="C1911" s="4">
        <v>35.76</v>
      </c>
      <c r="D1911" t="s">
        <v>21</v>
      </c>
      <c r="E1911" t="s">
        <v>20</v>
      </c>
      <c r="F1911" s="4" t="s">
        <v>14</v>
      </c>
      <c r="G1911" s="4" t="s">
        <v>37</v>
      </c>
      <c r="H1911" s="4">
        <v>5</v>
      </c>
      <c r="I1911" s="4">
        <v>10</v>
      </c>
      <c r="J1911" s="1">
        <v>45583</v>
      </c>
      <c r="K1911" s="2">
        <v>1.0677083333333334E-2</v>
      </c>
      <c r="M1911" s="4" t="str">
        <f t="shared" si="87"/>
        <v>HIGH</v>
      </c>
      <c r="N1911" s="4" t="str" cm="1">
        <f t="array" ref="N1911">_xlfn.IFS(C1911&gt;35,"HIGH",C1911&gt;25,"MIDDLE",TRUE,"LOW")</f>
        <v>HIGH</v>
      </c>
      <c r="O1911" s="4" t="str">
        <f t="shared" si="88"/>
        <v>OTHERS</v>
      </c>
      <c r="P1911" s="4" t="str">
        <f t="shared" si="89"/>
        <v>PREMINUM MORNING</v>
      </c>
    </row>
    <row r="1912" spans="1:16" x14ac:dyDescent="0.3">
      <c r="A1912" s="4">
        <v>21</v>
      </c>
      <c r="B1912" t="s">
        <v>11</v>
      </c>
      <c r="C1912" s="4">
        <v>30.86</v>
      </c>
      <c r="D1912" t="s">
        <v>19</v>
      </c>
      <c r="E1912" t="s">
        <v>20</v>
      </c>
      <c r="F1912" s="4" t="s">
        <v>14</v>
      </c>
      <c r="G1912" s="4" t="s">
        <v>37</v>
      </c>
      <c r="H1912" s="4">
        <v>5</v>
      </c>
      <c r="I1912" s="4">
        <v>10</v>
      </c>
      <c r="J1912" s="1">
        <v>45583</v>
      </c>
      <c r="K1912" s="2">
        <v>3.6381944444444446E-2</v>
      </c>
      <c r="M1912" s="4" t="str">
        <f t="shared" si="87"/>
        <v>LOW</v>
      </c>
      <c r="N1912" s="4" t="str" cm="1">
        <f t="array" ref="N1912">_xlfn.IFS(C1912&gt;35,"HIGH",C1912&gt;25,"MIDDLE",TRUE,"LOW")</f>
        <v>MIDDLE</v>
      </c>
      <c r="O1912" s="4" t="str">
        <f t="shared" si="88"/>
        <v>OTHERS</v>
      </c>
      <c r="P1912" s="4" t="str">
        <f t="shared" si="89"/>
        <v>OTHERS</v>
      </c>
    </row>
    <row r="1913" spans="1:16" x14ac:dyDescent="0.3">
      <c r="A1913" s="4">
        <v>22</v>
      </c>
      <c r="B1913" t="s">
        <v>11</v>
      </c>
      <c r="C1913" s="4">
        <v>35.76</v>
      </c>
      <c r="D1913" t="s">
        <v>12</v>
      </c>
      <c r="E1913" t="s">
        <v>20</v>
      </c>
      <c r="F1913" s="4" t="s">
        <v>14</v>
      </c>
      <c r="G1913" s="4" t="s">
        <v>37</v>
      </c>
      <c r="H1913" s="4">
        <v>5</v>
      </c>
      <c r="I1913" s="4">
        <v>10</v>
      </c>
      <c r="J1913" s="1">
        <v>45583</v>
      </c>
      <c r="K1913" s="2">
        <v>2.3958333333333331E-3</v>
      </c>
      <c r="M1913" s="4" t="str">
        <f t="shared" si="87"/>
        <v>HIGH</v>
      </c>
      <c r="N1913" s="4" t="str" cm="1">
        <f t="array" ref="N1913">_xlfn.IFS(C1913&gt;35,"HIGH",C1913&gt;25,"MIDDLE",TRUE,"LOW")</f>
        <v>HIGH</v>
      </c>
      <c r="O1913" s="4" t="str">
        <f t="shared" si="88"/>
        <v>OTHERS</v>
      </c>
      <c r="P1913" s="4" t="str">
        <f t="shared" si="89"/>
        <v>PREMINUM MORNING</v>
      </c>
    </row>
    <row r="1914" spans="1:16" x14ac:dyDescent="0.3">
      <c r="A1914" s="4">
        <v>8</v>
      </c>
      <c r="B1914" t="s">
        <v>11</v>
      </c>
      <c r="C1914" s="4">
        <v>30.86</v>
      </c>
      <c r="D1914" t="s">
        <v>19</v>
      </c>
      <c r="E1914" t="s">
        <v>13</v>
      </c>
      <c r="F1914" s="4" t="s">
        <v>22</v>
      </c>
      <c r="G1914" s="4" t="s">
        <v>37</v>
      </c>
      <c r="H1914" s="4">
        <v>6</v>
      </c>
      <c r="I1914" s="4">
        <v>10</v>
      </c>
      <c r="J1914" s="1">
        <v>45584</v>
      </c>
      <c r="K1914" s="2">
        <v>2.3769675925925923E-2</v>
      </c>
      <c r="M1914" s="4" t="str">
        <f t="shared" si="87"/>
        <v>LOW</v>
      </c>
      <c r="N1914" s="4" t="str" cm="1">
        <f t="array" ref="N1914">_xlfn.IFS(C1914&gt;35,"HIGH",C1914&gt;25,"MIDDLE",TRUE,"LOW")</f>
        <v>MIDDLE</v>
      </c>
      <c r="O1914" s="4" t="str">
        <f t="shared" si="88"/>
        <v>OTHERS</v>
      </c>
      <c r="P1914" s="4" t="str">
        <f t="shared" si="89"/>
        <v>PREMINUM MORNING</v>
      </c>
    </row>
    <row r="1915" spans="1:16" x14ac:dyDescent="0.3">
      <c r="A1915" s="4">
        <v>13</v>
      </c>
      <c r="B1915" t="s">
        <v>11</v>
      </c>
      <c r="C1915" s="4">
        <v>35.76</v>
      </c>
      <c r="D1915" t="s">
        <v>12</v>
      </c>
      <c r="E1915" t="s">
        <v>17</v>
      </c>
      <c r="F1915" s="4" t="s">
        <v>22</v>
      </c>
      <c r="G1915" s="4" t="s">
        <v>37</v>
      </c>
      <c r="H1915" s="4">
        <v>6</v>
      </c>
      <c r="I1915" s="4">
        <v>10</v>
      </c>
      <c r="J1915" s="1">
        <v>45584</v>
      </c>
      <c r="K1915" s="2">
        <v>1.5348379629629628E-2</v>
      </c>
      <c r="M1915" s="4" t="str">
        <f t="shared" si="87"/>
        <v>HIGH</v>
      </c>
      <c r="N1915" s="4" t="str" cm="1">
        <f t="array" ref="N1915">_xlfn.IFS(C1915&gt;35,"HIGH",C1915&gt;25,"MIDDLE",TRUE,"LOW")</f>
        <v>HIGH</v>
      </c>
      <c r="O1915" s="4" t="str">
        <f t="shared" si="88"/>
        <v>OTHERS</v>
      </c>
      <c r="P1915" s="4" t="str">
        <f t="shared" si="89"/>
        <v>PREMINUM MORNING</v>
      </c>
    </row>
    <row r="1916" spans="1:16" x14ac:dyDescent="0.3">
      <c r="A1916" s="4">
        <v>14</v>
      </c>
      <c r="B1916" t="s">
        <v>11</v>
      </c>
      <c r="C1916" s="4">
        <v>35.76</v>
      </c>
      <c r="D1916" t="s">
        <v>29</v>
      </c>
      <c r="E1916" t="s">
        <v>17</v>
      </c>
      <c r="F1916" s="4" t="s">
        <v>22</v>
      </c>
      <c r="G1916" s="4" t="s">
        <v>37</v>
      </c>
      <c r="H1916" s="4">
        <v>6</v>
      </c>
      <c r="I1916" s="4">
        <v>10</v>
      </c>
      <c r="J1916" s="1">
        <v>45584</v>
      </c>
      <c r="K1916" s="2">
        <v>7.3217592592592596E-3</v>
      </c>
      <c r="M1916" s="4" t="str">
        <f t="shared" si="87"/>
        <v>HIGH</v>
      </c>
      <c r="N1916" s="4" t="str" cm="1">
        <f t="array" ref="N1916">_xlfn.IFS(C1916&gt;35,"HIGH",C1916&gt;25,"MIDDLE",TRUE,"LOW")</f>
        <v>HIGH</v>
      </c>
      <c r="O1916" s="4" t="str">
        <f t="shared" si="88"/>
        <v>OTHERS</v>
      </c>
      <c r="P1916" s="4" t="str">
        <f t="shared" si="89"/>
        <v>PREMINUM MORNING</v>
      </c>
    </row>
    <row r="1917" spans="1:16" x14ac:dyDescent="0.3">
      <c r="A1917" s="4">
        <v>15</v>
      </c>
      <c r="B1917" t="s">
        <v>11</v>
      </c>
      <c r="C1917" s="4">
        <v>35.76</v>
      </c>
      <c r="D1917" t="s">
        <v>16</v>
      </c>
      <c r="E1917" t="s">
        <v>17</v>
      </c>
      <c r="F1917" s="4" t="s">
        <v>22</v>
      </c>
      <c r="G1917" s="4" t="s">
        <v>37</v>
      </c>
      <c r="H1917" s="4">
        <v>6</v>
      </c>
      <c r="I1917" s="4">
        <v>10</v>
      </c>
      <c r="J1917" s="1">
        <v>45584</v>
      </c>
      <c r="K1917" s="2">
        <v>3.9527777777777773E-2</v>
      </c>
      <c r="M1917" s="4" t="str">
        <f t="shared" si="87"/>
        <v>HIGH</v>
      </c>
      <c r="N1917" s="4" t="str" cm="1">
        <f t="array" ref="N1917">_xlfn.IFS(C1917&gt;35,"HIGH",C1917&gt;25,"MIDDLE",TRUE,"LOW")</f>
        <v>HIGH</v>
      </c>
      <c r="O1917" s="4" t="str">
        <f t="shared" si="88"/>
        <v>OTHERS</v>
      </c>
      <c r="P1917" s="4" t="str">
        <f t="shared" si="89"/>
        <v>PREMINUM MORNING</v>
      </c>
    </row>
    <row r="1918" spans="1:16" x14ac:dyDescent="0.3">
      <c r="A1918" s="4">
        <v>15</v>
      </c>
      <c r="B1918" t="s">
        <v>11</v>
      </c>
      <c r="C1918" s="4">
        <v>35.76</v>
      </c>
      <c r="D1918" t="s">
        <v>12</v>
      </c>
      <c r="E1918" t="s">
        <v>17</v>
      </c>
      <c r="F1918" s="4" t="s">
        <v>22</v>
      </c>
      <c r="G1918" s="4" t="s">
        <v>37</v>
      </c>
      <c r="H1918" s="4">
        <v>6</v>
      </c>
      <c r="I1918" s="4">
        <v>10</v>
      </c>
      <c r="J1918" s="1">
        <v>45584</v>
      </c>
      <c r="K1918" s="2">
        <v>4.1251157407407403E-2</v>
      </c>
      <c r="M1918" s="4" t="str">
        <f t="shared" si="87"/>
        <v>HIGH</v>
      </c>
      <c r="N1918" s="4" t="str" cm="1">
        <f t="array" ref="N1918">_xlfn.IFS(C1918&gt;35,"HIGH",C1918&gt;25,"MIDDLE",TRUE,"LOW")</f>
        <v>HIGH</v>
      </c>
      <c r="O1918" s="4" t="str">
        <f t="shared" si="88"/>
        <v>OTHERS</v>
      </c>
      <c r="P1918" s="4" t="str">
        <f t="shared" si="89"/>
        <v>PREMINUM MORNING</v>
      </c>
    </row>
    <row r="1919" spans="1:16" x14ac:dyDescent="0.3">
      <c r="A1919" s="4">
        <v>16</v>
      </c>
      <c r="B1919" t="s">
        <v>11</v>
      </c>
      <c r="C1919" s="4">
        <v>35.76</v>
      </c>
      <c r="D1919" t="s">
        <v>12</v>
      </c>
      <c r="E1919" t="s">
        <v>17</v>
      </c>
      <c r="F1919" s="4" t="s">
        <v>22</v>
      </c>
      <c r="G1919" s="4" t="s">
        <v>37</v>
      </c>
      <c r="H1919" s="4">
        <v>6</v>
      </c>
      <c r="I1919" s="4">
        <v>10</v>
      </c>
      <c r="J1919" s="1">
        <v>45584</v>
      </c>
      <c r="K1919" s="2">
        <v>1.9189814814814816E-3</v>
      </c>
      <c r="M1919" s="4" t="str">
        <f t="shared" si="87"/>
        <v>HIGH</v>
      </c>
      <c r="N1919" s="4" t="str" cm="1">
        <f t="array" ref="N1919">_xlfn.IFS(C1919&gt;35,"HIGH",C1919&gt;25,"MIDDLE",TRUE,"LOW")</f>
        <v>HIGH</v>
      </c>
      <c r="O1919" s="4" t="str">
        <f t="shared" si="88"/>
        <v>OTHERS</v>
      </c>
      <c r="P1919" s="4" t="str">
        <f t="shared" si="89"/>
        <v>PREMINUM MORNING</v>
      </c>
    </row>
    <row r="1920" spans="1:16" x14ac:dyDescent="0.3">
      <c r="A1920" s="4">
        <v>16</v>
      </c>
      <c r="B1920" t="s">
        <v>11</v>
      </c>
      <c r="C1920" s="4">
        <v>35.76</v>
      </c>
      <c r="D1920" t="s">
        <v>12</v>
      </c>
      <c r="E1920" t="s">
        <v>17</v>
      </c>
      <c r="F1920" s="4" t="s">
        <v>22</v>
      </c>
      <c r="G1920" s="4" t="s">
        <v>37</v>
      </c>
      <c r="H1920" s="4">
        <v>6</v>
      </c>
      <c r="I1920" s="4">
        <v>10</v>
      </c>
      <c r="J1920" s="1">
        <v>45584</v>
      </c>
      <c r="K1920" s="2">
        <v>1.2297453703703705E-2</v>
      </c>
      <c r="M1920" s="4" t="str">
        <f t="shared" si="87"/>
        <v>HIGH</v>
      </c>
      <c r="N1920" s="4" t="str" cm="1">
        <f t="array" ref="N1920">_xlfn.IFS(C1920&gt;35,"HIGH",C1920&gt;25,"MIDDLE",TRUE,"LOW")</f>
        <v>HIGH</v>
      </c>
      <c r="O1920" s="4" t="str">
        <f t="shared" si="88"/>
        <v>OTHERS</v>
      </c>
      <c r="P1920" s="4" t="str">
        <f t="shared" si="89"/>
        <v>PREMINUM MORNING</v>
      </c>
    </row>
    <row r="1921" spans="1:16" x14ac:dyDescent="0.3">
      <c r="A1921" s="4">
        <v>21</v>
      </c>
      <c r="B1921" t="s">
        <v>11</v>
      </c>
      <c r="C1921" s="4">
        <v>35.76</v>
      </c>
      <c r="D1921" t="s">
        <v>21</v>
      </c>
      <c r="E1921" t="s">
        <v>20</v>
      </c>
      <c r="F1921" s="4" t="s">
        <v>22</v>
      </c>
      <c r="G1921" s="4" t="s">
        <v>37</v>
      </c>
      <c r="H1921" s="4">
        <v>6</v>
      </c>
      <c r="I1921" s="4">
        <v>10</v>
      </c>
      <c r="J1921" s="1">
        <v>45584</v>
      </c>
      <c r="K1921" s="2">
        <v>3.2471064814814814E-2</v>
      </c>
      <c r="M1921" s="4" t="str">
        <f t="shared" si="87"/>
        <v>HIGH</v>
      </c>
      <c r="N1921" s="4" t="str" cm="1">
        <f t="array" ref="N1921">_xlfn.IFS(C1921&gt;35,"HIGH",C1921&gt;25,"MIDDLE",TRUE,"LOW")</f>
        <v>HIGH</v>
      </c>
      <c r="O1921" s="4" t="str">
        <f t="shared" si="88"/>
        <v>OTHERS</v>
      </c>
      <c r="P1921" s="4" t="str">
        <f t="shared" si="89"/>
        <v>PREMINUM MORNING</v>
      </c>
    </row>
    <row r="1922" spans="1:16" x14ac:dyDescent="0.3">
      <c r="A1922" s="4">
        <v>22</v>
      </c>
      <c r="B1922" t="s">
        <v>11</v>
      </c>
      <c r="C1922" s="4">
        <v>35.76</v>
      </c>
      <c r="D1922" t="s">
        <v>29</v>
      </c>
      <c r="E1922" t="s">
        <v>20</v>
      </c>
      <c r="F1922" s="4" t="s">
        <v>22</v>
      </c>
      <c r="G1922" s="4" t="s">
        <v>37</v>
      </c>
      <c r="H1922" s="4">
        <v>6</v>
      </c>
      <c r="I1922" s="4">
        <v>10</v>
      </c>
      <c r="J1922" s="1">
        <v>45584</v>
      </c>
      <c r="K1922" s="2">
        <v>3.2380787037037034E-2</v>
      </c>
      <c r="M1922" s="4" t="str">
        <f t="shared" si="87"/>
        <v>HIGH</v>
      </c>
      <c r="N1922" s="4" t="str" cm="1">
        <f t="array" ref="N1922">_xlfn.IFS(C1922&gt;35,"HIGH",C1922&gt;25,"MIDDLE",TRUE,"LOW")</f>
        <v>HIGH</v>
      </c>
      <c r="O1922" s="4" t="str">
        <f t="shared" si="88"/>
        <v>OTHERS</v>
      </c>
      <c r="P1922" s="4" t="str">
        <f t="shared" si="89"/>
        <v>PREMINUM MORNING</v>
      </c>
    </row>
    <row r="1923" spans="1:16" x14ac:dyDescent="0.3">
      <c r="A1923" s="4">
        <v>8</v>
      </c>
      <c r="B1923" t="s">
        <v>11</v>
      </c>
      <c r="C1923" s="4">
        <v>35.76</v>
      </c>
      <c r="D1923" t="s">
        <v>12</v>
      </c>
      <c r="E1923" t="s">
        <v>13</v>
      </c>
      <c r="F1923" s="4" t="s">
        <v>23</v>
      </c>
      <c r="G1923" s="4" t="s">
        <v>37</v>
      </c>
      <c r="H1923" s="4">
        <v>7</v>
      </c>
      <c r="I1923" s="4">
        <v>10</v>
      </c>
      <c r="J1923" s="1">
        <v>45585</v>
      </c>
      <c r="K1923" s="2">
        <v>2.8287037037037038E-2</v>
      </c>
      <c r="M1923" s="4" t="str">
        <f t="shared" ref="M1923:M1986" si="90">IF(C1923&gt;35,"HIGH","LOW")</f>
        <v>HIGH</v>
      </c>
      <c r="N1923" s="4" t="str" cm="1">
        <f t="array" ref="N1923">_xlfn.IFS(C1923&gt;35,"HIGH",C1923&gt;25,"MIDDLE",TRUE,"LOW")</f>
        <v>HIGH</v>
      </c>
      <c r="O1923" s="4" t="str">
        <f t="shared" ref="O1923:O1986" si="91">IF(AND(C1923&gt;35,E1923="MORNING"),"PREMINUM MORNING","OTHERS")</f>
        <v>PREMINUM MORNING</v>
      </c>
      <c r="P1923" s="4" t="str">
        <f t="shared" ref="P1923:P1986" si="92">IF(OR(C1923&gt;35,E1923="MORNING"),"PREMINUM MORNING","OTHERS")</f>
        <v>PREMINUM MORNING</v>
      </c>
    </row>
    <row r="1924" spans="1:16" x14ac:dyDescent="0.3">
      <c r="A1924" s="4">
        <v>8</v>
      </c>
      <c r="B1924" t="s">
        <v>11</v>
      </c>
      <c r="C1924" s="4">
        <v>35.76</v>
      </c>
      <c r="D1924" t="s">
        <v>21</v>
      </c>
      <c r="E1924" t="s">
        <v>13</v>
      </c>
      <c r="F1924" s="4" t="s">
        <v>23</v>
      </c>
      <c r="G1924" s="4" t="s">
        <v>37</v>
      </c>
      <c r="H1924" s="4">
        <v>7</v>
      </c>
      <c r="I1924" s="4">
        <v>10</v>
      </c>
      <c r="J1924" s="1">
        <v>45585</v>
      </c>
      <c r="K1924" s="2">
        <v>2.9056712962962961E-2</v>
      </c>
      <c r="M1924" s="4" t="str">
        <f t="shared" si="90"/>
        <v>HIGH</v>
      </c>
      <c r="N1924" s="4" t="str" cm="1">
        <f t="array" ref="N1924">_xlfn.IFS(C1924&gt;35,"HIGH",C1924&gt;25,"MIDDLE",TRUE,"LOW")</f>
        <v>HIGH</v>
      </c>
      <c r="O1924" s="4" t="str">
        <f t="shared" si="91"/>
        <v>PREMINUM MORNING</v>
      </c>
      <c r="P1924" s="4" t="str">
        <f t="shared" si="92"/>
        <v>PREMINUM MORNING</v>
      </c>
    </row>
    <row r="1925" spans="1:16" x14ac:dyDescent="0.3">
      <c r="A1925" s="4">
        <v>11</v>
      </c>
      <c r="B1925" t="s">
        <v>11</v>
      </c>
      <c r="C1925" s="4">
        <v>35.76</v>
      </c>
      <c r="D1925" t="s">
        <v>12</v>
      </c>
      <c r="E1925" t="s">
        <v>13</v>
      </c>
      <c r="F1925" s="4" t="s">
        <v>23</v>
      </c>
      <c r="G1925" s="4" t="s">
        <v>37</v>
      </c>
      <c r="H1925" s="4">
        <v>7</v>
      </c>
      <c r="I1925" s="4">
        <v>10</v>
      </c>
      <c r="J1925" s="1">
        <v>45585</v>
      </c>
      <c r="K1925" s="2">
        <v>1.1710648148148147E-2</v>
      </c>
      <c r="M1925" s="4" t="str">
        <f t="shared" si="90"/>
        <v>HIGH</v>
      </c>
      <c r="N1925" s="4" t="str" cm="1">
        <f t="array" ref="N1925">_xlfn.IFS(C1925&gt;35,"HIGH",C1925&gt;25,"MIDDLE",TRUE,"LOW")</f>
        <v>HIGH</v>
      </c>
      <c r="O1925" s="4" t="str">
        <f t="shared" si="91"/>
        <v>PREMINUM MORNING</v>
      </c>
      <c r="P1925" s="4" t="str">
        <f t="shared" si="92"/>
        <v>PREMINUM MORNING</v>
      </c>
    </row>
    <row r="1926" spans="1:16" x14ac:dyDescent="0.3">
      <c r="A1926" s="4">
        <v>14</v>
      </c>
      <c r="B1926" t="s">
        <v>11</v>
      </c>
      <c r="C1926" s="4">
        <v>35.76</v>
      </c>
      <c r="D1926" t="s">
        <v>16</v>
      </c>
      <c r="E1926" t="s">
        <v>17</v>
      </c>
      <c r="F1926" s="4" t="s">
        <v>23</v>
      </c>
      <c r="G1926" s="4" t="s">
        <v>37</v>
      </c>
      <c r="H1926" s="4">
        <v>7</v>
      </c>
      <c r="I1926" s="4">
        <v>10</v>
      </c>
      <c r="J1926" s="1">
        <v>45585</v>
      </c>
      <c r="K1926" s="2">
        <v>1.9976851851851853E-2</v>
      </c>
      <c r="M1926" s="4" t="str">
        <f t="shared" si="90"/>
        <v>HIGH</v>
      </c>
      <c r="N1926" s="4" t="str" cm="1">
        <f t="array" ref="N1926">_xlfn.IFS(C1926&gt;35,"HIGH",C1926&gt;25,"MIDDLE",TRUE,"LOW")</f>
        <v>HIGH</v>
      </c>
      <c r="O1926" s="4" t="str">
        <f t="shared" si="91"/>
        <v>OTHERS</v>
      </c>
      <c r="P1926" s="4" t="str">
        <f t="shared" si="92"/>
        <v>PREMINUM MORNING</v>
      </c>
    </row>
    <row r="1927" spans="1:16" x14ac:dyDescent="0.3">
      <c r="A1927" s="4">
        <v>14</v>
      </c>
      <c r="B1927" t="s">
        <v>11</v>
      </c>
      <c r="C1927" s="4">
        <v>25.96</v>
      </c>
      <c r="D1927" t="s">
        <v>24</v>
      </c>
      <c r="E1927" t="s">
        <v>17</v>
      </c>
      <c r="F1927" s="4" t="s">
        <v>23</v>
      </c>
      <c r="G1927" s="4" t="s">
        <v>37</v>
      </c>
      <c r="H1927" s="4">
        <v>7</v>
      </c>
      <c r="I1927" s="4">
        <v>10</v>
      </c>
      <c r="J1927" s="1">
        <v>45585</v>
      </c>
      <c r="K1927" s="2">
        <v>2.0642361111111111E-2</v>
      </c>
      <c r="M1927" s="4" t="str">
        <f t="shared" si="90"/>
        <v>LOW</v>
      </c>
      <c r="N1927" s="4" t="str" cm="1">
        <f t="array" ref="N1927">_xlfn.IFS(C1927&gt;35,"HIGH",C1927&gt;25,"MIDDLE",TRUE,"LOW")</f>
        <v>MIDDLE</v>
      </c>
      <c r="O1927" s="4" t="str">
        <f t="shared" si="91"/>
        <v>OTHERS</v>
      </c>
      <c r="P1927" s="4" t="str">
        <f t="shared" si="92"/>
        <v>OTHERS</v>
      </c>
    </row>
    <row r="1928" spans="1:16" x14ac:dyDescent="0.3">
      <c r="A1928" s="4">
        <v>15</v>
      </c>
      <c r="B1928" t="s">
        <v>11</v>
      </c>
      <c r="C1928" s="4">
        <v>30.86</v>
      </c>
      <c r="D1928" t="s">
        <v>19</v>
      </c>
      <c r="E1928" t="s">
        <v>17</v>
      </c>
      <c r="F1928" s="4" t="s">
        <v>23</v>
      </c>
      <c r="G1928" s="4" t="s">
        <v>37</v>
      </c>
      <c r="H1928" s="4">
        <v>7</v>
      </c>
      <c r="I1928" s="4">
        <v>10</v>
      </c>
      <c r="J1928" s="1">
        <v>45585</v>
      </c>
      <c r="K1928" s="2">
        <v>3.6633101851851854E-2</v>
      </c>
      <c r="M1928" s="4" t="str">
        <f t="shared" si="90"/>
        <v>LOW</v>
      </c>
      <c r="N1928" s="4" t="str" cm="1">
        <f t="array" ref="N1928">_xlfn.IFS(C1928&gt;35,"HIGH",C1928&gt;25,"MIDDLE",TRUE,"LOW")</f>
        <v>MIDDLE</v>
      </c>
      <c r="O1928" s="4" t="str">
        <f t="shared" si="91"/>
        <v>OTHERS</v>
      </c>
      <c r="P1928" s="4" t="str">
        <f t="shared" si="92"/>
        <v>OTHERS</v>
      </c>
    </row>
    <row r="1929" spans="1:16" x14ac:dyDescent="0.3">
      <c r="A1929" s="4">
        <v>16</v>
      </c>
      <c r="B1929" t="s">
        <v>11</v>
      </c>
      <c r="C1929" s="4">
        <v>35.76</v>
      </c>
      <c r="D1929" t="s">
        <v>12</v>
      </c>
      <c r="E1929" t="s">
        <v>17</v>
      </c>
      <c r="F1929" s="4" t="s">
        <v>23</v>
      </c>
      <c r="G1929" s="4" t="s">
        <v>37</v>
      </c>
      <c r="H1929" s="4">
        <v>7</v>
      </c>
      <c r="I1929" s="4">
        <v>10</v>
      </c>
      <c r="J1929" s="1">
        <v>45585</v>
      </c>
      <c r="K1929" s="2">
        <v>3.1363425925925927E-2</v>
      </c>
      <c r="M1929" s="4" t="str">
        <f t="shared" si="90"/>
        <v>HIGH</v>
      </c>
      <c r="N1929" s="4" t="str" cm="1">
        <f t="array" ref="N1929">_xlfn.IFS(C1929&gt;35,"HIGH",C1929&gt;25,"MIDDLE",TRUE,"LOW")</f>
        <v>HIGH</v>
      </c>
      <c r="O1929" s="4" t="str">
        <f t="shared" si="91"/>
        <v>OTHERS</v>
      </c>
      <c r="P1929" s="4" t="str">
        <f t="shared" si="92"/>
        <v>PREMINUM MORNING</v>
      </c>
    </row>
    <row r="1930" spans="1:16" x14ac:dyDescent="0.3">
      <c r="A1930" s="4">
        <v>16</v>
      </c>
      <c r="B1930" t="s">
        <v>11</v>
      </c>
      <c r="C1930" s="4">
        <v>35.76</v>
      </c>
      <c r="D1930" t="s">
        <v>12</v>
      </c>
      <c r="E1930" t="s">
        <v>17</v>
      </c>
      <c r="F1930" s="4" t="s">
        <v>23</v>
      </c>
      <c r="G1930" s="4" t="s">
        <v>37</v>
      </c>
      <c r="H1930" s="4">
        <v>7</v>
      </c>
      <c r="I1930" s="4">
        <v>10</v>
      </c>
      <c r="J1930" s="1">
        <v>45585</v>
      </c>
      <c r="K1930" s="2">
        <v>3.2000000000000001E-2</v>
      </c>
      <c r="M1930" s="4" t="str">
        <f t="shared" si="90"/>
        <v>HIGH</v>
      </c>
      <c r="N1930" s="4" t="str" cm="1">
        <f t="array" ref="N1930">_xlfn.IFS(C1930&gt;35,"HIGH",C1930&gt;25,"MIDDLE",TRUE,"LOW")</f>
        <v>HIGH</v>
      </c>
      <c r="O1930" s="4" t="str">
        <f t="shared" si="91"/>
        <v>OTHERS</v>
      </c>
      <c r="P1930" s="4" t="str">
        <f t="shared" si="92"/>
        <v>PREMINUM MORNING</v>
      </c>
    </row>
    <row r="1931" spans="1:16" x14ac:dyDescent="0.3">
      <c r="A1931" s="4">
        <v>17</v>
      </c>
      <c r="B1931" t="s">
        <v>11</v>
      </c>
      <c r="C1931" s="4">
        <v>35.76</v>
      </c>
      <c r="D1931" t="s">
        <v>12</v>
      </c>
      <c r="E1931" t="s">
        <v>20</v>
      </c>
      <c r="F1931" s="4" t="s">
        <v>23</v>
      </c>
      <c r="G1931" s="4" t="s">
        <v>37</v>
      </c>
      <c r="H1931" s="4">
        <v>7</v>
      </c>
      <c r="I1931" s="4">
        <v>10</v>
      </c>
      <c r="J1931" s="1">
        <v>45585</v>
      </c>
      <c r="K1931" s="2">
        <v>1.8817129629629628E-2</v>
      </c>
      <c r="M1931" s="4" t="str">
        <f t="shared" si="90"/>
        <v>HIGH</v>
      </c>
      <c r="N1931" s="4" t="str" cm="1">
        <f t="array" ref="N1931">_xlfn.IFS(C1931&gt;35,"HIGH",C1931&gt;25,"MIDDLE",TRUE,"LOW")</f>
        <v>HIGH</v>
      </c>
      <c r="O1931" s="4" t="str">
        <f t="shared" si="91"/>
        <v>OTHERS</v>
      </c>
      <c r="P1931" s="4" t="str">
        <f t="shared" si="92"/>
        <v>PREMINUM MORNING</v>
      </c>
    </row>
    <row r="1932" spans="1:16" x14ac:dyDescent="0.3">
      <c r="A1932" s="4">
        <v>18</v>
      </c>
      <c r="B1932" t="s">
        <v>11</v>
      </c>
      <c r="C1932" s="4">
        <v>35.76</v>
      </c>
      <c r="D1932" t="s">
        <v>21</v>
      </c>
      <c r="E1932" t="s">
        <v>20</v>
      </c>
      <c r="F1932" s="4" t="s">
        <v>23</v>
      </c>
      <c r="G1932" s="4" t="s">
        <v>37</v>
      </c>
      <c r="H1932" s="4">
        <v>7</v>
      </c>
      <c r="I1932" s="4">
        <v>10</v>
      </c>
      <c r="J1932" s="1">
        <v>45585</v>
      </c>
      <c r="K1932" s="2">
        <v>2.3800925925925927E-2</v>
      </c>
      <c r="M1932" s="4" t="str">
        <f t="shared" si="90"/>
        <v>HIGH</v>
      </c>
      <c r="N1932" s="4" t="str" cm="1">
        <f t="array" ref="N1932">_xlfn.IFS(C1932&gt;35,"HIGH",C1932&gt;25,"MIDDLE",TRUE,"LOW")</f>
        <v>HIGH</v>
      </c>
      <c r="O1932" s="4" t="str">
        <f t="shared" si="91"/>
        <v>OTHERS</v>
      </c>
      <c r="P1932" s="4" t="str">
        <f t="shared" si="92"/>
        <v>PREMINUM MORNING</v>
      </c>
    </row>
    <row r="1933" spans="1:16" x14ac:dyDescent="0.3">
      <c r="A1933" s="4">
        <v>18</v>
      </c>
      <c r="B1933" t="s">
        <v>11</v>
      </c>
      <c r="C1933" s="4">
        <v>35.76</v>
      </c>
      <c r="D1933" t="s">
        <v>21</v>
      </c>
      <c r="E1933" t="s">
        <v>20</v>
      </c>
      <c r="F1933" s="4" t="s">
        <v>23</v>
      </c>
      <c r="G1933" s="4" t="s">
        <v>37</v>
      </c>
      <c r="H1933" s="4">
        <v>7</v>
      </c>
      <c r="I1933" s="4">
        <v>10</v>
      </c>
      <c r="J1933" s="1">
        <v>45585</v>
      </c>
      <c r="K1933" s="2">
        <v>2.4400462962962961E-2</v>
      </c>
      <c r="M1933" s="4" t="str">
        <f t="shared" si="90"/>
        <v>HIGH</v>
      </c>
      <c r="N1933" s="4" t="str" cm="1">
        <f t="array" ref="N1933">_xlfn.IFS(C1933&gt;35,"HIGH",C1933&gt;25,"MIDDLE",TRUE,"LOW")</f>
        <v>HIGH</v>
      </c>
      <c r="O1933" s="4" t="str">
        <f t="shared" si="91"/>
        <v>OTHERS</v>
      </c>
      <c r="P1933" s="4" t="str">
        <f t="shared" si="92"/>
        <v>PREMINUM MORNING</v>
      </c>
    </row>
    <row r="1934" spans="1:16" x14ac:dyDescent="0.3">
      <c r="A1934" s="4">
        <v>21</v>
      </c>
      <c r="B1934" t="s">
        <v>11</v>
      </c>
      <c r="C1934" s="4">
        <v>35.76</v>
      </c>
      <c r="D1934" t="s">
        <v>16</v>
      </c>
      <c r="E1934" t="s">
        <v>20</v>
      </c>
      <c r="F1934" s="4" t="s">
        <v>23</v>
      </c>
      <c r="G1934" s="4" t="s">
        <v>37</v>
      </c>
      <c r="H1934" s="4">
        <v>7</v>
      </c>
      <c r="I1934" s="4">
        <v>10</v>
      </c>
      <c r="J1934" s="1">
        <v>45585</v>
      </c>
      <c r="K1934" s="2">
        <v>9.9305555555555553E-3</v>
      </c>
      <c r="M1934" s="4" t="str">
        <f t="shared" si="90"/>
        <v>HIGH</v>
      </c>
      <c r="N1934" s="4" t="str" cm="1">
        <f t="array" ref="N1934">_xlfn.IFS(C1934&gt;35,"HIGH",C1934&gt;25,"MIDDLE",TRUE,"LOW")</f>
        <v>HIGH</v>
      </c>
      <c r="O1934" s="4" t="str">
        <f t="shared" si="91"/>
        <v>OTHERS</v>
      </c>
      <c r="P1934" s="4" t="str">
        <f t="shared" si="92"/>
        <v>PREMINUM MORNING</v>
      </c>
    </row>
    <row r="1935" spans="1:16" x14ac:dyDescent="0.3">
      <c r="A1935" s="4">
        <v>21</v>
      </c>
      <c r="B1935" t="s">
        <v>11</v>
      </c>
      <c r="C1935" s="4">
        <v>25.96</v>
      </c>
      <c r="D1935" t="s">
        <v>24</v>
      </c>
      <c r="E1935" t="s">
        <v>20</v>
      </c>
      <c r="F1935" s="4" t="s">
        <v>23</v>
      </c>
      <c r="G1935" s="4" t="s">
        <v>37</v>
      </c>
      <c r="H1935" s="4">
        <v>7</v>
      </c>
      <c r="I1935" s="4">
        <v>10</v>
      </c>
      <c r="J1935" s="1">
        <v>45585</v>
      </c>
      <c r="K1935" s="2">
        <v>1.0622685185185185E-2</v>
      </c>
      <c r="M1935" s="4" t="str">
        <f t="shared" si="90"/>
        <v>LOW</v>
      </c>
      <c r="N1935" s="4" t="str" cm="1">
        <f t="array" ref="N1935">_xlfn.IFS(C1935&gt;35,"HIGH",C1935&gt;25,"MIDDLE",TRUE,"LOW")</f>
        <v>MIDDLE</v>
      </c>
      <c r="O1935" s="4" t="str">
        <f t="shared" si="91"/>
        <v>OTHERS</v>
      </c>
      <c r="P1935" s="4" t="str">
        <f t="shared" si="92"/>
        <v>OTHERS</v>
      </c>
    </row>
    <row r="1936" spans="1:16" x14ac:dyDescent="0.3">
      <c r="A1936" s="4">
        <v>21</v>
      </c>
      <c r="B1936" t="s">
        <v>11</v>
      </c>
      <c r="C1936" s="4">
        <v>35.76</v>
      </c>
      <c r="D1936" t="s">
        <v>21</v>
      </c>
      <c r="E1936" t="s">
        <v>20</v>
      </c>
      <c r="F1936" s="4" t="s">
        <v>23</v>
      </c>
      <c r="G1936" s="4" t="s">
        <v>37</v>
      </c>
      <c r="H1936" s="4">
        <v>7</v>
      </c>
      <c r="I1936" s="4">
        <v>10</v>
      </c>
      <c r="J1936" s="1">
        <v>45585</v>
      </c>
      <c r="K1936" s="2">
        <v>1.2116898148148149E-2</v>
      </c>
      <c r="M1936" s="4" t="str">
        <f t="shared" si="90"/>
        <v>HIGH</v>
      </c>
      <c r="N1936" s="4" t="str" cm="1">
        <f t="array" ref="N1936">_xlfn.IFS(C1936&gt;35,"HIGH",C1936&gt;25,"MIDDLE",TRUE,"LOW")</f>
        <v>HIGH</v>
      </c>
      <c r="O1936" s="4" t="str">
        <f t="shared" si="91"/>
        <v>OTHERS</v>
      </c>
      <c r="P1936" s="4" t="str">
        <f t="shared" si="92"/>
        <v>PREMINUM MORNING</v>
      </c>
    </row>
    <row r="1937" spans="1:16" x14ac:dyDescent="0.3">
      <c r="A1937" s="4">
        <v>21</v>
      </c>
      <c r="B1937" t="s">
        <v>11</v>
      </c>
      <c r="C1937" s="4">
        <v>35.76</v>
      </c>
      <c r="D1937" t="s">
        <v>12</v>
      </c>
      <c r="E1937" t="s">
        <v>20</v>
      </c>
      <c r="F1937" s="4" t="s">
        <v>23</v>
      </c>
      <c r="G1937" s="4" t="s">
        <v>37</v>
      </c>
      <c r="H1937" s="4">
        <v>7</v>
      </c>
      <c r="I1937" s="4">
        <v>10</v>
      </c>
      <c r="J1937" s="1">
        <v>45585</v>
      </c>
      <c r="K1937" s="2">
        <v>1.7362268518518516E-2</v>
      </c>
      <c r="M1937" s="4" t="str">
        <f t="shared" si="90"/>
        <v>HIGH</v>
      </c>
      <c r="N1937" s="4" t="str" cm="1">
        <f t="array" ref="N1937">_xlfn.IFS(C1937&gt;35,"HIGH",C1937&gt;25,"MIDDLE",TRUE,"LOW")</f>
        <v>HIGH</v>
      </c>
      <c r="O1937" s="4" t="str">
        <f t="shared" si="91"/>
        <v>OTHERS</v>
      </c>
      <c r="P1937" s="4" t="str">
        <f t="shared" si="92"/>
        <v>PREMINUM MORNING</v>
      </c>
    </row>
    <row r="1938" spans="1:16" x14ac:dyDescent="0.3">
      <c r="A1938" s="4">
        <v>22</v>
      </c>
      <c r="B1938" t="s">
        <v>11</v>
      </c>
      <c r="C1938" s="4">
        <v>35.76</v>
      </c>
      <c r="D1938" t="s">
        <v>29</v>
      </c>
      <c r="E1938" t="s">
        <v>20</v>
      </c>
      <c r="F1938" s="4" t="s">
        <v>23</v>
      </c>
      <c r="G1938" s="4" t="s">
        <v>37</v>
      </c>
      <c r="H1938" s="4">
        <v>7</v>
      </c>
      <c r="I1938" s="4">
        <v>10</v>
      </c>
      <c r="J1938" s="1">
        <v>45585</v>
      </c>
      <c r="K1938" s="2">
        <v>1.2141203703703704E-2</v>
      </c>
      <c r="M1938" s="4" t="str">
        <f t="shared" si="90"/>
        <v>HIGH</v>
      </c>
      <c r="N1938" s="4" t="str" cm="1">
        <f t="array" ref="N1938">_xlfn.IFS(C1938&gt;35,"HIGH",C1938&gt;25,"MIDDLE",TRUE,"LOW")</f>
        <v>HIGH</v>
      </c>
      <c r="O1938" s="4" t="str">
        <f t="shared" si="91"/>
        <v>OTHERS</v>
      </c>
      <c r="P1938" s="4" t="str">
        <f t="shared" si="92"/>
        <v>PREMINUM MORNING</v>
      </c>
    </row>
    <row r="1939" spans="1:16" x14ac:dyDescent="0.3">
      <c r="A1939" s="4">
        <v>7</v>
      </c>
      <c r="B1939" t="s">
        <v>11</v>
      </c>
      <c r="C1939" s="4">
        <v>35.76</v>
      </c>
      <c r="D1939" t="s">
        <v>12</v>
      </c>
      <c r="E1939" t="s">
        <v>13</v>
      </c>
      <c r="F1939" s="4" t="s">
        <v>25</v>
      </c>
      <c r="G1939" s="4" t="s">
        <v>37</v>
      </c>
      <c r="H1939" s="4">
        <v>1</v>
      </c>
      <c r="I1939" s="4">
        <v>10</v>
      </c>
      <c r="J1939" s="1">
        <v>45586</v>
      </c>
      <c r="K1939" s="2">
        <v>3.3832175925925925E-2</v>
      </c>
      <c r="M1939" s="4" t="str">
        <f t="shared" si="90"/>
        <v>HIGH</v>
      </c>
      <c r="N1939" s="4" t="str" cm="1">
        <f t="array" ref="N1939">_xlfn.IFS(C1939&gt;35,"HIGH",C1939&gt;25,"MIDDLE",TRUE,"LOW")</f>
        <v>HIGH</v>
      </c>
      <c r="O1939" s="4" t="str">
        <f t="shared" si="91"/>
        <v>PREMINUM MORNING</v>
      </c>
      <c r="P1939" s="4" t="str">
        <f t="shared" si="92"/>
        <v>PREMINUM MORNING</v>
      </c>
    </row>
    <row r="1940" spans="1:16" x14ac:dyDescent="0.3">
      <c r="A1940" s="4">
        <v>8</v>
      </c>
      <c r="B1940" t="s">
        <v>11</v>
      </c>
      <c r="C1940" s="4">
        <v>35.76</v>
      </c>
      <c r="D1940" t="s">
        <v>12</v>
      </c>
      <c r="E1940" t="s">
        <v>13</v>
      </c>
      <c r="F1940" s="4" t="s">
        <v>25</v>
      </c>
      <c r="G1940" s="4" t="s">
        <v>37</v>
      </c>
      <c r="H1940" s="4">
        <v>1</v>
      </c>
      <c r="I1940" s="4">
        <v>10</v>
      </c>
      <c r="J1940" s="1">
        <v>45586</v>
      </c>
      <c r="K1940" s="2">
        <v>1.3847222222222223E-2</v>
      </c>
      <c r="M1940" s="4" t="str">
        <f t="shared" si="90"/>
        <v>HIGH</v>
      </c>
      <c r="N1940" s="4" t="str" cm="1">
        <f t="array" ref="N1940">_xlfn.IFS(C1940&gt;35,"HIGH",C1940&gt;25,"MIDDLE",TRUE,"LOW")</f>
        <v>HIGH</v>
      </c>
      <c r="O1940" s="4" t="str">
        <f t="shared" si="91"/>
        <v>PREMINUM MORNING</v>
      </c>
      <c r="P1940" s="4" t="str">
        <f t="shared" si="92"/>
        <v>PREMINUM MORNING</v>
      </c>
    </row>
    <row r="1941" spans="1:16" x14ac:dyDescent="0.3">
      <c r="A1941" s="4">
        <v>9</v>
      </c>
      <c r="B1941" t="s">
        <v>11</v>
      </c>
      <c r="C1941" s="4">
        <v>30.86</v>
      </c>
      <c r="D1941" t="s">
        <v>19</v>
      </c>
      <c r="E1941" t="s">
        <v>13</v>
      </c>
      <c r="F1941" s="4" t="s">
        <v>25</v>
      </c>
      <c r="G1941" s="4" t="s">
        <v>37</v>
      </c>
      <c r="H1941" s="4">
        <v>1</v>
      </c>
      <c r="I1941" s="4">
        <v>10</v>
      </c>
      <c r="J1941" s="1">
        <v>45586</v>
      </c>
      <c r="K1941" s="2">
        <v>3.4074074074074072E-3</v>
      </c>
      <c r="M1941" s="4" t="str">
        <f t="shared" si="90"/>
        <v>LOW</v>
      </c>
      <c r="N1941" s="4" t="str" cm="1">
        <f t="array" ref="N1941">_xlfn.IFS(C1941&gt;35,"HIGH",C1941&gt;25,"MIDDLE",TRUE,"LOW")</f>
        <v>MIDDLE</v>
      </c>
      <c r="O1941" s="4" t="str">
        <f t="shared" si="91"/>
        <v>OTHERS</v>
      </c>
      <c r="P1941" s="4" t="str">
        <f t="shared" si="92"/>
        <v>PREMINUM MORNING</v>
      </c>
    </row>
    <row r="1942" spans="1:16" x14ac:dyDescent="0.3">
      <c r="A1942" s="4">
        <v>9</v>
      </c>
      <c r="B1942" t="s">
        <v>11</v>
      </c>
      <c r="C1942" s="4">
        <v>35.76</v>
      </c>
      <c r="D1942" t="s">
        <v>12</v>
      </c>
      <c r="E1942" t="s">
        <v>13</v>
      </c>
      <c r="F1942" s="4" t="s">
        <v>25</v>
      </c>
      <c r="G1942" s="4" t="s">
        <v>37</v>
      </c>
      <c r="H1942" s="4">
        <v>1</v>
      </c>
      <c r="I1942" s="4">
        <v>10</v>
      </c>
      <c r="J1942" s="1">
        <v>45586</v>
      </c>
      <c r="K1942" s="2">
        <v>2.390625E-2</v>
      </c>
      <c r="M1942" s="4" t="str">
        <f t="shared" si="90"/>
        <v>HIGH</v>
      </c>
      <c r="N1942" s="4" t="str" cm="1">
        <f t="array" ref="N1942">_xlfn.IFS(C1942&gt;35,"HIGH",C1942&gt;25,"MIDDLE",TRUE,"LOW")</f>
        <v>HIGH</v>
      </c>
      <c r="O1942" s="4" t="str">
        <f t="shared" si="91"/>
        <v>PREMINUM MORNING</v>
      </c>
      <c r="P1942" s="4" t="str">
        <f t="shared" si="92"/>
        <v>PREMINUM MORNING</v>
      </c>
    </row>
    <row r="1943" spans="1:16" x14ac:dyDescent="0.3">
      <c r="A1943" s="4">
        <v>10</v>
      </c>
      <c r="B1943" t="s">
        <v>11</v>
      </c>
      <c r="C1943" s="4">
        <v>25.96</v>
      </c>
      <c r="D1943" t="s">
        <v>18</v>
      </c>
      <c r="E1943" t="s">
        <v>13</v>
      </c>
      <c r="F1943" s="4" t="s">
        <v>25</v>
      </c>
      <c r="G1943" s="4" t="s">
        <v>37</v>
      </c>
      <c r="H1943" s="4">
        <v>1</v>
      </c>
      <c r="I1943" s="4">
        <v>10</v>
      </c>
      <c r="J1943" s="1">
        <v>45586</v>
      </c>
      <c r="K1943" s="2">
        <v>1.7468749999999998E-2</v>
      </c>
      <c r="M1943" s="4" t="str">
        <f t="shared" si="90"/>
        <v>LOW</v>
      </c>
      <c r="N1943" s="4" t="str" cm="1">
        <f t="array" ref="N1943">_xlfn.IFS(C1943&gt;35,"HIGH",C1943&gt;25,"MIDDLE",TRUE,"LOW")</f>
        <v>MIDDLE</v>
      </c>
      <c r="O1943" s="4" t="str">
        <f t="shared" si="91"/>
        <v>OTHERS</v>
      </c>
      <c r="P1943" s="4" t="str">
        <f t="shared" si="92"/>
        <v>PREMINUM MORNING</v>
      </c>
    </row>
    <row r="1944" spans="1:16" x14ac:dyDescent="0.3">
      <c r="A1944" s="4">
        <v>10</v>
      </c>
      <c r="B1944" t="s">
        <v>11</v>
      </c>
      <c r="C1944" s="4">
        <v>25.96</v>
      </c>
      <c r="D1944" t="s">
        <v>24</v>
      </c>
      <c r="E1944" t="s">
        <v>13</v>
      </c>
      <c r="F1944" s="4" t="s">
        <v>25</v>
      </c>
      <c r="G1944" s="4" t="s">
        <v>37</v>
      </c>
      <c r="H1944" s="4">
        <v>1</v>
      </c>
      <c r="I1944" s="4">
        <v>10</v>
      </c>
      <c r="J1944" s="1">
        <v>45586</v>
      </c>
      <c r="K1944" s="2">
        <v>2.8989583333333332E-2</v>
      </c>
      <c r="M1944" s="4" t="str">
        <f t="shared" si="90"/>
        <v>LOW</v>
      </c>
      <c r="N1944" s="4" t="str" cm="1">
        <f t="array" ref="N1944">_xlfn.IFS(C1944&gt;35,"HIGH",C1944&gt;25,"MIDDLE",TRUE,"LOW")</f>
        <v>MIDDLE</v>
      </c>
      <c r="O1944" s="4" t="str">
        <f t="shared" si="91"/>
        <v>OTHERS</v>
      </c>
      <c r="P1944" s="4" t="str">
        <f t="shared" si="92"/>
        <v>PREMINUM MORNING</v>
      </c>
    </row>
    <row r="1945" spans="1:16" x14ac:dyDescent="0.3">
      <c r="A1945" s="4">
        <v>10</v>
      </c>
      <c r="B1945" t="s">
        <v>11</v>
      </c>
      <c r="C1945" s="4">
        <v>25.96</v>
      </c>
      <c r="D1945" t="s">
        <v>24</v>
      </c>
      <c r="E1945" t="s">
        <v>13</v>
      </c>
      <c r="F1945" s="4" t="s">
        <v>25</v>
      </c>
      <c r="G1945" s="4" t="s">
        <v>37</v>
      </c>
      <c r="H1945" s="4">
        <v>1</v>
      </c>
      <c r="I1945" s="4">
        <v>10</v>
      </c>
      <c r="J1945" s="1">
        <v>45586</v>
      </c>
      <c r="K1945" s="2">
        <v>2.9578703703703704E-2</v>
      </c>
      <c r="M1945" s="4" t="str">
        <f t="shared" si="90"/>
        <v>LOW</v>
      </c>
      <c r="N1945" s="4" t="str" cm="1">
        <f t="array" ref="N1945">_xlfn.IFS(C1945&gt;35,"HIGH",C1945&gt;25,"MIDDLE",TRUE,"LOW")</f>
        <v>MIDDLE</v>
      </c>
      <c r="O1945" s="4" t="str">
        <f t="shared" si="91"/>
        <v>OTHERS</v>
      </c>
      <c r="P1945" s="4" t="str">
        <f t="shared" si="92"/>
        <v>PREMINUM MORNING</v>
      </c>
    </row>
    <row r="1946" spans="1:16" x14ac:dyDescent="0.3">
      <c r="A1946" s="4">
        <v>11</v>
      </c>
      <c r="B1946" t="s">
        <v>11</v>
      </c>
      <c r="C1946" s="4">
        <v>21.06</v>
      </c>
      <c r="D1946" t="s">
        <v>26</v>
      </c>
      <c r="E1946" t="s">
        <v>13</v>
      </c>
      <c r="F1946" s="4" t="s">
        <v>25</v>
      </c>
      <c r="G1946" s="4" t="s">
        <v>37</v>
      </c>
      <c r="H1946" s="4">
        <v>1</v>
      </c>
      <c r="I1946" s="4">
        <v>10</v>
      </c>
      <c r="J1946" s="1">
        <v>45586</v>
      </c>
      <c r="K1946" s="2">
        <v>1.9232638888888889E-2</v>
      </c>
      <c r="M1946" s="4" t="str">
        <f t="shared" si="90"/>
        <v>LOW</v>
      </c>
      <c r="N1946" s="4" t="str" cm="1">
        <f t="array" ref="N1946">_xlfn.IFS(C1946&gt;35,"HIGH",C1946&gt;25,"MIDDLE",TRUE,"LOW")</f>
        <v>LOW</v>
      </c>
      <c r="O1946" s="4" t="str">
        <f t="shared" si="91"/>
        <v>OTHERS</v>
      </c>
      <c r="P1946" s="4" t="str">
        <f t="shared" si="92"/>
        <v>PREMINUM MORNING</v>
      </c>
    </row>
    <row r="1947" spans="1:16" x14ac:dyDescent="0.3">
      <c r="A1947" s="4">
        <v>12</v>
      </c>
      <c r="B1947" t="s">
        <v>11</v>
      </c>
      <c r="C1947" s="4">
        <v>35.76</v>
      </c>
      <c r="D1947" t="s">
        <v>29</v>
      </c>
      <c r="E1947" t="s">
        <v>17</v>
      </c>
      <c r="F1947" s="4" t="s">
        <v>25</v>
      </c>
      <c r="G1947" s="4" t="s">
        <v>37</v>
      </c>
      <c r="H1947" s="4">
        <v>1</v>
      </c>
      <c r="I1947" s="4">
        <v>10</v>
      </c>
      <c r="J1947" s="1">
        <v>45586</v>
      </c>
      <c r="K1947" s="2">
        <v>2.805902777777778E-2</v>
      </c>
      <c r="M1947" s="4" t="str">
        <f t="shared" si="90"/>
        <v>HIGH</v>
      </c>
      <c r="N1947" s="4" t="str" cm="1">
        <f t="array" ref="N1947">_xlfn.IFS(C1947&gt;35,"HIGH",C1947&gt;25,"MIDDLE",TRUE,"LOW")</f>
        <v>HIGH</v>
      </c>
      <c r="O1947" s="4" t="str">
        <f t="shared" si="91"/>
        <v>OTHERS</v>
      </c>
      <c r="P1947" s="4" t="str">
        <f t="shared" si="92"/>
        <v>PREMINUM MORNING</v>
      </c>
    </row>
    <row r="1948" spans="1:16" x14ac:dyDescent="0.3">
      <c r="A1948" s="4">
        <v>14</v>
      </c>
      <c r="B1948" t="s">
        <v>11</v>
      </c>
      <c r="C1948" s="4">
        <v>35.76</v>
      </c>
      <c r="D1948" t="s">
        <v>12</v>
      </c>
      <c r="E1948" t="s">
        <v>17</v>
      </c>
      <c r="F1948" s="4" t="s">
        <v>25</v>
      </c>
      <c r="G1948" s="4" t="s">
        <v>37</v>
      </c>
      <c r="H1948" s="4">
        <v>1</v>
      </c>
      <c r="I1948" s="4">
        <v>10</v>
      </c>
      <c r="J1948" s="1">
        <v>45586</v>
      </c>
      <c r="K1948" s="2">
        <v>2.9814814814814815E-2</v>
      </c>
      <c r="M1948" s="4" t="str">
        <f t="shared" si="90"/>
        <v>HIGH</v>
      </c>
      <c r="N1948" s="4" t="str" cm="1">
        <f t="array" ref="N1948">_xlfn.IFS(C1948&gt;35,"HIGH",C1948&gt;25,"MIDDLE",TRUE,"LOW")</f>
        <v>HIGH</v>
      </c>
      <c r="O1948" s="4" t="str">
        <f t="shared" si="91"/>
        <v>OTHERS</v>
      </c>
      <c r="P1948" s="4" t="str">
        <f t="shared" si="92"/>
        <v>PREMINUM MORNING</v>
      </c>
    </row>
    <row r="1949" spans="1:16" x14ac:dyDescent="0.3">
      <c r="A1949" s="4">
        <v>14</v>
      </c>
      <c r="B1949" t="s">
        <v>11</v>
      </c>
      <c r="C1949" s="4">
        <v>35.76</v>
      </c>
      <c r="D1949" t="s">
        <v>12</v>
      </c>
      <c r="E1949" t="s">
        <v>17</v>
      </c>
      <c r="F1949" s="4" t="s">
        <v>25</v>
      </c>
      <c r="G1949" s="4" t="s">
        <v>37</v>
      </c>
      <c r="H1949" s="4">
        <v>1</v>
      </c>
      <c r="I1949" s="4">
        <v>10</v>
      </c>
      <c r="J1949" s="1">
        <v>45586</v>
      </c>
      <c r="K1949" s="2">
        <v>3.0532407407407407E-2</v>
      </c>
      <c r="M1949" s="4" t="str">
        <f t="shared" si="90"/>
        <v>HIGH</v>
      </c>
      <c r="N1949" s="4" t="str" cm="1">
        <f t="array" ref="N1949">_xlfn.IFS(C1949&gt;35,"HIGH",C1949&gt;25,"MIDDLE",TRUE,"LOW")</f>
        <v>HIGH</v>
      </c>
      <c r="O1949" s="4" t="str">
        <f t="shared" si="91"/>
        <v>OTHERS</v>
      </c>
      <c r="P1949" s="4" t="str">
        <f t="shared" si="92"/>
        <v>PREMINUM MORNING</v>
      </c>
    </row>
    <row r="1950" spans="1:16" x14ac:dyDescent="0.3">
      <c r="A1950" s="4">
        <v>15</v>
      </c>
      <c r="B1950" t="s">
        <v>11</v>
      </c>
      <c r="C1950" s="4">
        <v>30.86</v>
      </c>
      <c r="D1950" t="s">
        <v>19</v>
      </c>
      <c r="E1950" t="s">
        <v>17</v>
      </c>
      <c r="F1950" s="4" t="s">
        <v>25</v>
      </c>
      <c r="G1950" s="4" t="s">
        <v>37</v>
      </c>
      <c r="H1950" s="4">
        <v>1</v>
      </c>
      <c r="I1950" s="4">
        <v>10</v>
      </c>
      <c r="J1950" s="1">
        <v>45586</v>
      </c>
      <c r="K1950" s="2">
        <v>1.8777777777777779E-2</v>
      </c>
      <c r="M1950" s="4" t="str">
        <f t="shared" si="90"/>
        <v>LOW</v>
      </c>
      <c r="N1950" s="4" t="str" cm="1">
        <f t="array" ref="N1950">_xlfn.IFS(C1950&gt;35,"HIGH",C1950&gt;25,"MIDDLE",TRUE,"LOW")</f>
        <v>MIDDLE</v>
      </c>
      <c r="O1950" s="4" t="str">
        <f t="shared" si="91"/>
        <v>OTHERS</v>
      </c>
      <c r="P1950" s="4" t="str">
        <f t="shared" si="92"/>
        <v>OTHERS</v>
      </c>
    </row>
    <row r="1951" spans="1:16" x14ac:dyDescent="0.3">
      <c r="A1951" s="4">
        <v>15</v>
      </c>
      <c r="B1951" t="s">
        <v>11</v>
      </c>
      <c r="C1951" s="4">
        <v>25.96</v>
      </c>
      <c r="D1951" t="s">
        <v>24</v>
      </c>
      <c r="E1951" t="s">
        <v>17</v>
      </c>
      <c r="F1951" s="4" t="s">
        <v>25</v>
      </c>
      <c r="G1951" s="4" t="s">
        <v>37</v>
      </c>
      <c r="H1951" s="4">
        <v>1</v>
      </c>
      <c r="I1951" s="4">
        <v>10</v>
      </c>
      <c r="J1951" s="1">
        <v>45586</v>
      </c>
      <c r="K1951" s="2">
        <v>2.7137731481481478E-2</v>
      </c>
      <c r="M1951" s="4" t="str">
        <f t="shared" si="90"/>
        <v>LOW</v>
      </c>
      <c r="N1951" s="4" t="str" cm="1">
        <f t="array" ref="N1951">_xlfn.IFS(C1951&gt;35,"HIGH",C1951&gt;25,"MIDDLE",TRUE,"LOW")</f>
        <v>MIDDLE</v>
      </c>
      <c r="O1951" s="4" t="str">
        <f t="shared" si="91"/>
        <v>OTHERS</v>
      </c>
      <c r="P1951" s="4" t="str">
        <f t="shared" si="92"/>
        <v>OTHERS</v>
      </c>
    </row>
    <row r="1952" spans="1:16" x14ac:dyDescent="0.3">
      <c r="A1952" s="4">
        <v>16</v>
      </c>
      <c r="B1952" t="s">
        <v>11</v>
      </c>
      <c r="C1952" s="4">
        <v>35.76</v>
      </c>
      <c r="D1952" t="s">
        <v>21</v>
      </c>
      <c r="E1952" t="s">
        <v>17</v>
      </c>
      <c r="F1952" s="4" t="s">
        <v>25</v>
      </c>
      <c r="G1952" s="4" t="s">
        <v>37</v>
      </c>
      <c r="H1952" s="4">
        <v>1</v>
      </c>
      <c r="I1952" s="4">
        <v>10</v>
      </c>
      <c r="J1952" s="1">
        <v>45586</v>
      </c>
      <c r="K1952" s="2">
        <v>2.9832175925925925E-2</v>
      </c>
      <c r="M1952" s="4" t="str">
        <f t="shared" si="90"/>
        <v>HIGH</v>
      </c>
      <c r="N1952" s="4" t="str" cm="1">
        <f t="array" ref="N1952">_xlfn.IFS(C1952&gt;35,"HIGH",C1952&gt;25,"MIDDLE",TRUE,"LOW")</f>
        <v>HIGH</v>
      </c>
      <c r="O1952" s="4" t="str">
        <f t="shared" si="91"/>
        <v>OTHERS</v>
      </c>
      <c r="P1952" s="4" t="str">
        <f t="shared" si="92"/>
        <v>PREMINUM MORNING</v>
      </c>
    </row>
    <row r="1953" spans="1:16" x14ac:dyDescent="0.3">
      <c r="A1953" s="4">
        <v>16</v>
      </c>
      <c r="B1953" t="s">
        <v>11</v>
      </c>
      <c r="C1953" s="4">
        <v>35.76</v>
      </c>
      <c r="D1953" t="s">
        <v>12</v>
      </c>
      <c r="E1953" t="s">
        <v>17</v>
      </c>
      <c r="F1953" s="4" t="s">
        <v>25</v>
      </c>
      <c r="G1953" s="4" t="s">
        <v>37</v>
      </c>
      <c r="H1953" s="4">
        <v>1</v>
      </c>
      <c r="I1953" s="4">
        <v>10</v>
      </c>
      <c r="J1953" s="1">
        <v>45586</v>
      </c>
      <c r="K1953" s="2">
        <v>3.8454861111111113E-2</v>
      </c>
      <c r="M1953" s="4" t="str">
        <f t="shared" si="90"/>
        <v>HIGH</v>
      </c>
      <c r="N1953" s="4" t="str" cm="1">
        <f t="array" ref="N1953">_xlfn.IFS(C1953&gt;35,"HIGH",C1953&gt;25,"MIDDLE",TRUE,"LOW")</f>
        <v>HIGH</v>
      </c>
      <c r="O1953" s="4" t="str">
        <f t="shared" si="91"/>
        <v>OTHERS</v>
      </c>
      <c r="P1953" s="4" t="str">
        <f t="shared" si="92"/>
        <v>PREMINUM MORNING</v>
      </c>
    </row>
    <row r="1954" spans="1:16" x14ac:dyDescent="0.3">
      <c r="A1954" s="4">
        <v>19</v>
      </c>
      <c r="B1954" t="s">
        <v>11</v>
      </c>
      <c r="C1954" s="4">
        <v>35.76</v>
      </c>
      <c r="D1954" t="s">
        <v>16</v>
      </c>
      <c r="E1954" t="s">
        <v>20</v>
      </c>
      <c r="F1954" s="4" t="s">
        <v>25</v>
      </c>
      <c r="G1954" s="4" t="s">
        <v>37</v>
      </c>
      <c r="H1954" s="4">
        <v>1</v>
      </c>
      <c r="I1954" s="4">
        <v>10</v>
      </c>
      <c r="J1954" s="1">
        <v>45586</v>
      </c>
      <c r="K1954" s="2">
        <v>1.4738425925925927E-2</v>
      </c>
      <c r="M1954" s="4" t="str">
        <f t="shared" si="90"/>
        <v>HIGH</v>
      </c>
      <c r="N1954" s="4" t="str" cm="1">
        <f t="array" ref="N1954">_xlfn.IFS(C1954&gt;35,"HIGH",C1954&gt;25,"MIDDLE",TRUE,"LOW")</f>
        <v>HIGH</v>
      </c>
      <c r="O1954" s="4" t="str">
        <f t="shared" si="91"/>
        <v>OTHERS</v>
      </c>
      <c r="P1954" s="4" t="str">
        <f t="shared" si="92"/>
        <v>PREMINUM MORNING</v>
      </c>
    </row>
    <row r="1955" spans="1:16" x14ac:dyDescent="0.3">
      <c r="A1955" s="4">
        <v>21</v>
      </c>
      <c r="B1955" t="s">
        <v>11</v>
      </c>
      <c r="C1955" s="4">
        <v>35.76</v>
      </c>
      <c r="D1955" t="s">
        <v>12</v>
      </c>
      <c r="E1955" t="s">
        <v>20</v>
      </c>
      <c r="F1955" s="4" t="s">
        <v>25</v>
      </c>
      <c r="G1955" s="4" t="s">
        <v>37</v>
      </c>
      <c r="H1955" s="4">
        <v>1</v>
      </c>
      <c r="I1955" s="4">
        <v>10</v>
      </c>
      <c r="J1955" s="1">
        <v>45586</v>
      </c>
      <c r="K1955" s="2">
        <v>3.8900462962962964E-3</v>
      </c>
      <c r="M1955" s="4" t="str">
        <f t="shared" si="90"/>
        <v>HIGH</v>
      </c>
      <c r="N1955" s="4" t="str" cm="1">
        <f t="array" ref="N1955">_xlfn.IFS(C1955&gt;35,"HIGH",C1955&gt;25,"MIDDLE",TRUE,"LOW")</f>
        <v>HIGH</v>
      </c>
      <c r="O1955" s="4" t="str">
        <f t="shared" si="91"/>
        <v>OTHERS</v>
      </c>
      <c r="P1955" s="4" t="str">
        <f t="shared" si="92"/>
        <v>PREMINUM MORNING</v>
      </c>
    </row>
    <row r="1956" spans="1:16" x14ac:dyDescent="0.3">
      <c r="A1956" s="4">
        <v>22</v>
      </c>
      <c r="B1956" t="s">
        <v>11</v>
      </c>
      <c r="C1956" s="4">
        <v>35.76</v>
      </c>
      <c r="D1956" t="s">
        <v>21</v>
      </c>
      <c r="E1956" t="s">
        <v>20</v>
      </c>
      <c r="F1956" s="4" t="s">
        <v>25</v>
      </c>
      <c r="G1956" s="4" t="s">
        <v>37</v>
      </c>
      <c r="H1956" s="4">
        <v>1</v>
      </c>
      <c r="I1956" s="4">
        <v>10</v>
      </c>
      <c r="J1956" s="1">
        <v>45586</v>
      </c>
      <c r="K1956" s="2">
        <v>2.134837962962963E-2</v>
      </c>
      <c r="M1956" s="4" t="str">
        <f t="shared" si="90"/>
        <v>HIGH</v>
      </c>
      <c r="N1956" s="4" t="str" cm="1">
        <f t="array" ref="N1956">_xlfn.IFS(C1956&gt;35,"HIGH",C1956&gt;25,"MIDDLE",TRUE,"LOW")</f>
        <v>HIGH</v>
      </c>
      <c r="O1956" s="4" t="str">
        <f t="shared" si="91"/>
        <v>OTHERS</v>
      </c>
      <c r="P1956" s="4" t="str">
        <f t="shared" si="92"/>
        <v>PREMINUM MORNING</v>
      </c>
    </row>
    <row r="1957" spans="1:16" x14ac:dyDescent="0.3">
      <c r="A1957" s="4">
        <v>22</v>
      </c>
      <c r="B1957" t="s">
        <v>11</v>
      </c>
      <c r="C1957" s="4">
        <v>35.76</v>
      </c>
      <c r="D1957" t="s">
        <v>16</v>
      </c>
      <c r="E1957" t="s">
        <v>20</v>
      </c>
      <c r="F1957" s="4" t="s">
        <v>25</v>
      </c>
      <c r="G1957" s="4" t="s">
        <v>37</v>
      </c>
      <c r="H1957" s="4">
        <v>1</v>
      </c>
      <c r="I1957" s="4">
        <v>10</v>
      </c>
      <c r="J1957" s="1">
        <v>45586</v>
      </c>
      <c r="K1957" s="2">
        <v>2.1921296296296296E-2</v>
      </c>
      <c r="M1957" s="4" t="str">
        <f t="shared" si="90"/>
        <v>HIGH</v>
      </c>
      <c r="N1957" s="4" t="str" cm="1">
        <f t="array" ref="N1957">_xlfn.IFS(C1957&gt;35,"HIGH",C1957&gt;25,"MIDDLE",TRUE,"LOW")</f>
        <v>HIGH</v>
      </c>
      <c r="O1957" s="4" t="str">
        <f t="shared" si="91"/>
        <v>OTHERS</v>
      </c>
      <c r="P1957" s="4" t="str">
        <f t="shared" si="92"/>
        <v>PREMINUM MORNING</v>
      </c>
    </row>
    <row r="1958" spans="1:16" x14ac:dyDescent="0.3">
      <c r="A1958" s="4">
        <v>7</v>
      </c>
      <c r="B1958" t="s">
        <v>11</v>
      </c>
      <c r="C1958" s="4">
        <v>35.76</v>
      </c>
      <c r="D1958" t="s">
        <v>12</v>
      </c>
      <c r="E1958" t="s">
        <v>13</v>
      </c>
      <c r="F1958" s="4" t="s">
        <v>27</v>
      </c>
      <c r="G1958" s="4" t="s">
        <v>37</v>
      </c>
      <c r="H1958" s="4">
        <v>2</v>
      </c>
      <c r="I1958" s="4">
        <v>10</v>
      </c>
      <c r="J1958" s="1">
        <v>45587</v>
      </c>
      <c r="K1958" s="2">
        <v>2.2910879629629628E-2</v>
      </c>
      <c r="M1958" s="4" t="str">
        <f t="shared" si="90"/>
        <v>HIGH</v>
      </c>
      <c r="N1958" s="4" t="str" cm="1">
        <f t="array" ref="N1958">_xlfn.IFS(C1958&gt;35,"HIGH",C1958&gt;25,"MIDDLE",TRUE,"LOW")</f>
        <v>HIGH</v>
      </c>
      <c r="O1958" s="4" t="str">
        <f t="shared" si="91"/>
        <v>PREMINUM MORNING</v>
      </c>
      <c r="P1958" s="4" t="str">
        <f t="shared" si="92"/>
        <v>PREMINUM MORNING</v>
      </c>
    </row>
    <row r="1959" spans="1:16" x14ac:dyDescent="0.3">
      <c r="A1959" s="4">
        <v>7</v>
      </c>
      <c r="B1959" t="s">
        <v>11</v>
      </c>
      <c r="C1959" s="4">
        <v>35.76</v>
      </c>
      <c r="D1959" t="s">
        <v>29</v>
      </c>
      <c r="E1959" t="s">
        <v>13</v>
      </c>
      <c r="F1959" s="4" t="s">
        <v>27</v>
      </c>
      <c r="G1959" s="4" t="s">
        <v>37</v>
      </c>
      <c r="H1959" s="4">
        <v>2</v>
      </c>
      <c r="I1959" s="4">
        <v>10</v>
      </c>
      <c r="J1959" s="1">
        <v>45587</v>
      </c>
      <c r="K1959" s="2">
        <v>2.361111111111111E-2</v>
      </c>
      <c r="M1959" s="4" t="str">
        <f t="shared" si="90"/>
        <v>HIGH</v>
      </c>
      <c r="N1959" s="4" t="str" cm="1">
        <f t="array" ref="N1959">_xlfn.IFS(C1959&gt;35,"HIGH",C1959&gt;25,"MIDDLE",TRUE,"LOW")</f>
        <v>HIGH</v>
      </c>
      <c r="O1959" s="4" t="str">
        <f t="shared" si="91"/>
        <v>PREMINUM MORNING</v>
      </c>
      <c r="P1959" s="4" t="str">
        <f t="shared" si="92"/>
        <v>PREMINUM MORNING</v>
      </c>
    </row>
    <row r="1960" spans="1:16" x14ac:dyDescent="0.3">
      <c r="A1960" s="4">
        <v>8</v>
      </c>
      <c r="B1960" t="s">
        <v>11</v>
      </c>
      <c r="C1960" s="4">
        <v>30.86</v>
      </c>
      <c r="D1960" t="s">
        <v>19</v>
      </c>
      <c r="E1960" t="s">
        <v>13</v>
      </c>
      <c r="F1960" s="4" t="s">
        <v>27</v>
      </c>
      <c r="G1960" s="4" t="s">
        <v>37</v>
      </c>
      <c r="H1960" s="4">
        <v>2</v>
      </c>
      <c r="I1960" s="4">
        <v>10</v>
      </c>
      <c r="J1960" s="1">
        <v>45587</v>
      </c>
      <c r="K1960" s="2">
        <v>1.7733796296296296E-2</v>
      </c>
      <c r="M1960" s="4" t="str">
        <f t="shared" si="90"/>
        <v>LOW</v>
      </c>
      <c r="N1960" s="4" t="str" cm="1">
        <f t="array" ref="N1960">_xlfn.IFS(C1960&gt;35,"HIGH",C1960&gt;25,"MIDDLE",TRUE,"LOW")</f>
        <v>MIDDLE</v>
      </c>
      <c r="O1960" s="4" t="str">
        <f t="shared" si="91"/>
        <v>OTHERS</v>
      </c>
      <c r="P1960" s="4" t="str">
        <f t="shared" si="92"/>
        <v>PREMINUM MORNING</v>
      </c>
    </row>
    <row r="1961" spans="1:16" x14ac:dyDescent="0.3">
      <c r="A1961" s="4">
        <v>9</v>
      </c>
      <c r="B1961" t="s">
        <v>11</v>
      </c>
      <c r="C1961" s="4">
        <v>25.96</v>
      </c>
      <c r="D1961" t="s">
        <v>24</v>
      </c>
      <c r="E1961" t="s">
        <v>13</v>
      </c>
      <c r="F1961" s="4" t="s">
        <v>27</v>
      </c>
      <c r="G1961" s="4" t="s">
        <v>37</v>
      </c>
      <c r="H1961" s="4">
        <v>2</v>
      </c>
      <c r="I1961" s="4">
        <v>10</v>
      </c>
      <c r="J1961" s="1">
        <v>45587</v>
      </c>
      <c r="K1961" s="2">
        <v>1.238888888888889E-2</v>
      </c>
      <c r="M1961" s="4" t="str">
        <f t="shared" si="90"/>
        <v>LOW</v>
      </c>
      <c r="N1961" s="4" t="str" cm="1">
        <f t="array" ref="N1961">_xlfn.IFS(C1961&gt;35,"HIGH",C1961&gt;25,"MIDDLE",TRUE,"LOW")</f>
        <v>MIDDLE</v>
      </c>
      <c r="O1961" s="4" t="str">
        <f t="shared" si="91"/>
        <v>OTHERS</v>
      </c>
      <c r="P1961" s="4" t="str">
        <f t="shared" si="92"/>
        <v>PREMINUM MORNING</v>
      </c>
    </row>
    <row r="1962" spans="1:16" x14ac:dyDescent="0.3">
      <c r="A1962" s="4">
        <v>10</v>
      </c>
      <c r="B1962" t="s">
        <v>11</v>
      </c>
      <c r="C1962" s="4">
        <v>21.06</v>
      </c>
      <c r="D1962" t="s">
        <v>26</v>
      </c>
      <c r="E1962" t="s">
        <v>13</v>
      </c>
      <c r="F1962" s="4" t="s">
        <v>27</v>
      </c>
      <c r="G1962" s="4" t="s">
        <v>37</v>
      </c>
      <c r="H1962" s="4">
        <v>2</v>
      </c>
      <c r="I1962" s="4">
        <v>10</v>
      </c>
      <c r="J1962" s="1">
        <v>45587</v>
      </c>
      <c r="K1962" s="2">
        <v>3.5790509259259258E-2</v>
      </c>
      <c r="M1962" s="4" t="str">
        <f t="shared" si="90"/>
        <v>LOW</v>
      </c>
      <c r="N1962" s="4" t="str" cm="1">
        <f t="array" ref="N1962">_xlfn.IFS(C1962&gt;35,"HIGH",C1962&gt;25,"MIDDLE",TRUE,"LOW")</f>
        <v>LOW</v>
      </c>
      <c r="O1962" s="4" t="str">
        <f t="shared" si="91"/>
        <v>OTHERS</v>
      </c>
      <c r="P1962" s="4" t="str">
        <f t="shared" si="92"/>
        <v>PREMINUM MORNING</v>
      </c>
    </row>
    <row r="1963" spans="1:16" x14ac:dyDescent="0.3">
      <c r="A1963" s="4">
        <v>10</v>
      </c>
      <c r="B1963" t="s">
        <v>11</v>
      </c>
      <c r="C1963" s="4">
        <v>25.96</v>
      </c>
      <c r="D1963" t="s">
        <v>24</v>
      </c>
      <c r="E1963" t="s">
        <v>13</v>
      </c>
      <c r="F1963" s="4" t="s">
        <v>27</v>
      </c>
      <c r="G1963" s="4" t="s">
        <v>37</v>
      </c>
      <c r="H1963" s="4">
        <v>2</v>
      </c>
      <c r="I1963" s="4">
        <v>10</v>
      </c>
      <c r="J1963" s="1">
        <v>45587</v>
      </c>
      <c r="K1963" s="2">
        <v>3.6309027777777773E-2</v>
      </c>
      <c r="M1963" s="4" t="str">
        <f t="shared" si="90"/>
        <v>LOW</v>
      </c>
      <c r="N1963" s="4" t="str" cm="1">
        <f t="array" ref="N1963">_xlfn.IFS(C1963&gt;35,"HIGH",C1963&gt;25,"MIDDLE",TRUE,"LOW")</f>
        <v>MIDDLE</v>
      </c>
      <c r="O1963" s="4" t="str">
        <f t="shared" si="91"/>
        <v>OTHERS</v>
      </c>
      <c r="P1963" s="4" t="str">
        <f t="shared" si="92"/>
        <v>PREMINUM MORNING</v>
      </c>
    </row>
    <row r="1964" spans="1:16" x14ac:dyDescent="0.3">
      <c r="A1964" s="4">
        <v>18</v>
      </c>
      <c r="B1964" t="s">
        <v>11</v>
      </c>
      <c r="C1964" s="4">
        <v>25.96</v>
      </c>
      <c r="D1964" t="s">
        <v>18</v>
      </c>
      <c r="E1964" t="s">
        <v>20</v>
      </c>
      <c r="F1964" s="4" t="s">
        <v>27</v>
      </c>
      <c r="G1964" s="4" t="s">
        <v>37</v>
      </c>
      <c r="H1964" s="4">
        <v>2</v>
      </c>
      <c r="I1964" s="4">
        <v>10</v>
      </c>
      <c r="J1964" s="1">
        <v>45587</v>
      </c>
      <c r="K1964" s="2">
        <v>4.891203703703704E-3</v>
      </c>
      <c r="M1964" s="4" t="str">
        <f t="shared" si="90"/>
        <v>LOW</v>
      </c>
      <c r="N1964" s="4" t="str" cm="1">
        <f t="array" ref="N1964">_xlfn.IFS(C1964&gt;35,"HIGH",C1964&gt;25,"MIDDLE",TRUE,"LOW")</f>
        <v>MIDDLE</v>
      </c>
      <c r="O1964" s="4" t="str">
        <f t="shared" si="91"/>
        <v>OTHERS</v>
      </c>
      <c r="P1964" s="4" t="str">
        <f t="shared" si="92"/>
        <v>OTHERS</v>
      </c>
    </row>
    <row r="1965" spans="1:16" x14ac:dyDescent="0.3">
      <c r="A1965" s="4">
        <v>19</v>
      </c>
      <c r="B1965" t="s">
        <v>11</v>
      </c>
      <c r="C1965" s="4">
        <v>35.76</v>
      </c>
      <c r="D1965" t="s">
        <v>16</v>
      </c>
      <c r="E1965" t="s">
        <v>20</v>
      </c>
      <c r="F1965" s="4" t="s">
        <v>27</v>
      </c>
      <c r="G1965" s="4" t="s">
        <v>37</v>
      </c>
      <c r="H1965" s="4">
        <v>2</v>
      </c>
      <c r="I1965" s="4">
        <v>10</v>
      </c>
      <c r="J1965" s="1">
        <v>45587</v>
      </c>
      <c r="K1965" s="2">
        <v>3.2398148148148148E-2</v>
      </c>
      <c r="M1965" s="4" t="str">
        <f t="shared" si="90"/>
        <v>HIGH</v>
      </c>
      <c r="N1965" s="4" t="str" cm="1">
        <f t="array" ref="N1965">_xlfn.IFS(C1965&gt;35,"HIGH",C1965&gt;25,"MIDDLE",TRUE,"LOW")</f>
        <v>HIGH</v>
      </c>
      <c r="O1965" s="4" t="str">
        <f t="shared" si="91"/>
        <v>OTHERS</v>
      </c>
      <c r="P1965" s="4" t="str">
        <f t="shared" si="92"/>
        <v>PREMINUM MORNING</v>
      </c>
    </row>
    <row r="1966" spans="1:16" x14ac:dyDescent="0.3">
      <c r="A1966" s="4">
        <v>19</v>
      </c>
      <c r="B1966" t="s">
        <v>11</v>
      </c>
      <c r="C1966" s="4">
        <v>35.76</v>
      </c>
      <c r="D1966" t="s">
        <v>12</v>
      </c>
      <c r="E1966" t="s">
        <v>20</v>
      </c>
      <c r="F1966" s="4" t="s">
        <v>27</v>
      </c>
      <c r="G1966" s="4" t="s">
        <v>37</v>
      </c>
      <c r="H1966" s="4">
        <v>2</v>
      </c>
      <c r="I1966" s="4">
        <v>10</v>
      </c>
      <c r="J1966" s="1">
        <v>45587</v>
      </c>
      <c r="K1966" s="2">
        <v>3.322337962962963E-2</v>
      </c>
      <c r="M1966" s="4" t="str">
        <f t="shared" si="90"/>
        <v>HIGH</v>
      </c>
      <c r="N1966" s="4" t="str" cm="1">
        <f t="array" ref="N1966">_xlfn.IFS(C1966&gt;35,"HIGH",C1966&gt;25,"MIDDLE",TRUE,"LOW")</f>
        <v>HIGH</v>
      </c>
      <c r="O1966" s="4" t="str">
        <f t="shared" si="91"/>
        <v>OTHERS</v>
      </c>
      <c r="P1966" s="4" t="str">
        <f t="shared" si="92"/>
        <v>PREMINUM MORNING</v>
      </c>
    </row>
    <row r="1967" spans="1:16" x14ac:dyDescent="0.3">
      <c r="A1967" s="4">
        <v>7</v>
      </c>
      <c r="B1967" t="s">
        <v>11</v>
      </c>
      <c r="C1967" s="4">
        <v>35.76</v>
      </c>
      <c r="D1967" t="s">
        <v>12</v>
      </c>
      <c r="E1967" t="s">
        <v>13</v>
      </c>
      <c r="F1967" s="4" t="s">
        <v>28</v>
      </c>
      <c r="G1967" s="4" t="s">
        <v>37</v>
      </c>
      <c r="H1967" s="4">
        <v>3</v>
      </c>
      <c r="I1967" s="4">
        <v>10</v>
      </c>
      <c r="J1967" s="1">
        <v>45588</v>
      </c>
      <c r="K1967" s="2">
        <v>4.0356481481481486E-2</v>
      </c>
      <c r="M1967" s="4" t="str">
        <f t="shared" si="90"/>
        <v>HIGH</v>
      </c>
      <c r="N1967" s="4" t="str" cm="1">
        <f t="array" ref="N1967">_xlfn.IFS(C1967&gt;35,"HIGH",C1967&gt;25,"MIDDLE",TRUE,"LOW")</f>
        <v>HIGH</v>
      </c>
      <c r="O1967" s="4" t="str">
        <f t="shared" si="91"/>
        <v>PREMINUM MORNING</v>
      </c>
      <c r="P1967" s="4" t="str">
        <f t="shared" si="92"/>
        <v>PREMINUM MORNING</v>
      </c>
    </row>
    <row r="1968" spans="1:16" x14ac:dyDescent="0.3">
      <c r="A1968" s="4">
        <v>8</v>
      </c>
      <c r="B1968" t="s">
        <v>11</v>
      </c>
      <c r="C1968" s="4">
        <v>30.86</v>
      </c>
      <c r="D1968" t="s">
        <v>19</v>
      </c>
      <c r="E1968" t="s">
        <v>13</v>
      </c>
      <c r="F1968" s="4" t="s">
        <v>28</v>
      </c>
      <c r="G1968" s="4" t="s">
        <v>37</v>
      </c>
      <c r="H1968" s="4">
        <v>3</v>
      </c>
      <c r="I1968" s="4">
        <v>10</v>
      </c>
      <c r="J1968" s="1">
        <v>45588</v>
      </c>
      <c r="K1968" s="2">
        <v>3.1421296296296301E-2</v>
      </c>
      <c r="M1968" s="4" t="str">
        <f t="shared" si="90"/>
        <v>LOW</v>
      </c>
      <c r="N1968" s="4" t="str" cm="1">
        <f t="array" ref="N1968">_xlfn.IFS(C1968&gt;35,"HIGH",C1968&gt;25,"MIDDLE",TRUE,"LOW")</f>
        <v>MIDDLE</v>
      </c>
      <c r="O1968" s="4" t="str">
        <f t="shared" si="91"/>
        <v>OTHERS</v>
      </c>
      <c r="P1968" s="4" t="str">
        <f t="shared" si="92"/>
        <v>PREMINUM MORNING</v>
      </c>
    </row>
    <row r="1969" spans="1:16" x14ac:dyDescent="0.3">
      <c r="A1969" s="4">
        <v>10</v>
      </c>
      <c r="B1969" t="s">
        <v>11</v>
      </c>
      <c r="C1969" s="4">
        <v>25.96</v>
      </c>
      <c r="D1969" t="s">
        <v>24</v>
      </c>
      <c r="E1969" t="s">
        <v>13</v>
      </c>
      <c r="F1969" s="4" t="s">
        <v>28</v>
      </c>
      <c r="G1969" s="4" t="s">
        <v>37</v>
      </c>
      <c r="H1969" s="4">
        <v>3</v>
      </c>
      <c r="I1969" s="4">
        <v>10</v>
      </c>
      <c r="J1969" s="1">
        <v>45588</v>
      </c>
      <c r="K1969" s="2">
        <v>1.7335648148148149E-2</v>
      </c>
      <c r="M1969" s="4" t="str">
        <f t="shared" si="90"/>
        <v>LOW</v>
      </c>
      <c r="N1969" s="4" t="str" cm="1">
        <f t="array" ref="N1969">_xlfn.IFS(C1969&gt;35,"HIGH",C1969&gt;25,"MIDDLE",TRUE,"LOW")</f>
        <v>MIDDLE</v>
      </c>
      <c r="O1969" s="4" t="str">
        <f t="shared" si="91"/>
        <v>OTHERS</v>
      </c>
      <c r="P1969" s="4" t="str">
        <f t="shared" si="92"/>
        <v>PREMINUM MORNING</v>
      </c>
    </row>
    <row r="1970" spans="1:16" x14ac:dyDescent="0.3">
      <c r="A1970" s="4">
        <v>12</v>
      </c>
      <c r="B1970" t="s">
        <v>11</v>
      </c>
      <c r="C1970" s="4">
        <v>30.86</v>
      </c>
      <c r="D1970" t="s">
        <v>19</v>
      </c>
      <c r="E1970" t="s">
        <v>17</v>
      </c>
      <c r="F1970" s="4" t="s">
        <v>28</v>
      </c>
      <c r="G1970" s="4" t="s">
        <v>37</v>
      </c>
      <c r="H1970" s="4">
        <v>3</v>
      </c>
      <c r="I1970" s="4">
        <v>10</v>
      </c>
      <c r="J1970" s="1">
        <v>45588</v>
      </c>
      <c r="K1970" s="2">
        <v>2.1590277777777778E-2</v>
      </c>
      <c r="M1970" s="4" t="str">
        <f t="shared" si="90"/>
        <v>LOW</v>
      </c>
      <c r="N1970" s="4" t="str" cm="1">
        <f t="array" ref="N1970">_xlfn.IFS(C1970&gt;35,"HIGH",C1970&gt;25,"MIDDLE",TRUE,"LOW")</f>
        <v>MIDDLE</v>
      </c>
      <c r="O1970" s="4" t="str">
        <f t="shared" si="91"/>
        <v>OTHERS</v>
      </c>
      <c r="P1970" s="4" t="str">
        <f t="shared" si="92"/>
        <v>OTHERS</v>
      </c>
    </row>
    <row r="1971" spans="1:16" x14ac:dyDescent="0.3">
      <c r="A1971" s="4">
        <v>16</v>
      </c>
      <c r="B1971" t="s">
        <v>11</v>
      </c>
      <c r="C1971" s="4">
        <v>30.86</v>
      </c>
      <c r="D1971" t="s">
        <v>19</v>
      </c>
      <c r="E1971" t="s">
        <v>17</v>
      </c>
      <c r="F1971" s="4" t="s">
        <v>28</v>
      </c>
      <c r="G1971" s="4" t="s">
        <v>37</v>
      </c>
      <c r="H1971" s="4">
        <v>3</v>
      </c>
      <c r="I1971" s="4">
        <v>10</v>
      </c>
      <c r="J1971" s="1">
        <v>45588</v>
      </c>
      <c r="K1971" s="2">
        <v>1.3915509259259259E-2</v>
      </c>
      <c r="M1971" s="4" t="str">
        <f t="shared" si="90"/>
        <v>LOW</v>
      </c>
      <c r="N1971" s="4" t="str" cm="1">
        <f t="array" ref="N1971">_xlfn.IFS(C1971&gt;35,"HIGH",C1971&gt;25,"MIDDLE",TRUE,"LOW")</f>
        <v>MIDDLE</v>
      </c>
      <c r="O1971" s="4" t="str">
        <f t="shared" si="91"/>
        <v>OTHERS</v>
      </c>
      <c r="P1971" s="4" t="str">
        <f t="shared" si="92"/>
        <v>OTHERS</v>
      </c>
    </row>
    <row r="1972" spans="1:16" x14ac:dyDescent="0.3">
      <c r="A1972" s="4">
        <v>16</v>
      </c>
      <c r="B1972" t="s">
        <v>11</v>
      </c>
      <c r="C1972" s="4">
        <v>30.86</v>
      </c>
      <c r="D1972" t="s">
        <v>19</v>
      </c>
      <c r="E1972" t="s">
        <v>17</v>
      </c>
      <c r="F1972" s="4" t="s">
        <v>28</v>
      </c>
      <c r="G1972" s="4" t="s">
        <v>37</v>
      </c>
      <c r="H1972" s="4">
        <v>3</v>
      </c>
      <c r="I1972" s="4">
        <v>10</v>
      </c>
      <c r="J1972" s="1">
        <v>45588</v>
      </c>
      <c r="K1972" s="2">
        <v>1.4687499999999999E-2</v>
      </c>
      <c r="M1972" s="4" t="str">
        <f t="shared" si="90"/>
        <v>LOW</v>
      </c>
      <c r="N1972" s="4" t="str" cm="1">
        <f t="array" ref="N1972">_xlfn.IFS(C1972&gt;35,"HIGH",C1972&gt;25,"MIDDLE",TRUE,"LOW")</f>
        <v>MIDDLE</v>
      </c>
      <c r="O1972" s="4" t="str">
        <f t="shared" si="91"/>
        <v>OTHERS</v>
      </c>
      <c r="P1972" s="4" t="str">
        <f t="shared" si="92"/>
        <v>OTHERS</v>
      </c>
    </row>
    <row r="1973" spans="1:16" x14ac:dyDescent="0.3">
      <c r="A1973" s="4">
        <v>16</v>
      </c>
      <c r="B1973" t="s">
        <v>11</v>
      </c>
      <c r="C1973" s="4">
        <v>35.76</v>
      </c>
      <c r="D1973" t="s">
        <v>29</v>
      </c>
      <c r="E1973" t="s">
        <v>17</v>
      </c>
      <c r="F1973" s="4" t="s">
        <v>28</v>
      </c>
      <c r="G1973" s="4" t="s">
        <v>37</v>
      </c>
      <c r="H1973" s="4">
        <v>3</v>
      </c>
      <c r="I1973" s="4">
        <v>10</v>
      </c>
      <c r="J1973" s="1">
        <v>45588</v>
      </c>
      <c r="K1973" s="2">
        <v>2.9516203703703701E-2</v>
      </c>
      <c r="M1973" s="4" t="str">
        <f t="shared" si="90"/>
        <v>HIGH</v>
      </c>
      <c r="N1973" s="4" t="str" cm="1">
        <f t="array" ref="N1973">_xlfn.IFS(C1973&gt;35,"HIGH",C1973&gt;25,"MIDDLE",TRUE,"LOW")</f>
        <v>HIGH</v>
      </c>
      <c r="O1973" s="4" t="str">
        <f t="shared" si="91"/>
        <v>OTHERS</v>
      </c>
      <c r="P1973" s="4" t="str">
        <f t="shared" si="92"/>
        <v>PREMINUM MORNING</v>
      </c>
    </row>
    <row r="1974" spans="1:16" x14ac:dyDescent="0.3">
      <c r="A1974" s="4">
        <v>17</v>
      </c>
      <c r="B1974" t="s">
        <v>11</v>
      </c>
      <c r="C1974" s="4">
        <v>21.06</v>
      </c>
      <c r="D1974" t="s">
        <v>26</v>
      </c>
      <c r="E1974" t="s">
        <v>20</v>
      </c>
      <c r="F1974" s="4" t="s">
        <v>28</v>
      </c>
      <c r="G1974" s="4" t="s">
        <v>37</v>
      </c>
      <c r="H1974" s="4">
        <v>3</v>
      </c>
      <c r="I1974" s="4">
        <v>10</v>
      </c>
      <c r="J1974" s="1">
        <v>45588</v>
      </c>
      <c r="K1974" s="2">
        <v>1.9247685185185186E-3</v>
      </c>
      <c r="M1974" s="4" t="str">
        <f t="shared" si="90"/>
        <v>LOW</v>
      </c>
      <c r="N1974" s="4" t="str" cm="1">
        <f t="array" ref="N1974">_xlfn.IFS(C1974&gt;35,"HIGH",C1974&gt;25,"MIDDLE",TRUE,"LOW")</f>
        <v>LOW</v>
      </c>
      <c r="O1974" s="4" t="str">
        <f t="shared" si="91"/>
        <v>OTHERS</v>
      </c>
      <c r="P1974" s="4" t="str">
        <f t="shared" si="92"/>
        <v>OTHERS</v>
      </c>
    </row>
    <row r="1975" spans="1:16" x14ac:dyDescent="0.3">
      <c r="A1975" s="4">
        <v>18</v>
      </c>
      <c r="B1975" t="s">
        <v>11</v>
      </c>
      <c r="C1975" s="4">
        <v>35.76</v>
      </c>
      <c r="D1975" t="s">
        <v>21</v>
      </c>
      <c r="E1975" t="s">
        <v>20</v>
      </c>
      <c r="F1975" s="4" t="s">
        <v>28</v>
      </c>
      <c r="G1975" s="4" t="s">
        <v>37</v>
      </c>
      <c r="H1975" s="4">
        <v>3</v>
      </c>
      <c r="I1975" s="4">
        <v>10</v>
      </c>
      <c r="J1975" s="1">
        <v>45588</v>
      </c>
      <c r="K1975" s="2">
        <v>4.0954861111111109E-2</v>
      </c>
      <c r="M1975" s="4" t="str">
        <f t="shared" si="90"/>
        <v>HIGH</v>
      </c>
      <c r="N1975" s="4" t="str" cm="1">
        <f t="array" ref="N1975">_xlfn.IFS(C1975&gt;35,"HIGH",C1975&gt;25,"MIDDLE",TRUE,"LOW")</f>
        <v>HIGH</v>
      </c>
      <c r="O1975" s="4" t="str">
        <f t="shared" si="91"/>
        <v>OTHERS</v>
      </c>
      <c r="P1975" s="4" t="str">
        <f t="shared" si="92"/>
        <v>PREMINUM MORNING</v>
      </c>
    </row>
    <row r="1976" spans="1:16" x14ac:dyDescent="0.3">
      <c r="A1976" s="4">
        <v>19</v>
      </c>
      <c r="B1976" t="s">
        <v>11</v>
      </c>
      <c r="C1976" s="4">
        <v>35.76</v>
      </c>
      <c r="D1976" t="s">
        <v>29</v>
      </c>
      <c r="E1976" t="s">
        <v>20</v>
      </c>
      <c r="F1976" s="4" t="s">
        <v>28</v>
      </c>
      <c r="G1976" s="4" t="s">
        <v>37</v>
      </c>
      <c r="H1976" s="4">
        <v>3</v>
      </c>
      <c r="I1976" s="4">
        <v>10</v>
      </c>
      <c r="J1976" s="1">
        <v>45588</v>
      </c>
      <c r="K1976" s="2">
        <v>4.9768518518518521E-4</v>
      </c>
      <c r="M1976" s="4" t="str">
        <f t="shared" si="90"/>
        <v>HIGH</v>
      </c>
      <c r="N1976" s="4" t="str" cm="1">
        <f t="array" ref="N1976">_xlfn.IFS(C1976&gt;35,"HIGH",C1976&gt;25,"MIDDLE",TRUE,"LOW")</f>
        <v>HIGH</v>
      </c>
      <c r="O1976" s="4" t="str">
        <f t="shared" si="91"/>
        <v>OTHERS</v>
      </c>
      <c r="P1976" s="4" t="str">
        <f t="shared" si="92"/>
        <v>PREMINUM MORNING</v>
      </c>
    </row>
    <row r="1977" spans="1:16" x14ac:dyDescent="0.3">
      <c r="A1977" s="4">
        <v>21</v>
      </c>
      <c r="B1977" t="s">
        <v>11</v>
      </c>
      <c r="C1977" s="4">
        <v>30.86</v>
      </c>
      <c r="D1977" t="s">
        <v>19</v>
      </c>
      <c r="E1977" t="s">
        <v>20</v>
      </c>
      <c r="F1977" s="4" t="s">
        <v>28</v>
      </c>
      <c r="G1977" s="4" t="s">
        <v>37</v>
      </c>
      <c r="H1977" s="4">
        <v>3</v>
      </c>
      <c r="I1977" s="4">
        <v>10</v>
      </c>
      <c r="J1977" s="1">
        <v>45588</v>
      </c>
      <c r="K1977" s="2">
        <v>3.9822916666666666E-2</v>
      </c>
      <c r="M1977" s="4" t="str">
        <f t="shared" si="90"/>
        <v>LOW</v>
      </c>
      <c r="N1977" s="4" t="str" cm="1">
        <f t="array" ref="N1977">_xlfn.IFS(C1977&gt;35,"HIGH",C1977&gt;25,"MIDDLE",TRUE,"LOW")</f>
        <v>MIDDLE</v>
      </c>
      <c r="O1977" s="4" t="str">
        <f t="shared" si="91"/>
        <v>OTHERS</v>
      </c>
      <c r="P1977" s="4" t="str">
        <f t="shared" si="92"/>
        <v>OTHERS</v>
      </c>
    </row>
    <row r="1978" spans="1:16" x14ac:dyDescent="0.3">
      <c r="A1978" s="4">
        <v>21</v>
      </c>
      <c r="B1978" t="s">
        <v>11</v>
      </c>
      <c r="C1978" s="4">
        <v>35.76</v>
      </c>
      <c r="D1978" t="s">
        <v>16</v>
      </c>
      <c r="E1978" t="s">
        <v>20</v>
      </c>
      <c r="F1978" s="4" t="s">
        <v>28</v>
      </c>
      <c r="G1978" s="4" t="s">
        <v>37</v>
      </c>
      <c r="H1978" s="4">
        <v>3</v>
      </c>
      <c r="I1978" s="4">
        <v>10</v>
      </c>
      <c r="J1978" s="1">
        <v>45588</v>
      </c>
      <c r="K1978" s="2">
        <v>4.0552083333333329E-2</v>
      </c>
      <c r="M1978" s="4" t="str">
        <f t="shared" si="90"/>
        <v>HIGH</v>
      </c>
      <c r="N1978" s="4" t="str" cm="1">
        <f t="array" ref="N1978">_xlfn.IFS(C1978&gt;35,"HIGH",C1978&gt;25,"MIDDLE",TRUE,"LOW")</f>
        <v>HIGH</v>
      </c>
      <c r="O1978" s="4" t="str">
        <f t="shared" si="91"/>
        <v>OTHERS</v>
      </c>
      <c r="P1978" s="4" t="str">
        <f t="shared" si="92"/>
        <v>PREMINUM MORNING</v>
      </c>
    </row>
    <row r="1979" spans="1:16" x14ac:dyDescent="0.3">
      <c r="A1979" s="4">
        <v>22</v>
      </c>
      <c r="B1979" t="s">
        <v>11</v>
      </c>
      <c r="C1979" s="4">
        <v>35.76</v>
      </c>
      <c r="D1979" t="s">
        <v>12</v>
      </c>
      <c r="E1979" t="s">
        <v>20</v>
      </c>
      <c r="F1979" s="4" t="s">
        <v>28</v>
      </c>
      <c r="G1979" s="4" t="s">
        <v>37</v>
      </c>
      <c r="H1979" s="4">
        <v>3</v>
      </c>
      <c r="I1979" s="4">
        <v>10</v>
      </c>
      <c r="J1979" s="1">
        <v>45588</v>
      </c>
      <c r="K1979" s="2">
        <v>1.6415509259259258E-2</v>
      </c>
      <c r="M1979" s="4" t="str">
        <f t="shared" si="90"/>
        <v>HIGH</v>
      </c>
      <c r="N1979" s="4" t="str" cm="1">
        <f t="array" ref="N1979">_xlfn.IFS(C1979&gt;35,"HIGH",C1979&gt;25,"MIDDLE",TRUE,"LOW")</f>
        <v>HIGH</v>
      </c>
      <c r="O1979" s="4" t="str">
        <f t="shared" si="91"/>
        <v>OTHERS</v>
      </c>
      <c r="P1979" s="4" t="str">
        <f t="shared" si="92"/>
        <v>PREMINUM MORNING</v>
      </c>
    </row>
    <row r="1980" spans="1:16" x14ac:dyDescent="0.3">
      <c r="A1980" s="4">
        <v>12</v>
      </c>
      <c r="B1980" t="s">
        <v>11</v>
      </c>
      <c r="C1980" s="4">
        <v>25.96</v>
      </c>
      <c r="D1980" t="s">
        <v>18</v>
      </c>
      <c r="E1980" t="s">
        <v>17</v>
      </c>
      <c r="F1980" s="4" t="s">
        <v>30</v>
      </c>
      <c r="G1980" s="4" t="s">
        <v>37</v>
      </c>
      <c r="H1980" s="4">
        <v>4</v>
      </c>
      <c r="I1980" s="4">
        <v>10</v>
      </c>
      <c r="J1980" s="1">
        <v>45589</v>
      </c>
      <c r="K1980" s="2">
        <v>5.4004629629629628E-3</v>
      </c>
      <c r="M1980" s="4" t="str">
        <f t="shared" si="90"/>
        <v>LOW</v>
      </c>
      <c r="N1980" s="4" t="str" cm="1">
        <f t="array" ref="N1980">_xlfn.IFS(C1980&gt;35,"HIGH",C1980&gt;25,"MIDDLE",TRUE,"LOW")</f>
        <v>MIDDLE</v>
      </c>
      <c r="O1980" s="4" t="str">
        <f t="shared" si="91"/>
        <v>OTHERS</v>
      </c>
      <c r="P1980" s="4" t="str">
        <f t="shared" si="92"/>
        <v>OTHERS</v>
      </c>
    </row>
    <row r="1981" spans="1:16" x14ac:dyDescent="0.3">
      <c r="A1981" s="4">
        <v>13</v>
      </c>
      <c r="B1981" t="s">
        <v>11</v>
      </c>
      <c r="C1981" s="4">
        <v>35.76</v>
      </c>
      <c r="D1981" t="s">
        <v>29</v>
      </c>
      <c r="E1981" t="s">
        <v>17</v>
      </c>
      <c r="F1981" s="4" t="s">
        <v>30</v>
      </c>
      <c r="G1981" s="4" t="s">
        <v>37</v>
      </c>
      <c r="H1981" s="4">
        <v>4</v>
      </c>
      <c r="I1981" s="4">
        <v>10</v>
      </c>
      <c r="J1981" s="1">
        <v>45589</v>
      </c>
      <c r="K1981" s="2">
        <v>1.6662037037037038E-2</v>
      </c>
      <c r="M1981" s="4" t="str">
        <f t="shared" si="90"/>
        <v>HIGH</v>
      </c>
      <c r="N1981" s="4" t="str" cm="1">
        <f t="array" ref="N1981">_xlfn.IFS(C1981&gt;35,"HIGH",C1981&gt;25,"MIDDLE",TRUE,"LOW")</f>
        <v>HIGH</v>
      </c>
      <c r="O1981" s="4" t="str">
        <f t="shared" si="91"/>
        <v>OTHERS</v>
      </c>
      <c r="P1981" s="4" t="str">
        <f t="shared" si="92"/>
        <v>PREMINUM MORNING</v>
      </c>
    </row>
    <row r="1982" spans="1:16" x14ac:dyDescent="0.3">
      <c r="A1982" s="4">
        <v>14</v>
      </c>
      <c r="B1982" t="s">
        <v>11</v>
      </c>
      <c r="C1982" s="4">
        <v>35.76</v>
      </c>
      <c r="D1982" t="s">
        <v>29</v>
      </c>
      <c r="E1982" t="s">
        <v>17</v>
      </c>
      <c r="F1982" s="4" t="s">
        <v>30</v>
      </c>
      <c r="G1982" s="4" t="s">
        <v>37</v>
      </c>
      <c r="H1982" s="4">
        <v>4</v>
      </c>
      <c r="I1982" s="4">
        <v>10</v>
      </c>
      <c r="J1982" s="1">
        <v>45589</v>
      </c>
      <c r="K1982" s="2">
        <v>6.79050925925926E-3</v>
      </c>
      <c r="M1982" s="4" t="str">
        <f t="shared" si="90"/>
        <v>HIGH</v>
      </c>
      <c r="N1982" s="4" t="str" cm="1">
        <f t="array" ref="N1982">_xlfn.IFS(C1982&gt;35,"HIGH",C1982&gt;25,"MIDDLE",TRUE,"LOW")</f>
        <v>HIGH</v>
      </c>
      <c r="O1982" s="4" t="str">
        <f t="shared" si="91"/>
        <v>OTHERS</v>
      </c>
      <c r="P1982" s="4" t="str">
        <f t="shared" si="92"/>
        <v>PREMINUM MORNING</v>
      </c>
    </row>
    <row r="1983" spans="1:16" x14ac:dyDescent="0.3">
      <c r="A1983" s="4">
        <v>14</v>
      </c>
      <c r="B1983" t="s">
        <v>11</v>
      </c>
      <c r="C1983" s="4">
        <v>35.76</v>
      </c>
      <c r="D1983" t="s">
        <v>16</v>
      </c>
      <c r="E1983" t="s">
        <v>17</v>
      </c>
      <c r="F1983" s="4" t="s">
        <v>30</v>
      </c>
      <c r="G1983" s="4" t="s">
        <v>37</v>
      </c>
      <c r="H1983" s="4">
        <v>4</v>
      </c>
      <c r="I1983" s="4">
        <v>10</v>
      </c>
      <c r="J1983" s="1">
        <v>45589</v>
      </c>
      <c r="K1983" s="2">
        <v>3.4049768518518521E-2</v>
      </c>
      <c r="M1983" s="4" t="str">
        <f t="shared" si="90"/>
        <v>HIGH</v>
      </c>
      <c r="N1983" s="4" t="str" cm="1">
        <f t="array" ref="N1983">_xlfn.IFS(C1983&gt;35,"HIGH",C1983&gt;25,"MIDDLE",TRUE,"LOW")</f>
        <v>HIGH</v>
      </c>
      <c r="O1983" s="4" t="str">
        <f t="shared" si="91"/>
        <v>OTHERS</v>
      </c>
      <c r="P1983" s="4" t="str">
        <f t="shared" si="92"/>
        <v>PREMINUM MORNING</v>
      </c>
    </row>
    <row r="1984" spans="1:16" x14ac:dyDescent="0.3">
      <c r="A1984" s="4">
        <v>14</v>
      </c>
      <c r="B1984" t="s">
        <v>11</v>
      </c>
      <c r="C1984" s="4">
        <v>35.76</v>
      </c>
      <c r="D1984" t="s">
        <v>12</v>
      </c>
      <c r="E1984" t="s">
        <v>17</v>
      </c>
      <c r="F1984" s="4" t="s">
        <v>30</v>
      </c>
      <c r="G1984" s="4" t="s">
        <v>37</v>
      </c>
      <c r="H1984" s="4">
        <v>4</v>
      </c>
      <c r="I1984" s="4">
        <v>10</v>
      </c>
      <c r="J1984" s="1">
        <v>45589</v>
      </c>
      <c r="K1984" s="2">
        <v>3.4598379629629632E-2</v>
      </c>
      <c r="M1984" s="4" t="str">
        <f t="shared" si="90"/>
        <v>HIGH</v>
      </c>
      <c r="N1984" s="4" t="str" cm="1">
        <f t="array" ref="N1984">_xlfn.IFS(C1984&gt;35,"HIGH",C1984&gt;25,"MIDDLE",TRUE,"LOW")</f>
        <v>HIGH</v>
      </c>
      <c r="O1984" s="4" t="str">
        <f t="shared" si="91"/>
        <v>OTHERS</v>
      </c>
      <c r="P1984" s="4" t="str">
        <f t="shared" si="92"/>
        <v>PREMINUM MORNING</v>
      </c>
    </row>
    <row r="1985" spans="1:16" x14ac:dyDescent="0.3">
      <c r="A1985" s="4">
        <v>15</v>
      </c>
      <c r="B1985" t="s">
        <v>11</v>
      </c>
      <c r="C1985" s="4">
        <v>35.76</v>
      </c>
      <c r="D1985" t="s">
        <v>12</v>
      </c>
      <c r="E1985" t="s">
        <v>17</v>
      </c>
      <c r="F1985" s="4" t="s">
        <v>30</v>
      </c>
      <c r="G1985" s="4" t="s">
        <v>37</v>
      </c>
      <c r="H1985" s="4">
        <v>4</v>
      </c>
      <c r="I1985" s="4">
        <v>10</v>
      </c>
      <c r="J1985" s="1">
        <v>45589</v>
      </c>
      <c r="K1985" s="2">
        <v>3.3018518518518523E-2</v>
      </c>
      <c r="M1985" s="4" t="str">
        <f t="shared" si="90"/>
        <v>HIGH</v>
      </c>
      <c r="N1985" s="4" t="str" cm="1">
        <f t="array" ref="N1985">_xlfn.IFS(C1985&gt;35,"HIGH",C1985&gt;25,"MIDDLE",TRUE,"LOW")</f>
        <v>HIGH</v>
      </c>
      <c r="O1985" s="4" t="str">
        <f t="shared" si="91"/>
        <v>OTHERS</v>
      </c>
      <c r="P1985" s="4" t="str">
        <f t="shared" si="92"/>
        <v>PREMINUM MORNING</v>
      </c>
    </row>
    <row r="1986" spans="1:16" x14ac:dyDescent="0.3">
      <c r="A1986" s="4">
        <v>15</v>
      </c>
      <c r="B1986" t="s">
        <v>11</v>
      </c>
      <c r="C1986" s="4">
        <v>35.76</v>
      </c>
      <c r="D1986" t="s">
        <v>12</v>
      </c>
      <c r="E1986" t="s">
        <v>17</v>
      </c>
      <c r="F1986" s="4" t="s">
        <v>30</v>
      </c>
      <c r="G1986" s="4" t="s">
        <v>37</v>
      </c>
      <c r="H1986" s="4">
        <v>4</v>
      </c>
      <c r="I1986" s="4">
        <v>10</v>
      </c>
      <c r="J1986" s="1">
        <v>45589</v>
      </c>
      <c r="K1986" s="2">
        <v>3.3679398148148146E-2</v>
      </c>
      <c r="M1986" s="4" t="str">
        <f t="shared" si="90"/>
        <v>HIGH</v>
      </c>
      <c r="N1986" s="4" t="str" cm="1">
        <f t="array" ref="N1986">_xlfn.IFS(C1986&gt;35,"HIGH",C1986&gt;25,"MIDDLE",TRUE,"LOW")</f>
        <v>HIGH</v>
      </c>
      <c r="O1986" s="4" t="str">
        <f t="shared" si="91"/>
        <v>OTHERS</v>
      </c>
      <c r="P1986" s="4" t="str">
        <f t="shared" si="92"/>
        <v>PREMINUM MORNING</v>
      </c>
    </row>
    <row r="1987" spans="1:16" x14ac:dyDescent="0.3">
      <c r="A1987" s="4">
        <v>18</v>
      </c>
      <c r="B1987" t="s">
        <v>11</v>
      </c>
      <c r="C1987" s="4">
        <v>25.96</v>
      </c>
      <c r="D1987" t="s">
        <v>18</v>
      </c>
      <c r="E1987" t="s">
        <v>20</v>
      </c>
      <c r="F1987" s="4" t="s">
        <v>30</v>
      </c>
      <c r="G1987" s="4" t="s">
        <v>37</v>
      </c>
      <c r="H1987" s="4">
        <v>4</v>
      </c>
      <c r="I1987" s="4">
        <v>10</v>
      </c>
      <c r="J1987" s="1">
        <v>45589</v>
      </c>
      <c r="K1987" s="2">
        <v>3.7353009259259259E-2</v>
      </c>
      <c r="M1987" s="4" t="str">
        <f t="shared" ref="M1987:M2050" si="93">IF(C1987&gt;35,"HIGH","LOW")</f>
        <v>LOW</v>
      </c>
      <c r="N1987" s="4" t="str" cm="1">
        <f t="array" ref="N1987">_xlfn.IFS(C1987&gt;35,"HIGH",C1987&gt;25,"MIDDLE",TRUE,"LOW")</f>
        <v>MIDDLE</v>
      </c>
      <c r="O1987" s="4" t="str">
        <f t="shared" ref="O1987:O2050" si="94">IF(AND(C1987&gt;35,E1987="MORNING"),"PREMINUM MORNING","OTHERS")</f>
        <v>OTHERS</v>
      </c>
      <c r="P1987" s="4" t="str">
        <f t="shared" ref="P1987:P2050" si="95">IF(OR(C1987&gt;35,E1987="MORNING"),"PREMINUM MORNING","OTHERS")</f>
        <v>OTHERS</v>
      </c>
    </row>
    <row r="1988" spans="1:16" x14ac:dyDescent="0.3">
      <c r="A1988" s="4">
        <v>18</v>
      </c>
      <c r="B1988" t="s">
        <v>11</v>
      </c>
      <c r="C1988" s="4">
        <v>25.96</v>
      </c>
      <c r="D1988" t="s">
        <v>18</v>
      </c>
      <c r="E1988" t="s">
        <v>20</v>
      </c>
      <c r="F1988" s="4" t="s">
        <v>30</v>
      </c>
      <c r="G1988" s="4" t="s">
        <v>37</v>
      </c>
      <c r="H1988" s="4">
        <v>4</v>
      </c>
      <c r="I1988" s="4">
        <v>10</v>
      </c>
      <c r="J1988" s="1">
        <v>45589</v>
      </c>
      <c r="K1988" s="2">
        <v>3.8282407407407404E-2</v>
      </c>
      <c r="M1988" s="4" t="str">
        <f t="shared" si="93"/>
        <v>LOW</v>
      </c>
      <c r="N1988" s="4" t="str" cm="1">
        <f t="array" ref="N1988">_xlfn.IFS(C1988&gt;35,"HIGH",C1988&gt;25,"MIDDLE",TRUE,"LOW")</f>
        <v>MIDDLE</v>
      </c>
      <c r="O1988" s="4" t="str">
        <f t="shared" si="94"/>
        <v>OTHERS</v>
      </c>
      <c r="P1988" s="4" t="str">
        <f t="shared" si="95"/>
        <v>OTHERS</v>
      </c>
    </row>
    <row r="1989" spans="1:16" x14ac:dyDescent="0.3">
      <c r="A1989" s="4">
        <v>19</v>
      </c>
      <c r="B1989" t="s">
        <v>11</v>
      </c>
      <c r="C1989" s="4">
        <v>35.76</v>
      </c>
      <c r="D1989" t="s">
        <v>12</v>
      </c>
      <c r="E1989" t="s">
        <v>20</v>
      </c>
      <c r="F1989" s="4" t="s">
        <v>30</v>
      </c>
      <c r="G1989" s="4" t="s">
        <v>37</v>
      </c>
      <c r="H1989" s="4">
        <v>4</v>
      </c>
      <c r="I1989" s="4">
        <v>10</v>
      </c>
      <c r="J1989" s="1">
        <v>45589</v>
      </c>
      <c r="K1989" s="2">
        <v>3.4938657407407404E-2</v>
      </c>
      <c r="M1989" s="4" t="str">
        <f t="shared" si="93"/>
        <v>HIGH</v>
      </c>
      <c r="N1989" s="4" t="str" cm="1">
        <f t="array" ref="N1989">_xlfn.IFS(C1989&gt;35,"HIGH",C1989&gt;25,"MIDDLE",TRUE,"LOW")</f>
        <v>HIGH</v>
      </c>
      <c r="O1989" s="4" t="str">
        <f t="shared" si="94"/>
        <v>OTHERS</v>
      </c>
      <c r="P1989" s="4" t="str">
        <f t="shared" si="95"/>
        <v>PREMINUM MORNING</v>
      </c>
    </row>
    <row r="1990" spans="1:16" x14ac:dyDescent="0.3">
      <c r="A1990" s="4">
        <v>20</v>
      </c>
      <c r="B1990" t="s">
        <v>11</v>
      </c>
      <c r="C1990" s="4">
        <v>25.96</v>
      </c>
      <c r="D1990" t="s">
        <v>18</v>
      </c>
      <c r="E1990" t="s">
        <v>20</v>
      </c>
      <c r="F1990" s="4" t="s">
        <v>30</v>
      </c>
      <c r="G1990" s="4" t="s">
        <v>37</v>
      </c>
      <c r="H1990" s="4">
        <v>4</v>
      </c>
      <c r="I1990" s="4">
        <v>10</v>
      </c>
      <c r="J1990" s="1">
        <v>45589</v>
      </c>
      <c r="K1990" s="2">
        <v>3.0688657407407408E-2</v>
      </c>
      <c r="M1990" s="4" t="str">
        <f t="shared" si="93"/>
        <v>LOW</v>
      </c>
      <c r="N1990" s="4" t="str" cm="1">
        <f t="array" ref="N1990">_xlfn.IFS(C1990&gt;35,"HIGH",C1990&gt;25,"MIDDLE",TRUE,"LOW")</f>
        <v>MIDDLE</v>
      </c>
      <c r="O1990" s="4" t="str">
        <f t="shared" si="94"/>
        <v>OTHERS</v>
      </c>
      <c r="P1990" s="4" t="str">
        <f t="shared" si="95"/>
        <v>OTHERS</v>
      </c>
    </row>
    <row r="1991" spans="1:16" x14ac:dyDescent="0.3">
      <c r="A1991" s="4">
        <v>21</v>
      </c>
      <c r="B1991" t="s">
        <v>11</v>
      </c>
      <c r="C1991" s="4">
        <v>35.76</v>
      </c>
      <c r="D1991" t="s">
        <v>16</v>
      </c>
      <c r="E1991" t="s">
        <v>20</v>
      </c>
      <c r="F1991" s="4" t="s">
        <v>30</v>
      </c>
      <c r="G1991" s="4" t="s">
        <v>37</v>
      </c>
      <c r="H1991" s="4">
        <v>4</v>
      </c>
      <c r="I1991" s="4">
        <v>10</v>
      </c>
      <c r="J1991" s="1">
        <v>45589</v>
      </c>
      <c r="K1991" s="2">
        <v>1.0241898148148148E-2</v>
      </c>
      <c r="M1991" s="4" t="str">
        <f t="shared" si="93"/>
        <v>HIGH</v>
      </c>
      <c r="N1991" s="4" t="str" cm="1">
        <f t="array" ref="N1991">_xlfn.IFS(C1991&gt;35,"HIGH",C1991&gt;25,"MIDDLE",TRUE,"LOW")</f>
        <v>HIGH</v>
      </c>
      <c r="O1991" s="4" t="str">
        <f t="shared" si="94"/>
        <v>OTHERS</v>
      </c>
      <c r="P1991" s="4" t="str">
        <f t="shared" si="95"/>
        <v>PREMINUM MORNING</v>
      </c>
    </row>
    <row r="1992" spans="1:16" x14ac:dyDescent="0.3">
      <c r="A1992" s="4">
        <v>21</v>
      </c>
      <c r="B1992" t="s">
        <v>11</v>
      </c>
      <c r="C1992" s="4">
        <v>35.76</v>
      </c>
      <c r="D1992" t="s">
        <v>16</v>
      </c>
      <c r="E1992" t="s">
        <v>20</v>
      </c>
      <c r="F1992" s="4" t="s">
        <v>30</v>
      </c>
      <c r="G1992" s="4" t="s">
        <v>37</v>
      </c>
      <c r="H1992" s="4">
        <v>4</v>
      </c>
      <c r="I1992" s="4">
        <v>10</v>
      </c>
      <c r="J1992" s="1">
        <v>45589</v>
      </c>
      <c r="K1992" s="2">
        <v>1.0753472222222223E-2</v>
      </c>
      <c r="M1992" s="4" t="str">
        <f t="shared" si="93"/>
        <v>HIGH</v>
      </c>
      <c r="N1992" s="4" t="str" cm="1">
        <f t="array" ref="N1992">_xlfn.IFS(C1992&gt;35,"HIGH",C1992&gt;25,"MIDDLE",TRUE,"LOW")</f>
        <v>HIGH</v>
      </c>
      <c r="O1992" s="4" t="str">
        <f t="shared" si="94"/>
        <v>OTHERS</v>
      </c>
      <c r="P1992" s="4" t="str">
        <f t="shared" si="95"/>
        <v>PREMINUM MORNING</v>
      </c>
    </row>
    <row r="1993" spans="1:16" x14ac:dyDescent="0.3">
      <c r="A1993" s="4">
        <v>21</v>
      </c>
      <c r="B1993" t="s">
        <v>11</v>
      </c>
      <c r="C1993" s="4">
        <v>35.76</v>
      </c>
      <c r="D1993" t="s">
        <v>16</v>
      </c>
      <c r="E1993" t="s">
        <v>20</v>
      </c>
      <c r="F1993" s="4" t="s">
        <v>30</v>
      </c>
      <c r="G1993" s="4" t="s">
        <v>37</v>
      </c>
      <c r="H1993" s="4">
        <v>4</v>
      </c>
      <c r="I1993" s="4">
        <v>10</v>
      </c>
      <c r="J1993" s="1">
        <v>45589</v>
      </c>
      <c r="K1993" s="2">
        <v>3.9121527777777776E-2</v>
      </c>
      <c r="M1993" s="4" t="str">
        <f t="shared" si="93"/>
        <v>HIGH</v>
      </c>
      <c r="N1993" s="4" t="str" cm="1">
        <f t="array" ref="N1993">_xlfn.IFS(C1993&gt;35,"HIGH",C1993&gt;25,"MIDDLE",TRUE,"LOW")</f>
        <v>HIGH</v>
      </c>
      <c r="O1993" s="4" t="str">
        <f t="shared" si="94"/>
        <v>OTHERS</v>
      </c>
      <c r="P1993" s="4" t="str">
        <f t="shared" si="95"/>
        <v>PREMINUM MORNING</v>
      </c>
    </row>
    <row r="1994" spans="1:16" x14ac:dyDescent="0.3">
      <c r="A1994" s="4">
        <v>21</v>
      </c>
      <c r="B1994" t="s">
        <v>11</v>
      </c>
      <c r="C1994" s="4">
        <v>35.76</v>
      </c>
      <c r="D1994" t="s">
        <v>29</v>
      </c>
      <c r="E1994" t="s">
        <v>20</v>
      </c>
      <c r="F1994" s="4" t="s">
        <v>30</v>
      </c>
      <c r="G1994" s="4" t="s">
        <v>37</v>
      </c>
      <c r="H1994" s="4">
        <v>4</v>
      </c>
      <c r="I1994" s="4">
        <v>10</v>
      </c>
      <c r="J1994" s="1">
        <v>45589</v>
      </c>
      <c r="K1994" s="2">
        <v>3.9699074074074074E-2</v>
      </c>
      <c r="M1994" s="4" t="str">
        <f t="shared" si="93"/>
        <v>HIGH</v>
      </c>
      <c r="N1994" s="4" t="str" cm="1">
        <f t="array" ref="N1994">_xlfn.IFS(C1994&gt;35,"HIGH",C1994&gt;25,"MIDDLE",TRUE,"LOW")</f>
        <v>HIGH</v>
      </c>
      <c r="O1994" s="4" t="str">
        <f t="shared" si="94"/>
        <v>OTHERS</v>
      </c>
      <c r="P1994" s="4" t="str">
        <f t="shared" si="95"/>
        <v>PREMINUM MORNING</v>
      </c>
    </row>
    <row r="1995" spans="1:16" x14ac:dyDescent="0.3">
      <c r="A1995" s="4">
        <v>7</v>
      </c>
      <c r="B1995" t="s">
        <v>11</v>
      </c>
      <c r="C1995" s="4">
        <v>35.76</v>
      </c>
      <c r="D1995" t="s">
        <v>29</v>
      </c>
      <c r="E1995" t="s">
        <v>13</v>
      </c>
      <c r="F1995" s="4" t="s">
        <v>14</v>
      </c>
      <c r="G1995" s="4" t="s">
        <v>37</v>
      </c>
      <c r="H1995" s="4">
        <v>5</v>
      </c>
      <c r="I1995" s="4">
        <v>10</v>
      </c>
      <c r="J1995" s="1">
        <v>45590</v>
      </c>
      <c r="K1995" s="2">
        <v>2.651736111111111E-2</v>
      </c>
      <c r="M1995" s="4" t="str">
        <f t="shared" si="93"/>
        <v>HIGH</v>
      </c>
      <c r="N1995" s="4" t="str" cm="1">
        <f t="array" ref="N1995">_xlfn.IFS(C1995&gt;35,"HIGH",C1995&gt;25,"MIDDLE",TRUE,"LOW")</f>
        <v>HIGH</v>
      </c>
      <c r="O1995" s="4" t="str">
        <f t="shared" si="94"/>
        <v>PREMINUM MORNING</v>
      </c>
      <c r="P1995" s="4" t="str">
        <f t="shared" si="95"/>
        <v>PREMINUM MORNING</v>
      </c>
    </row>
    <row r="1996" spans="1:16" x14ac:dyDescent="0.3">
      <c r="A1996" s="4">
        <v>7</v>
      </c>
      <c r="B1996" t="s">
        <v>11</v>
      </c>
      <c r="C1996" s="4">
        <v>21.06</v>
      </c>
      <c r="D1996" t="s">
        <v>26</v>
      </c>
      <c r="E1996" t="s">
        <v>13</v>
      </c>
      <c r="F1996" s="4" t="s">
        <v>14</v>
      </c>
      <c r="G1996" s="4" t="s">
        <v>37</v>
      </c>
      <c r="H1996" s="4">
        <v>5</v>
      </c>
      <c r="I1996" s="4">
        <v>10</v>
      </c>
      <c r="J1996" s="1">
        <v>45590</v>
      </c>
      <c r="K1996" s="2">
        <v>3.1515046296296298E-2</v>
      </c>
      <c r="M1996" s="4" t="str">
        <f t="shared" si="93"/>
        <v>LOW</v>
      </c>
      <c r="N1996" s="4" t="str" cm="1">
        <f t="array" ref="N1996">_xlfn.IFS(C1996&gt;35,"HIGH",C1996&gt;25,"MIDDLE",TRUE,"LOW")</f>
        <v>LOW</v>
      </c>
      <c r="O1996" s="4" t="str">
        <f t="shared" si="94"/>
        <v>OTHERS</v>
      </c>
      <c r="P1996" s="4" t="str">
        <f t="shared" si="95"/>
        <v>PREMINUM MORNING</v>
      </c>
    </row>
    <row r="1997" spans="1:16" x14ac:dyDescent="0.3">
      <c r="A1997" s="4">
        <v>8</v>
      </c>
      <c r="B1997" t="s">
        <v>11</v>
      </c>
      <c r="C1997" s="4">
        <v>35.76</v>
      </c>
      <c r="D1997" t="s">
        <v>21</v>
      </c>
      <c r="E1997" t="s">
        <v>13</v>
      </c>
      <c r="F1997" s="4" t="s">
        <v>14</v>
      </c>
      <c r="G1997" s="4" t="s">
        <v>37</v>
      </c>
      <c r="H1997" s="4">
        <v>5</v>
      </c>
      <c r="I1997" s="4">
        <v>10</v>
      </c>
      <c r="J1997" s="1">
        <v>45590</v>
      </c>
      <c r="K1997" s="2">
        <v>6.9999999999999993E-3</v>
      </c>
      <c r="M1997" s="4" t="str">
        <f t="shared" si="93"/>
        <v>HIGH</v>
      </c>
      <c r="N1997" s="4" t="str" cm="1">
        <f t="array" ref="N1997">_xlfn.IFS(C1997&gt;35,"HIGH",C1997&gt;25,"MIDDLE",TRUE,"LOW")</f>
        <v>HIGH</v>
      </c>
      <c r="O1997" s="4" t="str">
        <f t="shared" si="94"/>
        <v>PREMINUM MORNING</v>
      </c>
      <c r="P1997" s="4" t="str">
        <f t="shared" si="95"/>
        <v>PREMINUM MORNING</v>
      </c>
    </row>
    <row r="1998" spans="1:16" x14ac:dyDescent="0.3">
      <c r="A1998" s="4">
        <v>8</v>
      </c>
      <c r="B1998" t="s">
        <v>11</v>
      </c>
      <c r="C1998" s="4">
        <v>35.76</v>
      </c>
      <c r="D1998" t="s">
        <v>12</v>
      </c>
      <c r="E1998" t="s">
        <v>13</v>
      </c>
      <c r="F1998" s="4" t="s">
        <v>14</v>
      </c>
      <c r="G1998" s="4" t="s">
        <v>37</v>
      </c>
      <c r="H1998" s="4">
        <v>5</v>
      </c>
      <c r="I1998" s="4">
        <v>10</v>
      </c>
      <c r="J1998" s="1">
        <v>45590</v>
      </c>
      <c r="K1998" s="2">
        <v>7.5763888888888895E-3</v>
      </c>
      <c r="M1998" s="4" t="str">
        <f t="shared" si="93"/>
        <v>HIGH</v>
      </c>
      <c r="N1998" s="4" t="str" cm="1">
        <f t="array" ref="N1998">_xlfn.IFS(C1998&gt;35,"HIGH",C1998&gt;25,"MIDDLE",TRUE,"LOW")</f>
        <v>HIGH</v>
      </c>
      <c r="O1998" s="4" t="str">
        <f t="shared" si="94"/>
        <v>PREMINUM MORNING</v>
      </c>
      <c r="P1998" s="4" t="str">
        <f t="shared" si="95"/>
        <v>PREMINUM MORNING</v>
      </c>
    </row>
    <row r="1999" spans="1:16" x14ac:dyDescent="0.3">
      <c r="A1999" s="4">
        <v>8</v>
      </c>
      <c r="B1999" t="s">
        <v>11</v>
      </c>
      <c r="C1999" s="4">
        <v>35.76</v>
      </c>
      <c r="D1999" t="s">
        <v>21</v>
      </c>
      <c r="E1999" t="s">
        <v>13</v>
      </c>
      <c r="F1999" s="4" t="s">
        <v>14</v>
      </c>
      <c r="G1999" s="4" t="s">
        <v>37</v>
      </c>
      <c r="H1999" s="4">
        <v>5</v>
      </c>
      <c r="I1999" s="4">
        <v>10</v>
      </c>
      <c r="J1999" s="1">
        <v>45590</v>
      </c>
      <c r="K1999" s="2">
        <v>1.3076388888888889E-2</v>
      </c>
      <c r="M1999" s="4" t="str">
        <f t="shared" si="93"/>
        <v>HIGH</v>
      </c>
      <c r="N1999" s="4" t="str" cm="1">
        <f t="array" ref="N1999">_xlfn.IFS(C1999&gt;35,"HIGH",C1999&gt;25,"MIDDLE",TRUE,"LOW")</f>
        <v>HIGH</v>
      </c>
      <c r="O1999" s="4" t="str">
        <f t="shared" si="94"/>
        <v>PREMINUM MORNING</v>
      </c>
      <c r="P1999" s="4" t="str">
        <f t="shared" si="95"/>
        <v>PREMINUM MORNING</v>
      </c>
    </row>
    <row r="2000" spans="1:16" x14ac:dyDescent="0.3">
      <c r="A2000" s="4">
        <v>10</v>
      </c>
      <c r="B2000" t="s">
        <v>11</v>
      </c>
      <c r="C2000" s="4">
        <v>25.96</v>
      </c>
      <c r="D2000" t="s">
        <v>18</v>
      </c>
      <c r="E2000" t="s">
        <v>13</v>
      </c>
      <c r="F2000" s="4" t="s">
        <v>14</v>
      </c>
      <c r="G2000" s="4" t="s">
        <v>37</v>
      </c>
      <c r="H2000" s="4">
        <v>5</v>
      </c>
      <c r="I2000" s="4">
        <v>10</v>
      </c>
      <c r="J2000" s="1">
        <v>45590</v>
      </c>
      <c r="K2000" s="2">
        <v>2.4108796296296296E-3</v>
      </c>
      <c r="M2000" s="4" t="str">
        <f t="shared" si="93"/>
        <v>LOW</v>
      </c>
      <c r="N2000" s="4" t="str" cm="1">
        <f t="array" ref="N2000">_xlfn.IFS(C2000&gt;35,"HIGH",C2000&gt;25,"MIDDLE",TRUE,"LOW")</f>
        <v>MIDDLE</v>
      </c>
      <c r="O2000" s="4" t="str">
        <f t="shared" si="94"/>
        <v>OTHERS</v>
      </c>
      <c r="P2000" s="4" t="str">
        <f t="shared" si="95"/>
        <v>PREMINUM MORNING</v>
      </c>
    </row>
    <row r="2001" spans="1:16" x14ac:dyDescent="0.3">
      <c r="A2001" s="4">
        <v>10</v>
      </c>
      <c r="B2001" t="s">
        <v>11</v>
      </c>
      <c r="C2001" s="4">
        <v>25.96</v>
      </c>
      <c r="D2001" t="s">
        <v>18</v>
      </c>
      <c r="E2001" t="s">
        <v>13</v>
      </c>
      <c r="F2001" s="4" t="s">
        <v>14</v>
      </c>
      <c r="G2001" s="4" t="s">
        <v>37</v>
      </c>
      <c r="H2001" s="4">
        <v>5</v>
      </c>
      <c r="I2001" s="4">
        <v>10</v>
      </c>
      <c r="J2001" s="1">
        <v>45590</v>
      </c>
      <c r="K2001" s="2">
        <v>3.7152777777777778E-3</v>
      </c>
      <c r="M2001" s="4" t="str">
        <f t="shared" si="93"/>
        <v>LOW</v>
      </c>
      <c r="N2001" s="4" t="str" cm="1">
        <f t="array" ref="N2001">_xlfn.IFS(C2001&gt;35,"HIGH",C2001&gt;25,"MIDDLE",TRUE,"LOW")</f>
        <v>MIDDLE</v>
      </c>
      <c r="O2001" s="4" t="str">
        <f t="shared" si="94"/>
        <v>OTHERS</v>
      </c>
      <c r="P2001" s="4" t="str">
        <f t="shared" si="95"/>
        <v>PREMINUM MORNING</v>
      </c>
    </row>
    <row r="2002" spans="1:16" x14ac:dyDescent="0.3">
      <c r="A2002" s="4">
        <v>10</v>
      </c>
      <c r="B2002" t="s">
        <v>11</v>
      </c>
      <c r="C2002" s="4">
        <v>30.86</v>
      </c>
      <c r="D2002" t="s">
        <v>19</v>
      </c>
      <c r="E2002" t="s">
        <v>13</v>
      </c>
      <c r="F2002" s="4" t="s">
        <v>14</v>
      </c>
      <c r="G2002" s="4" t="s">
        <v>37</v>
      </c>
      <c r="H2002" s="4">
        <v>5</v>
      </c>
      <c r="I2002" s="4">
        <v>10</v>
      </c>
      <c r="J2002" s="1">
        <v>45590</v>
      </c>
      <c r="K2002" s="2">
        <v>3.5431712962962963E-2</v>
      </c>
      <c r="M2002" s="4" t="str">
        <f t="shared" si="93"/>
        <v>LOW</v>
      </c>
      <c r="N2002" s="4" t="str" cm="1">
        <f t="array" ref="N2002">_xlfn.IFS(C2002&gt;35,"HIGH",C2002&gt;25,"MIDDLE",TRUE,"LOW")</f>
        <v>MIDDLE</v>
      </c>
      <c r="O2002" s="4" t="str">
        <f t="shared" si="94"/>
        <v>OTHERS</v>
      </c>
      <c r="P2002" s="4" t="str">
        <f t="shared" si="95"/>
        <v>PREMINUM MORNING</v>
      </c>
    </row>
    <row r="2003" spans="1:16" x14ac:dyDescent="0.3">
      <c r="A2003" s="4">
        <v>11</v>
      </c>
      <c r="B2003" t="s">
        <v>11</v>
      </c>
      <c r="C2003" s="4">
        <v>35.76</v>
      </c>
      <c r="D2003" t="s">
        <v>21</v>
      </c>
      <c r="E2003" t="s">
        <v>13</v>
      </c>
      <c r="F2003" s="4" t="s">
        <v>14</v>
      </c>
      <c r="G2003" s="4" t="s">
        <v>37</v>
      </c>
      <c r="H2003" s="4">
        <v>5</v>
      </c>
      <c r="I2003" s="4">
        <v>10</v>
      </c>
      <c r="J2003" s="1">
        <v>45590</v>
      </c>
      <c r="K2003" s="2">
        <v>3.4524305555555558E-2</v>
      </c>
      <c r="M2003" s="4" t="str">
        <f t="shared" si="93"/>
        <v>HIGH</v>
      </c>
      <c r="N2003" s="4" t="str" cm="1">
        <f t="array" ref="N2003">_xlfn.IFS(C2003&gt;35,"HIGH",C2003&gt;25,"MIDDLE",TRUE,"LOW")</f>
        <v>HIGH</v>
      </c>
      <c r="O2003" s="4" t="str">
        <f t="shared" si="94"/>
        <v>PREMINUM MORNING</v>
      </c>
      <c r="P2003" s="4" t="str">
        <f t="shared" si="95"/>
        <v>PREMINUM MORNING</v>
      </c>
    </row>
    <row r="2004" spans="1:16" x14ac:dyDescent="0.3">
      <c r="A2004" s="4">
        <v>11</v>
      </c>
      <c r="B2004" t="s">
        <v>11</v>
      </c>
      <c r="C2004" s="4">
        <v>35.76</v>
      </c>
      <c r="D2004" t="s">
        <v>21</v>
      </c>
      <c r="E2004" t="s">
        <v>13</v>
      </c>
      <c r="F2004" s="4" t="s">
        <v>14</v>
      </c>
      <c r="G2004" s="4" t="s">
        <v>37</v>
      </c>
      <c r="H2004" s="4">
        <v>5</v>
      </c>
      <c r="I2004" s="4">
        <v>10</v>
      </c>
      <c r="J2004" s="1">
        <v>45590</v>
      </c>
      <c r="K2004" s="2">
        <v>3.5074074074074077E-2</v>
      </c>
      <c r="M2004" s="4" t="str">
        <f t="shared" si="93"/>
        <v>HIGH</v>
      </c>
      <c r="N2004" s="4" t="str" cm="1">
        <f t="array" ref="N2004">_xlfn.IFS(C2004&gt;35,"HIGH",C2004&gt;25,"MIDDLE",TRUE,"LOW")</f>
        <v>HIGH</v>
      </c>
      <c r="O2004" s="4" t="str">
        <f t="shared" si="94"/>
        <v>PREMINUM MORNING</v>
      </c>
      <c r="P2004" s="4" t="str">
        <f t="shared" si="95"/>
        <v>PREMINUM MORNING</v>
      </c>
    </row>
    <row r="2005" spans="1:16" x14ac:dyDescent="0.3">
      <c r="A2005" s="4">
        <v>12</v>
      </c>
      <c r="B2005" t="s">
        <v>11</v>
      </c>
      <c r="C2005" s="4">
        <v>25.96</v>
      </c>
      <c r="D2005" t="s">
        <v>24</v>
      </c>
      <c r="E2005" t="s">
        <v>17</v>
      </c>
      <c r="F2005" s="4" t="s">
        <v>14</v>
      </c>
      <c r="G2005" s="4" t="s">
        <v>37</v>
      </c>
      <c r="H2005" s="4">
        <v>5</v>
      </c>
      <c r="I2005" s="4">
        <v>10</v>
      </c>
      <c r="J2005" s="1">
        <v>45590</v>
      </c>
      <c r="K2005" s="2">
        <v>4.7476851851851846E-3</v>
      </c>
      <c r="M2005" s="4" t="str">
        <f t="shared" si="93"/>
        <v>LOW</v>
      </c>
      <c r="N2005" s="4" t="str" cm="1">
        <f t="array" ref="N2005">_xlfn.IFS(C2005&gt;35,"HIGH",C2005&gt;25,"MIDDLE",TRUE,"LOW")</f>
        <v>MIDDLE</v>
      </c>
      <c r="O2005" s="4" t="str">
        <f t="shared" si="94"/>
        <v>OTHERS</v>
      </c>
      <c r="P2005" s="4" t="str">
        <f t="shared" si="95"/>
        <v>OTHERS</v>
      </c>
    </row>
    <row r="2006" spans="1:16" x14ac:dyDescent="0.3">
      <c r="A2006" s="4">
        <v>12</v>
      </c>
      <c r="B2006" t="s">
        <v>11</v>
      </c>
      <c r="C2006" s="4">
        <v>35.76</v>
      </c>
      <c r="D2006" t="s">
        <v>12</v>
      </c>
      <c r="E2006" t="s">
        <v>17</v>
      </c>
      <c r="F2006" s="4" t="s">
        <v>14</v>
      </c>
      <c r="G2006" s="4" t="s">
        <v>37</v>
      </c>
      <c r="H2006" s="4">
        <v>5</v>
      </c>
      <c r="I2006" s="4">
        <v>10</v>
      </c>
      <c r="J2006" s="1">
        <v>45590</v>
      </c>
      <c r="K2006" s="2">
        <v>2.8211805555555556E-2</v>
      </c>
      <c r="M2006" s="4" t="str">
        <f t="shared" si="93"/>
        <v>HIGH</v>
      </c>
      <c r="N2006" s="4" t="str" cm="1">
        <f t="array" ref="N2006">_xlfn.IFS(C2006&gt;35,"HIGH",C2006&gt;25,"MIDDLE",TRUE,"LOW")</f>
        <v>HIGH</v>
      </c>
      <c r="O2006" s="4" t="str">
        <f t="shared" si="94"/>
        <v>OTHERS</v>
      </c>
      <c r="P2006" s="4" t="str">
        <f t="shared" si="95"/>
        <v>PREMINUM MORNING</v>
      </c>
    </row>
    <row r="2007" spans="1:16" x14ac:dyDescent="0.3">
      <c r="A2007" s="4">
        <v>14</v>
      </c>
      <c r="B2007" t="s">
        <v>11</v>
      </c>
      <c r="C2007" s="4">
        <v>35.76</v>
      </c>
      <c r="D2007" t="s">
        <v>29</v>
      </c>
      <c r="E2007" t="s">
        <v>17</v>
      </c>
      <c r="F2007" s="4" t="s">
        <v>14</v>
      </c>
      <c r="G2007" s="4" t="s">
        <v>37</v>
      </c>
      <c r="H2007" s="4">
        <v>5</v>
      </c>
      <c r="I2007" s="4">
        <v>10</v>
      </c>
      <c r="J2007" s="1">
        <v>45590</v>
      </c>
      <c r="K2007" s="2">
        <v>1.616435185185185E-2</v>
      </c>
      <c r="M2007" s="4" t="str">
        <f t="shared" si="93"/>
        <v>HIGH</v>
      </c>
      <c r="N2007" s="4" t="str" cm="1">
        <f t="array" ref="N2007">_xlfn.IFS(C2007&gt;35,"HIGH",C2007&gt;25,"MIDDLE",TRUE,"LOW")</f>
        <v>HIGH</v>
      </c>
      <c r="O2007" s="4" t="str">
        <f t="shared" si="94"/>
        <v>OTHERS</v>
      </c>
      <c r="P2007" s="4" t="str">
        <f t="shared" si="95"/>
        <v>PREMINUM MORNING</v>
      </c>
    </row>
    <row r="2008" spans="1:16" x14ac:dyDescent="0.3">
      <c r="A2008" s="4">
        <v>22</v>
      </c>
      <c r="B2008" t="s">
        <v>11</v>
      </c>
      <c r="C2008" s="4">
        <v>35.76</v>
      </c>
      <c r="D2008" t="s">
        <v>16</v>
      </c>
      <c r="E2008" t="s">
        <v>20</v>
      </c>
      <c r="F2008" s="4" t="s">
        <v>14</v>
      </c>
      <c r="G2008" s="4" t="s">
        <v>37</v>
      </c>
      <c r="H2008" s="4">
        <v>5</v>
      </c>
      <c r="I2008" s="4">
        <v>10</v>
      </c>
      <c r="J2008" s="1">
        <v>45590</v>
      </c>
      <c r="K2008" s="2">
        <v>1.3472222222222222E-2</v>
      </c>
      <c r="M2008" s="4" t="str">
        <f t="shared" si="93"/>
        <v>HIGH</v>
      </c>
      <c r="N2008" s="4" t="str" cm="1">
        <f t="array" ref="N2008">_xlfn.IFS(C2008&gt;35,"HIGH",C2008&gt;25,"MIDDLE",TRUE,"LOW")</f>
        <v>HIGH</v>
      </c>
      <c r="O2008" s="4" t="str">
        <f t="shared" si="94"/>
        <v>OTHERS</v>
      </c>
      <c r="P2008" s="4" t="str">
        <f t="shared" si="95"/>
        <v>PREMINUM MORNING</v>
      </c>
    </row>
    <row r="2009" spans="1:16" x14ac:dyDescent="0.3">
      <c r="A2009" s="4">
        <v>22</v>
      </c>
      <c r="B2009" t="s">
        <v>11</v>
      </c>
      <c r="C2009" s="4">
        <v>21.06</v>
      </c>
      <c r="D2009" t="s">
        <v>26</v>
      </c>
      <c r="E2009" t="s">
        <v>20</v>
      </c>
      <c r="F2009" s="4" t="s">
        <v>14</v>
      </c>
      <c r="G2009" s="4" t="s">
        <v>37</v>
      </c>
      <c r="H2009" s="4">
        <v>5</v>
      </c>
      <c r="I2009" s="4">
        <v>10</v>
      </c>
      <c r="J2009" s="1">
        <v>45590</v>
      </c>
      <c r="K2009" s="2">
        <v>1.5644675925925926E-2</v>
      </c>
      <c r="M2009" s="4" t="str">
        <f t="shared" si="93"/>
        <v>LOW</v>
      </c>
      <c r="N2009" s="4" t="str" cm="1">
        <f t="array" ref="N2009">_xlfn.IFS(C2009&gt;35,"HIGH",C2009&gt;25,"MIDDLE",TRUE,"LOW")</f>
        <v>LOW</v>
      </c>
      <c r="O2009" s="4" t="str">
        <f t="shared" si="94"/>
        <v>OTHERS</v>
      </c>
      <c r="P2009" s="4" t="str">
        <f t="shared" si="95"/>
        <v>OTHERS</v>
      </c>
    </row>
    <row r="2010" spans="1:16" x14ac:dyDescent="0.3">
      <c r="A2010" s="4">
        <v>7</v>
      </c>
      <c r="B2010" t="s">
        <v>11</v>
      </c>
      <c r="C2010" s="4">
        <v>35.76</v>
      </c>
      <c r="D2010" t="s">
        <v>29</v>
      </c>
      <c r="E2010" t="s">
        <v>13</v>
      </c>
      <c r="F2010" s="4" t="s">
        <v>22</v>
      </c>
      <c r="G2010" s="4" t="s">
        <v>37</v>
      </c>
      <c r="H2010" s="4">
        <v>6</v>
      </c>
      <c r="I2010" s="4">
        <v>10</v>
      </c>
      <c r="J2010" s="1">
        <v>45591</v>
      </c>
      <c r="K2010" s="2">
        <v>3.4712962962962959E-2</v>
      </c>
      <c r="M2010" s="4" t="str">
        <f t="shared" si="93"/>
        <v>HIGH</v>
      </c>
      <c r="N2010" s="4" t="str" cm="1">
        <f t="array" ref="N2010">_xlfn.IFS(C2010&gt;35,"HIGH",C2010&gt;25,"MIDDLE",TRUE,"LOW")</f>
        <v>HIGH</v>
      </c>
      <c r="O2010" s="4" t="str">
        <f t="shared" si="94"/>
        <v>PREMINUM MORNING</v>
      </c>
      <c r="P2010" s="4" t="str">
        <f t="shared" si="95"/>
        <v>PREMINUM MORNING</v>
      </c>
    </row>
    <row r="2011" spans="1:16" x14ac:dyDescent="0.3">
      <c r="A2011" s="4">
        <v>8</v>
      </c>
      <c r="B2011" t="s">
        <v>11</v>
      </c>
      <c r="C2011" s="4">
        <v>25.96</v>
      </c>
      <c r="D2011" t="s">
        <v>24</v>
      </c>
      <c r="E2011" t="s">
        <v>13</v>
      </c>
      <c r="F2011" s="4" t="s">
        <v>22</v>
      </c>
      <c r="G2011" s="4" t="s">
        <v>37</v>
      </c>
      <c r="H2011" s="4">
        <v>6</v>
      </c>
      <c r="I2011" s="4">
        <v>10</v>
      </c>
      <c r="J2011" s="1">
        <v>45591</v>
      </c>
      <c r="K2011" s="2">
        <v>2.898726851851852E-2</v>
      </c>
      <c r="M2011" s="4" t="str">
        <f t="shared" si="93"/>
        <v>LOW</v>
      </c>
      <c r="N2011" s="4" t="str" cm="1">
        <f t="array" ref="N2011">_xlfn.IFS(C2011&gt;35,"HIGH",C2011&gt;25,"MIDDLE",TRUE,"LOW")</f>
        <v>MIDDLE</v>
      </c>
      <c r="O2011" s="4" t="str">
        <f t="shared" si="94"/>
        <v>OTHERS</v>
      </c>
      <c r="P2011" s="4" t="str">
        <f t="shared" si="95"/>
        <v>PREMINUM MORNING</v>
      </c>
    </row>
    <row r="2012" spans="1:16" x14ac:dyDescent="0.3">
      <c r="A2012" s="4">
        <v>8</v>
      </c>
      <c r="B2012" t="s">
        <v>11</v>
      </c>
      <c r="C2012" s="4">
        <v>35.76</v>
      </c>
      <c r="D2012" t="s">
        <v>29</v>
      </c>
      <c r="E2012" t="s">
        <v>13</v>
      </c>
      <c r="F2012" s="4" t="s">
        <v>22</v>
      </c>
      <c r="G2012" s="4" t="s">
        <v>37</v>
      </c>
      <c r="H2012" s="4">
        <v>6</v>
      </c>
      <c r="I2012" s="4">
        <v>10</v>
      </c>
      <c r="J2012" s="1">
        <v>45591</v>
      </c>
      <c r="K2012" s="2">
        <v>3.6800925925925924E-2</v>
      </c>
      <c r="M2012" s="4" t="str">
        <f t="shared" si="93"/>
        <v>HIGH</v>
      </c>
      <c r="N2012" s="4" t="str" cm="1">
        <f t="array" ref="N2012">_xlfn.IFS(C2012&gt;35,"HIGH",C2012&gt;25,"MIDDLE",TRUE,"LOW")</f>
        <v>HIGH</v>
      </c>
      <c r="O2012" s="4" t="str">
        <f t="shared" si="94"/>
        <v>PREMINUM MORNING</v>
      </c>
      <c r="P2012" s="4" t="str">
        <f t="shared" si="95"/>
        <v>PREMINUM MORNING</v>
      </c>
    </row>
    <row r="2013" spans="1:16" x14ac:dyDescent="0.3">
      <c r="A2013" s="4">
        <v>10</v>
      </c>
      <c r="B2013" t="s">
        <v>11</v>
      </c>
      <c r="C2013" s="4">
        <v>25.96</v>
      </c>
      <c r="D2013" t="s">
        <v>18</v>
      </c>
      <c r="E2013" t="s">
        <v>13</v>
      </c>
      <c r="F2013" s="4" t="s">
        <v>22</v>
      </c>
      <c r="G2013" s="4" t="s">
        <v>37</v>
      </c>
      <c r="H2013" s="4">
        <v>6</v>
      </c>
      <c r="I2013" s="4">
        <v>10</v>
      </c>
      <c r="J2013" s="1">
        <v>45591</v>
      </c>
      <c r="K2013" s="2">
        <v>1.7109953703703704E-2</v>
      </c>
      <c r="M2013" s="4" t="str">
        <f t="shared" si="93"/>
        <v>LOW</v>
      </c>
      <c r="N2013" s="4" t="str" cm="1">
        <f t="array" ref="N2013">_xlfn.IFS(C2013&gt;35,"HIGH",C2013&gt;25,"MIDDLE",TRUE,"LOW")</f>
        <v>MIDDLE</v>
      </c>
      <c r="O2013" s="4" t="str">
        <f t="shared" si="94"/>
        <v>OTHERS</v>
      </c>
      <c r="P2013" s="4" t="str">
        <f t="shared" si="95"/>
        <v>PREMINUM MORNING</v>
      </c>
    </row>
    <row r="2014" spans="1:16" x14ac:dyDescent="0.3">
      <c r="A2014" s="4">
        <v>12</v>
      </c>
      <c r="B2014" t="s">
        <v>11</v>
      </c>
      <c r="C2014" s="4">
        <v>35.76</v>
      </c>
      <c r="D2014" t="s">
        <v>21</v>
      </c>
      <c r="E2014" t="s">
        <v>17</v>
      </c>
      <c r="F2014" s="4" t="s">
        <v>22</v>
      </c>
      <c r="G2014" s="4" t="s">
        <v>37</v>
      </c>
      <c r="H2014" s="4">
        <v>6</v>
      </c>
      <c r="I2014" s="4">
        <v>10</v>
      </c>
      <c r="J2014" s="1">
        <v>45591</v>
      </c>
      <c r="K2014" s="2">
        <v>1.2607638888888889E-2</v>
      </c>
      <c r="M2014" s="4" t="str">
        <f t="shared" si="93"/>
        <v>HIGH</v>
      </c>
      <c r="N2014" s="4" t="str" cm="1">
        <f t="array" ref="N2014">_xlfn.IFS(C2014&gt;35,"HIGH",C2014&gt;25,"MIDDLE",TRUE,"LOW")</f>
        <v>HIGH</v>
      </c>
      <c r="O2014" s="4" t="str">
        <f t="shared" si="94"/>
        <v>OTHERS</v>
      </c>
      <c r="P2014" s="4" t="str">
        <f t="shared" si="95"/>
        <v>PREMINUM MORNING</v>
      </c>
    </row>
    <row r="2015" spans="1:16" x14ac:dyDescent="0.3">
      <c r="A2015" s="4">
        <v>13</v>
      </c>
      <c r="B2015" t="s">
        <v>11</v>
      </c>
      <c r="C2015" s="4">
        <v>35.76</v>
      </c>
      <c r="D2015" t="s">
        <v>12</v>
      </c>
      <c r="E2015" t="s">
        <v>17</v>
      </c>
      <c r="F2015" s="4" t="s">
        <v>22</v>
      </c>
      <c r="G2015" s="4" t="s">
        <v>37</v>
      </c>
      <c r="H2015" s="4">
        <v>6</v>
      </c>
      <c r="I2015" s="4">
        <v>10</v>
      </c>
      <c r="J2015" s="1">
        <v>45591</v>
      </c>
      <c r="K2015" s="2">
        <v>2.4421296296296296E-3</v>
      </c>
      <c r="M2015" s="4" t="str">
        <f t="shared" si="93"/>
        <v>HIGH</v>
      </c>
      <c r="N2015" s="4" t="str" cm="1">
        <f t="array" ref="N2015">_xlfn.IFS(C2015&gt;35,"HIGH",C2015&gt;25,"MIDDLE",TRUE,"LOW")</f>
        <v>HIGH</v>
      </c>
      <c r="O2015" s="4" t="str">
        <f t="shared" si="94"/>
        <v>OTHERS</v>
      </c>
      <c r="P2015" s="4" t="str">
        <f t="shared" si="95"/>
        <v>PREMINUM MORNING</v>
      </c>
    </row>
    <row r="2016" spans="1:16" x14ac:dyDescent="0.3">
      <c r="A2016" s="4">
        <v>14</v>
      </c>
      <c r="B2016" t="s">
        <v>11</v>
      </c>
      <c r="C2016" s="4">
        <v>35.76</v>
      </c>
      <c r="D2016" t="s">
        <v>12</v>
      </c>
      <c r="E2016" t="s">
        <v>17</v>
      </c>
      <c r="F2016" s="4" t="s">
        <v>22</v>
      </c>
      <c r="G2016" s="4" t="s">
        <v>37</v>
      </c>
      <c r="H2016" s="4">
        <v>6</v>
      </c>
      <c r="I2016" s="4">
        <v>10</v>
      </c>
      <c r="J2016" s="1">
        <v>45591</v>
      </c>
      <c r="K2016" s="2">
        <v>2.4290509259259258E-2</v>
      </c>
      <c r="M2016" s="4" t="str">
        <f t="shared" si="93"/>
        <v>HIGH</v>
      </c>
      <c r="N2016" s="4" t="str" cm="1">
        <f t="array" ref="N2016">_xlfn.IFS(C2016&gt;35,"HIGH",C2016&gt;25,"MIDDLE",TRUE,"LOW")</f>
        <v>HIGH</v>
      </c>
      <c r="O2016" s="4" t="str">
        <f t="shared" si="94"/>
        <v>OTHERS</v>
      </c>
      <c r="P2016" s="4" t="str">
        <f t="shared" si="95"/>
        <v>PREMINUM MORNING</v>
      </c>
    </row>
    <row r="2017" spans="1:16" x14ac:dyDescent="0.3">
      <c r="A2017" s="4">
        <v>14</v>
      </c>
      <c r="B2017" t="s">
        <v>11</v>
      </c>
      <c r="C2017" s="4">
        <v>30.86</v>
      </c>
      <c r="D2017" t="s">
        <v>19</v>
      </c>
      <c r="E2017" t="s">
        <v>17</v>
      </c>
      <c r="F2017" s="4" t="s">
        <v>22</v>
      </c>
      <c r="G2017" s="4" t="s">
        <v>37</v>
      </c>
      <c r="H2017" s="4">
        <v>6</v>
      </c>
      <c r="I2017" s="4">
        <v>10</v>
      </c>
      <c r="J2017" s="1">
        <v>45591</v>
      </c>
      <c r="K2017" s="2">
        <v>2.5172453703703704E-2</v>
      </c>
      <c r="M2017" s="4" t="str">
        <f t="shared" si="93"/>
        <v>LOW</v>
      </c>
      <c r="N2017" s="4" t="str" cm="1">
        <f t="array" ref="N2017">_xlfn.IFS(C2017&gt;35,"HIGH",C2017&gt;25,"MIDDLE",TRUE,"LOW")</f>
        <v>MIDDLE</v>
      </c>
      <c r="O2017" s="4" t="str">
        <f t="shared" si="94"/>
        <v>OTHERS</v>
      </c>
      <c r="P2017" s="4" t="str">
        <f t="shared" si="95"/>
        <v>OTHERS</v>
      </c>
    </row>
    <row r="2018" spans="1:16" x14ac:dyDescent="0.3">
      <c r="A2018" s="4">
        <v>15</v>
      </c>
      <c r="B2018" t="s">
        <v>11</v>
      </c>
      <c r="C2018" s="4">
        <v>25.96</v>
      </c>
      <c r="D2018" t="s">
        <v>24</v>
      </c>
      <c r="E2018" t="s">
        <v>17</v>
      </c>
      <c r="F2018" s="4" t="s">
        <v>22</v>
      </c>
      <c r="G2018" s="4" t="s">
        <v>37</v>
      </c>
      <c r="H2018" s="4">
        <v>6</v>
      </c>
      <c r="I2018" s="4">
        <v>10</v>
      </c>
      <c r="J2018" s="1">
        <v>45591</v>
      </c>
      <c r="K2018" s="2">
        <v>3.7280092592592595E-3</v>
      </c>
      <c r="M2018" s="4" t="str">
        <f t="shared" si="93"/>
        <v>LOW</v>
      </c>
      <c r="N2018" s="4" t="str" cm="1">
        <f t="array" ref="N2018">_xlfn.IFS(C2018&gt;35,"HIGH",C2018&gt;25,"MIDDLE",TRUE,"LOW")</f>
        <v>MIDDLE</v>
      </c>
      <c r="O2018" s="4" t="str">
        <f t="shared" si="94"/>
        <v>OTHERS</v>
      </c>
      <c r="P2018" s="4" t="str">
        <f t="shared" si="95"/>
        <v>OTHERS</v>
      </c>
    </row>
    <row r="2019" spans="1:16" x14ac:dyDescent="0.3">
      <c r="A2019" s="4">
        <v>15</v>
      </c>
      <c r="B2019" t="s">
        <v>11</v>
      </c>
      <c r="C2019" s="4">
        <v>25.96</v>
      </c>
      <c r="D2019" t="s">
        <v>24</v>
      </c>
      <c r="E2019" t="s">
        <v>17</v>
      </c>
      <c r="F2019" s="4" t="s">
        <v>22</v>
      </c>
      <c r="G2019" s="4" t="s">
        <v>37</v>
      </c>
      <c r="H2019" s="4">
        <v>6</v>
      </c>
      <c r="I2019" s="4">
        <v>10</v>
      </c>
      <c r="J2019" s="1">
        <v>45591</v>
      </c>
      <c r="K2019" s="2">
        <v>4.387731481481482E-3</v>
      </c>
      <c r="M2019" s="4" t="str">
        <f t="shared" si="93"/>
        <v>LOW</v>
      </c>
      <c r="N2019" s="4" t="str" cm="1">
        <f t="array" ref="N2019">_xlfn.IFS(C2019&gt;35,"HIGH",C2019&gt;25,"MIDDLE",TRUE,"LOW")</f>
        <v>MIDDLE</v>
      </c>
      <c r="O2019" s="4" t="str">
        <f t="shared" si="94"/>
        <v>OTHERS</v>
      </c>
      <c r="P2019" s="4" t="str">
        <f t="shared" si="95"/>
        <v>OTHERS</v>
      </c>
    </row>
    <row r="2020" spans="1:16" x14ac:dyDescent="0.3">
      <c r="A2020" s="4">
        <v>15</v>
      </c>
      <c r="B2020" t="s">
        <v>11</v>
      </c>
      <c r="C2020" s="4">
        <v>35.76</v>
      </c>
      <c r="D2020" t="s">
        <v>12</v>
      </c>
      <c r="E2020" t="s">
        <v>17</v>
      </c>
      <c r="F2020" s="4" t="s">
        <v>22</v>
      </c>
      <c r="G2020" s="4" t="s">
        <v>37</v>
      </c>
      <c r="H2020" s="4">
        <v>6</v>
      </c>
      <c r="I2020" s="4">
        <v>10</v>
      </c>
      <c r="J2020" s="1">
        <v>45591</v>
      </c>
      <c r="K2020" s="2">
        <v>2.6721064814814812E-2</v>
      </c>
      <c r="M2020" s="4" t="str">
        <f t="shared" si="93"/>
        <v>HIGH</v>
      </c>
      <c r="N2020" s="4" t="str" cm="1">
        <f t="array" ref="N2020">_xlfn.IFS(C2020&gt;35,"HIGH",C2020&gt;25,"MIDDLE",TRUE,"LOW")</f>
        <v>HIGH</v>
      </c>
      <c r="O2020" s="4" t="str">
        <f t="shared" si="94"/>
        <v>OTHERS</v>
      </c>
      <c r="P2020" s="4" t="str">
        <f t="shared" si="95"/>
        <v>PREMINUM MORNING</v>
      </c>
    </row>
    <row r="2021" spans="1:16" x14ac:dyDescent="0.3">
      <c r="A2021" s="4">
        <v>15</v>
      </c>
      <c r="B2021" t="s">
        <v>11</v>
      </c>
      <c r="C2021" s="4">
        <v>35.76</v>
      </c>
      <c r="D2021" t="s">
        <v>12</v>
      </c>
      <c r="E2021" t="s">
        <v>17</v>
      </c>
      <c r="F2021" s="4" t="s">
        <v>22</v>
      </c>
      <c r="G2021" s="4" t="s">
        <v>37</v>
      </c>
      <c r="H2021" s="4">
        <v>6</v>
      </c>
      <c r="I2021" s="4">
        <v>10</v>
      </c>
      <c r="J2021" s="1">
        <v>45591</v>
      </c>
      <c r="K2021" s="2">
        <v>2.7425925925925927E-2</v>
      </c>
      <c r="M2021" s="4" t="str">
        <f t="shared" si="93"/>
        <v>HIGH</v>
      </c>
      <c r="N2021" s="4" t="str" cm="1">
        <f t="array" ref="N2021">_xlfn.IFS(C2021&gt;35,"HIGH",C2021&gt;25,"MIDDLE",TRUE,"LOW")</f>
        <v>HIGH</v>
      </c>
      <c r="O2021" s="4" t="str">
        <f t="shared" si="94"/>
        <v>OTHERS</v>
      </c>
      <c r="P2021" s="4" t="str">
        <f t="shared" si="95"/>
        <v>PREMINUM MORNING</v>
      </c>
    </row>
    <row r="2022" spans="1:16" x14ac:dyDescent="0.3">
      <c r="A2022" s="4">
        <v>15</v>
      </c>
      <c r="B2022" t="s">
        <v>11</v>
      </c>
      <c r="C2022" s="4">
        <v>30.86</v>
      </c>
      <c r="D2022" t="s">
        <v>19</v>
      </c>
      <c r="E2022" t="s">
        <v>17</v>
      </c>
      <c r="F2022" s="4" t="s">
        <v>22</v>
      </c>
      <c r="G2022" s="4" t="s">
        <v>37</v>
      </c>
      <c r="H2022" s="4">
        <v>6</v>
      </c>
      <c r="I2022" s="4">
        <v>10</v>
      </c>
      <c r="J2022" s="1">
        <v>45591</v>
      </c>
      <c r="K2022" s="2">
        <v>3.6130787037037038E-2</v>
      </c>
      <c r="M2022" s="4" t="str">
        <f t="shared" si="93"/>
        <v>LOW</v>
      </c>
      <c r="N2022" s="4" t="str" cm="1">
        <f t="array" ref="N2022">_xlfn.IFS(C2022&gt;35,"HIGH",C2022&gt;25,"MIDDLE",TRUE,"LOW")</f>
        <v>MIDDLE</v>
      </c>
      <c r="O2022" s="4" t="str">
        <f t="shared" si="94"/>
        <v>OTHERS</v>
      </c>
      <c r="P2022" s="4" t="str">
        <f t="shared" si="95"/>
        <v>OTHERS</v>
      </c>
    </row>
    <row r="2023" spans="1:16" x14ac:dyDescent="0.3">
      <c r="A2023" s="4">
        <v>15</v>
      </c>
      <c r="B2023" t="s">
        <v>11</v>
      </c>
      <c r="C2023" s="4">
        <v>30.86</v>
      </c>
      <c r="D2023" t="s">
        <v>19</v>
      </c>
      <c r="E2023" t="s">
        <v>17</v>
      </c>
      <c r="F2023" s="4" t="s">
        <v>22</v>
      </c>
      <c r="G2023" s="4" t="s">
        <v>37</v>
      </c>
      <c r="H2023" s="4">
        <v>6</v>
      </c>
      <c r="I2023" s="4">
        <v>10</v>
      </c>
      <c r="J2023" s="1">
        <v>45591</v>
      </c>
      <c r="K2023" s="2">
        <v>3.7054398148148149E-2</v>
      </c>
      <c r="M2023" s="4" t="str">
        <f t="shared" si="93"/>
        <v>LOW</v>
      </c>
      <c r="N2023" s="4" t="str" cm="1">
        <f t="array" ref="N2023">_xlfn.IFS(C2023&gt;35,"HIGH",C2023&gt;25,"MIDDLE",TRUE,"LOW")</f>
        <v>MIDDLE</v>
      </c>
      <c r="O2023" s="4" t="str">
        <f t="shared" si="94"/>
        <v>OTHERS</v>
      </c>
      <c r="P2023" s="4" t="str">
        <f t="shared" si="95"/>
        <v>OTHERS</v>
      </c>
    </row>
    <row r="2024" spans="1:16" x14ac:dyDescent="0.3">
      <c r="A2024" s="4">
        <v>19</v>
      </c>
      <c r="B2024" t="s">
        <v>11</v>
      </c>
      <c r="C2024" s="4">
        <v>35.76</v>
      </c>
      <c r="D2024" t="s">
        <v>29</v>
      </c>
      <c r="E2024" t="s">
        <v>20</v>
      </c>
      <c r="F2024" s="4" t="s">
        <v>22</v>
      </c>
      <c r="G2024" s="4" t="s">
        <v>37</v>
      </c>
      <c r="H2024" s="4">
        <v>6</v>
      </c>
      <c r="I2024" s="4">
        <v>10</v>
      </c>
      <c r="J2024" s="1">
        <v>45591</v>
      </c>
      <c r="K2024" s="2">
        <v>1.3440972222222222E-2</v>
      </c>
      <c r="M2024" s="4" t="str">
        <f t="shared" si="93"/>
        <v>HIGH</v>
      </c>
      <c r="N2024" s="4" t="str" cm="1">
        <f t="array" ref="N2024">_xlfn.IFS(C2024&gt;35,"HIGH",C2024&gt;25,"MIDDLE",TRUE,"LOW")</f>
        <v>HIGH</v>
      </c>
      <c r="O2024" s="4" t="str">
        <f t="shared" si="94"/>
        <v>OTHERS</v>
      </c>
      <c r="P2024" s="4" t="str">
        <f t="shared" si="95"/>
        <v>PREMINUM MORNING</v>
      </c>
    </row>
    <row r="2025" spans="1:16" x14ac:dyDescent="0.3">
      <c r="A2025" s="4">
        <v>20</v>
      </c>
      <c r="B2025" t="s">
        <v>11</v>
      </c>
      <c r="C2025" s="4">
        <v>30.86</v>
      </c>
      <c r="D2025" t="s">
        <v>19</v>
      </c>
      <c r="E2025" t="s">
        <v>20</v>
      </c>
      <c r="F2025" s="4" t="s">
        <v>22</v>
      </c>
      <c r="G2025" s="4" t="s">
        <v>37</v>
      </c>
      <c r="H2025" s="4">
        <v>6</v>
      </c>
      <c r="I2025" s="4">
        <v>10</v>
      </c>
      <c r="J2025" s="1">
        <v>45591</v>
      </c>
      <c r="K2025" s="2">
        <v>2.4151620370370368E-2</v>
      </c>
      <c r="M2025" s="4" t="str">
        <f t="shared" si="93"/>
        <v>LOW</v>
      </c>
      <c r="N2025" s="4" t="str" cm="1">
        <f t="array" ref="N2025">_xlfn.IFS(C2025&gt;35,"HIGH",C2025&gt;25,"MIDDLE",TRUE,"LOW")</f>
        <v>MIDDLE</v>
      </c>
      <c r="O2025" s="4" t="str">
        <f t="shared" si="94"/>
        <v>OTHERS</v>
      </c>
      <c r="P2025" s="4" t="str">
        <f t="shared" si="95"/>
        <v>OTHERS</v>
      </c>
    </row>
    <row r="2026" spans="1:16" x14ac:dyDescent="0.3">
      <c r="A2026" s="4">
        <v>11</v>
      </c>
      <c r="B2026" t="s">
        <v>11</v>
      </c>
      <c r="C2026" s="4">
        <v>30.86</v>
      </c>
      <c r="D2026" t="s">
        <v>19</v>
      </c>
      <c r="E2026" t="s">
        <v>13</v>
      </c>
      <c r="F2026" s="4" t="s">
        <v>23</v>
      </c>
      <c r="G2026" s="4" t="s">
        <v>37</v>
      </c>
      <c r="H2026" s="4">
        <v>7</v>
      </c>
      <c r="I2026" s="4">
        <v>10</v>
      </c>
      <c r="J2026" s="1">
        <v>45592</v>
      </c>
      <c r="K2026" s="2">
        <v>1.3530092592592593E-3</v>
      </c>
      <c r="M2026" s="4" t="str">
        <f t="shared" si="93"/>
        <v>LOW</v>
      </c>
      <c r="N2026" s="4" t="str" cm="1">
        <f t="array" ref="N2026">_xlfn.IFS(C2026&gt;35,"HIGH",C2026&gt;25,"MIDDLE",TRUE,"LOW")</f>
        <v>MIDDLE</v>
      </c>
      <c r="O2026" s="4" t="str">
        <f t="shared" si="94"/>
        <v>OTHERS</v>
      </c>
      <c r="P2026" s="4" t="str">
        <f t="shared" si="95"/>
        <v>PREMINUM MORNING</v>
      </c>
    </row>
    <row r="2027" spans="1:16" x14ac:dyDescent="0.3">
      <c r="A2027" s="4">
        <v>12</v>
      </c>
      <c r="B2027" t="s">
        <v>11</v>
      </c>
      <c r="C2027" s="4">
        <v>35.76</v>
      </c>
      <c r="D2027" t="s">
        <v>12</v>
      </c>
      <c r="E2027" t="s">
        <v>17</v>
      </c>
      <c r="F2027" s="4" t="s">
        <v>23</v>
      </c>
      <c r="G2027" s="4" t="s">
        <v>37</v>
      </c>
      <c r="H2027" s="4">
        <v>7</v>
      </c>
      <c r="I2027" s="4">
        <v>10</v>
      </c>
      <c r="J2027" s="1">
        <v>45592</v>
      </c>
      <c r="K2027" s="2">
        <v>3.7106481481481483E-2</v>
      </c>
      <c r="M2027" s="4" t="str">
        <f t="shared" si="93"/>
        <v>HIGH</v>
      </c>
      <c r="N2027" s="4" t="str" cm="1">
        <f t="array" ref="N2027">_xlfn.IFS(C2027&gt;35,"HIGH",C2027&gt;25,"MIDDLE",TRUE,"LOW")</f>
        <v>HIGH</v>
      </c>
      <c r="O2027" s="4" t="str">
        <f t="shared" si="94"/>
        <v>OTHERS</v>
      </c>
      <c r="P2027" s="4" t="str">
        <f t="shared" si="95"/>
        <v>PREMINUM MORNING</v>
      </c>
    </row>
    <row r="2028" spans="1:16" x14ac:dyDescent="0.3">
      <c r="A2028" s="4">
        <v>12</v>
      </c>
      <c r="B2028" t="s">
        <v>11</v>
      </c>
      <c r="C2028" s="4">
        <v>30.86</v>
      </c>
      <c r="D2028" t="s">
        <v>19</v>
      </c>
      <c r="E2028" t="s">
        <v>17</v>
      </c>
      <c r="F2028" s="4" t="s">
        <v>23</v>
      </c>
      <c r="G2028" s="4" t="s">
        <v>37</v>
      </c>
      <c r="H2028" s="4">
        <v>7</v>
      </c>
      <c r="I2028" s="4">
        <v>10</v>
      </c>
      <c r="J2028" s="1">
        <v>45592</v>
      </c>
      <c r="K2028" s="2">
        <v>3.7818287037037039E-2</v>
      </c>
      <c r="M2028" s="4" t="str">
        <f t="shared" si="93"/>
        <v>LOW</v>
      </c>
      <c r="N2028" s="4" t="str" cm="1">
        <f t="array" ref="N2028">_xlfn.IFS(C2028&gt;35,"HIGH",C2028&gt;25,"MIDDLE",TRUE,"LOW")</f>
        <v>MIDDLE</v>
      </c>
      <c r="O2028" s="4" t="str">
        <f t="shared" si="94"/>
        <v>OTHERS</v>
      </c>
      <c r="P2028" s="4" t="str">
        <f t="shared" si="95"/>
        <v>OTHERS</v>
      </c>
    </row>
    <row r="2029" spans="1:16" x14ac:dyDescent="0.3">
      <c r="A2029" s="4">
        <v>13</v>
      </c>
      <c r="B2029" t="s">
        <v>11</v>
      </c>
      <c r="C2029" s="4">
        <v>35.76</v>
      </c>
      <c r="D2029" t="s">
        <v>29</v>
      </c>
      <c r="E2029" t="s">
        <v>17</v>
      </c>
      <c r="F2029" s="4" t="s">
        <v>23</v>
      </c>
      <c r="G2029" s="4" t="s">
        <v>37</v>
      </c>
      <c r="H2029" s="4">
        <v>7</v>
      </c>
      <c r="I2029" s="4">
        <v>10</v>
      </c>
      <c r="J2029" s="1">
        <v>45592</v>
      </c>
      <c r="K2029" s="2">
        <v>3.0400462962962962E-2</v>
      </c>
      <c r="M2029" s="4" t="str">
        <f t="shared" si="93"/>
        <v>HIGH</v>
      </c>
      <c r="N2029" s="4" t="str" cm="1">
        <f t="array" ref="N2029">_xlfn.IFS(C2029&gt;35,"HIGH",C2029&gt;25,"MIDDLE",TRUE,"LOW")</f>
        <v>HIGH</v>
      </c>
      <c r="O2029" s="4" t="str">
        <f t="shared" si="94"/>
        <v>OTHERS</v>
      </c>
      <c r="P2029" s="4" t="str">
        <f t="shared" si="95"/>
        <v>PREMINUM MORNING</v>
      </c>
    </row>
    <row r="2030" spans="1:16" x14ac:dyDescent="0.3">
      <c r="A2030" s="4">
        <v>16</v>
      </c>
      <c r="B2030" t="s">
        <v>11</v>
      </c>
      <c r="C2030" s="4">
        <v>35.76</v>
      </c>
      <c r="D2030" t="s">
        <v>12</v>
      </c>
      <c r="E2030" t="s">
        <v>17</v>
      </c>
      <c r="F2030" s="4" t="s">
        <v>23</v>
      </c>
      <c r="G2030" s="4" t="s">
        <v>37</v>
      </c>
      <c r="H2030" s="4">
        <v>7</v>
      </c>
      <c r="I2030" s="4">
        <v>10</v>
      </c>
      <c r="J2030" s="1">
        <v>45592</v>
      </c>
      <c r="K2030" s="2">
        <v>1.1877314814814815E-2</v>
      </c>
      <c r="M2030" s="4" t="str">
        <f t="shared" si="93"/>
        <v>HIGH</v>
      </c>
      <c r="N2030" s="4" t="str" cm="1">
        <f t="array" ref="N2030">_xlfn.IFS(C2030&gt;35,"HIGH",C2030&gt;25,"MIDDLE",TRUE,"LOW")</f>
        <v>HIGH</v>
      </c>
      <c r="O2030" s="4" t="str">
        <f t="shared" si="94"/>
        <v>OTHERS</v>
      </c>
      <c r="P2030" s="4" t="str">
        <f t="shared" si="95"/>
        <v>PREMINUM MORNING</v>
      </c>
    </row>
    <row r="2031" spans="1:16" x14ac:dyDescent="0.3">
      <c r="A2031" s="4">
        <v>7</v>
      </c>
      <c r="B2031" t="s">
        <v>11</v>
      </c>
      <c r="C2031" s="4">
        <v>35.76</v>
      </c>
      <c r="D2031" t="s">
        <v>29</v>
      </c>
      <c r="E2031" t="s">
        <v>13</v>
      </c>
      <c r="F2031" s="4" t="s">
        <v>25</v>
      </c>
      <c r="G2031" s="4" t="s">
        <v>37</v>
      </c>
      <c r="H2031" s="4">
        <v>1</v>
      </c>
      <c r="I2031" s="4">
        <v>10</v>
      </c>
      <c r="J2031" s="1">
        <v>45593</v>
      </c>
      <c r="K2031" s="2">
        <v>3.2270833333333332E-2</v>
      </c>
      <c r="M2031" s="4" t="str">
        <f t="shared" si="93"/>
        <v>HIGH</v>
      </c>
      <c r="N2031" s="4" t="str" cm="1">
        <f t="array" ref="N2031">_xlfn.IFS(C2031&gt;35,"HIGH",C2031&gt;25,"MIDDLE",TRUE,"LOW")</f>
        <v>HIGH</v>
      </c>
      <c r="O2031" s="4" t="str">
        <f t="shared" si="94"/>
        <v>PREMINUM MORNING</v>
      </c>
      <c r="P2031" s="4" t="str">
        <f t="shared" si="95"/>
        <v>PREMINUM MORNING</v>
      </c>
    </row>
    <row r="2032" spans="1:16" x14ac:dyDescent="0.3">
      <c r="A2032" s="4">
        <v>8</v>
      </c>
      <c r="B2032" t="s">
        <v>11</v>
      </c>
      <c r="C2032" s="4">
        <v>25.96</v>
      </c>
      <c r="D2032" t="s">
        <v>18</v>
      </c>
      <c r="E2032" t="s">
        <v>13</v>
      </c>
      <c r="F2032" s="4" t="s">
        <v>25</v>
      </c>
      <c r="G2032" s="4" t="s">
        <v>37</v>
      </c>
      <c r="H2032" s="4">
        <v>1</v>
      </c>
      <c r="I2032" s="4">
        <v>10</v>
      </c>
      <c r="J2032" s="1">
        <v>45593</v>
      </c>
      <c r="K2032" s="2">
        <v>8.3680555555555548E-4</v>
      </c>
      <c r="M2032" s="4" t="str">
        <f t="shared" si="93"/>
        <v>LOW</v>
      </c>
      <c r="N2032" s="4" t="str" cm="1">
        <f t="array" ref="N2032">_xlfn.IFS(C2032&gt;35,"HIGH",C2032&gt;25,"MIDDLE",TRUE,"LOW")</f>
        <v>MIDDLE</v>
      </c>
      <c r="O2032" s="4" t="str">
        <f t="shared" si="94"/>
        <v>OTHERS</v>
      </c>
      <c r="P2032" s="4" t="str">
        <f t="shared" si="95"/>
        <v>PREMINUM MORNING</v>
      </c>
    </row>
    <row r="2033" spans="1:16" x14ac:dyDescent="0.3">
      <c r="A2033" s="4">
        <v>8</v>
      </c>
      <c r="B2033" t="s">
        <v>11</v>
      </c>
      <c r="C2033" s="4">
        <v>35.76</v>
      </c>
      <c r="D2033" t="s">
        <v>12</v>
      </c>
      <c r="E2033" t="s">
        <v>13</v>
      </c>
      <c r="F2033" s="4" t="s">
        <v>25</v>
      </c>
      <c r="G2033" s="4" t="s">
        <v>37</v>
      </c>
      <c r="H2033" s="4">
        <v>1</v>
      </c>
      <c r="I2033" s="4">
        <v>10</v>
      </c>
      <c r="J2033" s="1">
        <v>45593</v>
      </c>
      <c r="K2033" s="2">
        <v>2.4339120370370372E-2</v>
      </c>
      <c r="M2033" s="4" t="str">
        <f t="shared" si="93"/>
        <v>HIGH</v>
      </c>
      <c r="N2033" s="4" t="str" cm="1">
        <f t="array" ref="N2033">_xlfn.IFS(C2033&gt;35,"HIGH",C2033&gt;25,"MIDDLE",TRUE,"LOW")</f>
        <v>HIGH</v>
      </c>
      <c r="O2033" s="4" t="str">
        <f t="shared" si="94"/>
        <v>PREMINUM MORNING</v>
      </c>
      <c r="P2033" s="4" t="str">
        <f t="shared" si="95"/>
        <v>PREMINUM MORNING</v>
      </c>
    </row>
    <row r="2034" spans="1:16" x14ac:dyDescent="0.3">
      <c r="A2034" s="4">
        <v>9</v>
      </c>
      <c r="B2034" t="s">
        <v>11</v>
      </c>
      <c r="C2034" s="4">
        <v>30.86</v>
      </c>
      <c r="D2034" t="s">
        <v>19</v>
      </c>
      <c r="E2034" t="s">
        <v>13</v>
      </c>
      <c r="F2034" s="4" t="s">
        <v>25</v>
      </c>
      <c r="G2034" s="4" t="s">
        <v>37</v>
      </c>
      <c r="H2034" s="4">
        <v>1</v>
      </c>
      <c r="I2034" s="4">
        <v>10</v>
      </c>
      <c r="J2034" s="1">
        <v>45593</v>
      </c>
      <c r="K2034" s="2">
        <v>1.0912037037037036E-2</v>
      </c>
      <c r="M2034" s="4" t="str">
        <f t="shared" si="93"/>
        <v>LOW</v>
      </c>
      <c r="N2034" s="4" t="str" cm="1">
        <f t="array" ref="N2034">_xlfn.IFS(C2034&gt;35,"HIGH",C2034&gt;25,"MIDDLE",TRUE,"LOW")</f>
        <v>MIDDLE</v>
      </c>
      <c r="O2034" s="4" t="str">
        <f t="shared" si="94"/>
        <v>OTHERS</v>
      </c>
      <c r="P2034" s="4" t="str">
        <f t="shared" si="95"/>
        <v>PREMINUM MORNING</v>
      </c>
    </row>
    <row r="2035" spans="1:16" x14ac:dyDescent="0.3">
      <c r="A2035" s="4">
        <v>11</v>
      </c>
      <c r="B2035" t="s">
        <v>11</v>
      </c>
      <c r="C2035" s="4">
        <v>35.76</v>
      </c>
      <c r="D2035" t="s">
        <v>12</v>
      </c>
      <c r="E2035" t="s">
        <v>13</v>
      </c>
      <c r="F2035" s="4" t="s">
        <v>25</v>
      </c>
      <c r="G2035" s="4" t="s">
        <v>37</v>
      </c>
      <c r="H2035" s="4">
        <v>1</v>
      </c>
      <c r="I2035" s="4">
        <v>10</v>
      </c>
      <c r="J2035" s="1">
        <v>45593</v>
      </c>
      <c r="K2035" s="2">
        <v>2.958912037037037E-2</v>
      </c>
      <c r="M2035" s="4" t="str">
        <f t="shared" si="93"/>
        <v>HIGH</v>
      </c>
      <c r="N2035" s="4" t="str" cm="1">
        <f t="array" ref="N2035">_xlfn.IFS(C2035&gt;35,"HIGH",C2035&gt;25,"MIDDLE",TRUE,"LOW")</f>
        <v>HIGH</v>
      </c>
      <c r="O2035" s="4" t="str">
        <f t="shared" si="94"/>
        <v>PREMINUM MORNING</v>
      </c>
      <c r="P2035" s="4" t="str">
        <f t="shared" si="95"/>
        <v>PREMINUM MORNING</v>
      </c>
    </row>
    <row r="2036" spans="1:16" x14ac:dyDescent="0.3">
      <c r="A2036" s="4">
        <v>11</v>
      </c>
      <c r="B2036" t="s">
        <v>11</v>
      </c>
      <c r="C2036" s="4">
        <v>35.76</v>
      </c>
      <c r="D2036" t="s">
        <v>12</v>
      </c>
      <c r="E2036" t="s">
        <v>13</v>
      </c>
      <c r="F2036" s="4" t="s">
        <v>25</v>
      </c>
      <c r="G2036" s="4" t="s">
        <v>37</v>
      </c>
      <c r="H2036" s="4">
        <v>1</v>
      </c>
      <c r="I2036" s="4">
        <v>10</v>
      </c>
      <c r="J2036" s="1">
        <v>45593</v>
      </c>
      <c r="K2036" s="2">
        <v>3.0362268518518521E-2</v>
      </c>
      <c r="M2036" s="4" t="str">
        <f t="shared" si="93"/>
        <v>HIGH</v>
      </c>
      <c r="N2036" s="4" t="str" cm="1">
        <f t="array" ref="N2036">_xlfn.IFS(C2036&gt;35,"HIGH",C2036&gt;25,"MIDDLE",TRUE,"LOW")</f>
        <v>HIGH</v>
      </c>
      <c r="O2036" s="4" t="str">
        <f t="shared" si="94"/>
        <v>PREMINUM MORNING</v>
      </c>
      <c r="P2036" s="4" t="str">
        <f t="shared" si="95"/>
        <v>PREMINUM MORNING</v>
      </c>
    </row>
    <row r="2037" spans="1:16" x14ac:dyDescent="0.3">
      <c r="A2037" s="4">
        <v>12</v>
      </c>
      <c r="B2037" t="s">
        <v>11</v>
      </c>
      <c r="C2037" s="4">
        <v>35.76</v>
      </c>
      <c r="D2037" t="s">
        <v>16</v>
      </c>
      <c r="E2037" t="s">
        <v>17</v>
      </c>
      <c r="F2037" s="4" t="s">
        <v>25</v>
      </c>
      <c r="G2037" s="4" t="s">
        <v>37</v>
      </c>
      <c r="H2037" s="4">
        <v>1</v>
      </c>
      <c r="I2037" s="4">
        <v>10</v>
      </c>
      <c r="J2037" s="1">
        <v>45593</v>
      </c>
      <c r="K2037" s="2">
        <v>1.1122685185185185E-3</v>
      </c>
      <c r="M2037" s="4" t="str">
        <f t="shared" si="93"/>
        <v>HIGH</v>
      </c>
      <c r="N2037" s="4" t="str" cm="1">
        <f t="array" ref="N2037">_xlfn.IFS(C2037&gt;35,"HIGH",C2037&gt;25,"MIDDLE",TRUE,"LOW")</f>
        <v>HIGH</v>
      </c>
      <c r="O2037" s="4" t="str">
        <f t="shared" si="94"/>
        <v>OTHERS</v>
      </c>
      <c r="P2037" s="4" t="str">
        <f t="shared" si="95"/>
        <v>PREMINUM MORNING</v>
      </c>
    </row>
    <row r="2038" spans="1:16" x14ac:dyDescent="0.3">
      <c r="A2038" s="4">
        <v>12</v>
      </c>
      <c r="B2038" t="s">
        <v>11</v>
      </c>
      <c r="C2038" s="4">
        <v>30.86</v>
      </c>
      <c r="D2038" t="s">
        <v>19</v>
      </c>
      <c r="E2038" t="s">
        <v>17</v>
      </c>
      <c r="F2038" s="4" t="s">
        <v>25</v>
      </c>
      <c r="G2038" s="4" t="s">
        <v>37</v>
      </c>
      <c r="H2038" s="4">
        <v>1</v>
      </c>
      <c r="I2038" s="4">
        <v>10</v>
      </c>
      <c r="J2038" s="1">
        <v>45593</v>
      </c>
      <c r="K2038" s="2">
        <v>1.7916666666666669E-3</v>
      </c>
      <c r="M2038" s="4" t="str">
        <f t="shared" si="93"/>
        <v>LOW</v>
      </c>
      <c r="N2038" s="4" t="str" cm="1">
        <f t="array" ref="N2038">_xlfn.IFS(C2038&gt;35,"HIGH",C2038&gt;25,"MIDDLE",TRUE,"LOW")</f>
        <v>MIDDLE</v>
      </c>
      <c r="O2038" s="4" t="str">
        <f t="shared" si="94"/>
        <v>OTHERS</v>
      </c>
      <c r="P2038" s="4" t="str">
        <f t="shared" si="95"/>
        <v>OTHERS</v>
      </c>
    </row>
    <row r="2039" spans="1:16" x14ac:dyDescent="0.3">
      <c r="A2039" s="4">
        <v>12</v>
      </c>
      <c r="B2039" t="s">
        <v>11</v>
      </c>
      <c r="C2039" s="4">
        <v>35.76</v>
      </c>
      <c r="D2039" t="s">
        <v>29</v>
      </c>
      <c r="E2039" t="s">
        <v>17</v>
      </c>
      <c r="F2039" s="4" t="s">
        <v>25</v>
      </c>
      <c r="G2039" s="4" t="s">
        <v>37</v>
      </c>
      <c r="H2039" s="4">
        <v>1</v>
      </c>
      <c r="I2039" s="4">
        <v>10</v>
      </c>
      <c r="J2039" s="1">
        <v>45593</v>
      </c>
      <c r="K2039" s="2">
        <v>1.4935185185185187E-2</v>
      </c>
      <c r="M2039" s="4" t="str">
        <f t="shared" si="93"/>
        <v>HIGH</v>
      </c>
      <c r="N2039" s="4" t="str" cm="1">
        <f t="array" ref="N2039">_xlfn.IFS(C2039&gt;35,"HIGH",C2039&gt;25,"MIDDLE",TRUE,"LOW")</f>
        <v>HIGH</v>
      </c>
      <c r="O2039" s="4" t="str">
        <f t="shared" si="94"/>
        <v>OTHERS</v>
      </c>
      <c r="P2039" s="4" t="str">
        <f t="shared" si="95"/>
        <v>PREMINUM MORNING</v>
      </c>
    </row>
    <row r="2040" spans="1:16" x14ac:dyDescent="0.3">
      <c r="A2040" s="4">
        <v>14</v>
      </c>
      <c r="B2040" t="s">
        <v>11</v>
      </c>
      <c r="C2040" s="4">
        <v>30.86</v>
      </c>
      <c r="D2040" t="s">
        <v>19</v>
      </c>
      <c r="E2040" t="s">
        <v>17</v>
      </c>
      <c r="F2040" s="4" t="s">
        <v>25</v>
      </c>
      <c r="G2040" s="4" t="s">
        <v>37</v>
      </c>
      <c r="H2040" s="4">
        <v>1</v>
      </c>
      <c r="I2040" s="4">
        <v>10</v>
      </c>
      <c r="J2040" s="1">
        <v>45593</v>
      </c>
      <c r="K2040" s="2">
        <v>7.5763888888888895E-3</v>
      </c>
      <c r="M2040" s="4" t="str">
        <f t="shared" si="93"/>
        <v>LOW</v>
      </c>
      <c r="N2040" s="4" t="str" cm="1">
        <f t="array" ref="N2040">_xlfn.IFS(C2040&gt;35,"HIGH",C2040&gt;25,"MIDDLE",TRUE,"LOW")</f>
        <v>MIDDLE</v>
      </c>
      <c r="O2040" s="4" t="str">
        <f t="shared" si="94"/>
        <v>OTHERS</v>
      </c>
      <c r="P2040" s="4" t="str">
        <f t="shared" si="95"/>
        <v>OTHERS</v>
      </c>
    </row>
    <row r="2041" spans="1:16" x14ac:dyDescent="0.3">
      <c r="A2041" s="4">
        <v>14</v>
      </c>
      <c r="B2041" t="s">
        <v>11</v>
      </c>
      <c r="C2041" s="4">
        <v>30.86</v>
      </c>
      <c r="D2041" t="s">
        <v>19</v>
      </c>
      <c r="E2041" t="s">
        <v>17</v>
      </c>
      <c r="F2041" s="4" t="s">
        <v>25</v>
      </c>
      <c r="G2041" s="4" t="s">
        <v>37</v>
      </c>
      <c r="H2041" s="4">
        <v>1</v>
      </c>
      <c r="I2041" s="4">
        <v>10</v>
      </c>
      <c r="J2041" s="1">
        <v>45593</v>
      </c>
      <c r="K2041" s="2">
        <v>8.2905092592592579E-3</v>
      </c>
      <c r="M2041" s="4" t="str">
        <f t="shared" si="93"/>
        <v>LOW</v>
      </c>
      <c r="N2041" s="4" t="str" cm="1">
        <f t="array" ref="N2041">_xlfn.IFS(C2041&gt;35,"HIGH",C2041&gt;25,"MIDDLE",TRUE,"LOW")</f>
        <v>MIDDLE</v>
      </c>
      <c r="O2041" s="4" t="str">
        <f t="shared" si="94"/>
        <v>OTHERS</v>
      </c>
      <c r="P2041" s="4" t="str">
        <f t="shared" si="95"/>
        <v>OTHERS</v>
      </c>
    </row>
    <row r="2042" spans="1:16" x14ac:dyDescent="0.3">
      <c r="A2042" s="4">
        <v>14</v>
      </c>
      <c r="B2042" t="s">
        <v>11</v>
      </c>
      <c r="C2042" s="4">
        <v>30.86</v>
      </c>
      <c r="D2042" t="s">
        <v>19</v>
      </c>
      <c r="E2042" t="s">
        <v>17</v>
      </c>
      <c r="F2042" s="4" t="s">
        <v>25</v>
      </c>
      <c r="G2042" s="4" t="s">
        <v>37</v>
      </c>
      <c r="H2042" s="4">
        <v>1</v>
      </c>
      <c r="I2042" s="4">
        <v>10</v>
      </c>
      <c r="J2042" s="1">
        <v>45593</v>
      </c>
      <c r="K2042" s="2">
        <v>2.1523148148148145E-2</v>
      </c>
      <c r="M2042" s="4" t="str">
        <f t="shared" si="93"/>
        <v>LOW</v>
      </c>
      <c r="N2042" s="4" t="str" cm="1">
        <f t="array" ref="N2042">_xlfn.IFS(C2042&gt;35,"HIGH",C2042&gt;25,"MIDDLE",TRUE,"LOW")</f>
        <v>MIDDLE</v>
      </c>
      <c r="O2042" s="4" t="str">
        <f t="shared" si="94"/>
        <v>OTHERS</v>
      </c>
      <c r="P2042" s="4" t="str">
        <f t="shared" si="95"/>
        <v>OTHERS</v>
      </c>
    </row>
    <row r="2043" spans="1:16" x14ac:dyDescent="0.3">
      <c r="A2043" s="4">
        <v>16</v>
      </c>
      <c r="B2043" t="s">
        <v>11</v>
      </c>
      <c r="C2043" s="4">
        <v>35.76</v>
      </c>
      <c r="D2043" t="s">
        <v>12</v>
      </c>
      <c r="E2043" t="s">
        <v>17</v>
      </c>
      <c r="F2043" s="4" t="s">
        <v>25</v>
      </c>
      <c r="G2043" s="4" t="s">
        <v>37</v>
      </c>
      <c r="H2043" s="4">
        <v>1</v>
      </c>
      <c r="I2043" s="4">
        <v>10</v>
      </c>
      <c r="J2043" s="1">
        <v>45593</v>
      </c>
      <c r="K2043" s="2">
        <v>9.3171296296296296E-4</v>
      </c>
      <c r="M2043" s="4" t="str">
        <f t="shared" si="93"/>
        <v>HIGH</v>
      </c>
      <c r="N2043" s="4" t="str" cm="1">
        <f t="array" ref="N2043">_xlfn.IFS(C2043&gt;35,"HIGH",C2043&gt;25,"MIDDLE",TRUE,"LOW")</f>
        <v>HIGH</v>
      </c>
      <c r="O2043" s="4" t="str">
        <f t="shared" si="94"/>
        <v>OTHERS</v>
      </c>
      <c r="P2043" s="4" t="str">
        <f t="shared" si="95"/>
        <v>PREMINUM MORNING</v>
      </c>
    </row>
    <row r="2044" spans="1:16" x14ac:dyDescent="0.3">
      <c r="A2044" s="4">
        <v>17</v>
      </c>
      <c r="B2044" t="s">
        <v>11</v>
      </c>
      <c r="C2044" s="4">
        <v>35.76</v>
      </c>
      <c r="D2044" t="s">
        <v>21</v>
      </c>
      <c r="E2044" t="s">
        <v>20</v>
      </c>
      <c r="F2044" s="4" t="s">
        <v>25</v>
      </c>
      <c r="G2044" s="4" t="s">
        <v>37</v>
      </c>
      <c r="H2044" s="4">
        <v>1</v>
      </c>
      <c r="I2044" s="4">
        <v>10</v>
      </c>
      <c r="J2044" s="1">
        <v>45593</v>
      </c>
      <c r="K2044" s="2">
        <v>3.8403935185185187E-2</v>
      </c>
      <c r="M2044" s="4" t="str">
        <f t="shared" si="93"/>
        <v>HIGH</v>
      </c>
      <c r="N2044" s="4" t="str" cm="1">
        <f t="array" ref="N2044">_xlfn.IFS(C2044&gt;35,"HIGH",C2044&gt;25,"MIDDLE",TRUE,"LOW")</f>
        <v>HIGH</v>
      </c>
      <c r="O2044" s="4" t="str">
        <f t="shared" si="94"/>
        <v>OTHERS</v>
      </c>
      <c r="P2044" s="4" t="str">
        <f t="shared" si="95"/>
        <v>PREMINUM MORNING</v>
      </c>
    </row>
    <row r="2045" spans="1:16" x14ac:dyDescent="0.3">
      <c r="A2045" s="4">
        <v>17</v>
      </c>
      <c r="B2045" t="s">
        <v>11</v>
      </c>
      <c r="C2045" s="4">
        <v>35.76</v>
      </c>
      <c r="D2045" t="s">
        <v>21</v>
      </c>
      <c r="E2045" t="s">
        <v>20</v>
      </c>
      <c r="F2045" s="4" t="s">
        <v>25</v>
      </c>
      <c r="G2045" s="4" t="s">
        <v>37</v>
      </c>
      <c r="H2045" s="4">
        <v>1</v>
      </c>
      <c r="I2045" s="4">
        <v>10</v>
      </c>
      <c r="J2045" s="1">
        <v>45593</v>
      </c>
      <c r="K2045" s="2">
        <v>3.8916666666666669E-2</v>
      </c>
      <c r="M2045" s="4" t="str">
        <f t="shared" si="93"/>
        <v>HIGH</v>
      </c>
      <c r="N2045" s="4" t="str" cm="1">
        <f t="array" ref="N2045">_xlfn.IFS(C2045&gt;35,"HIGH",C2045&gt;25,"MIDDLE",TRUE,"LOW")</f>
        <v>HIGH</v>
      </c>
      <c r="O2045" s="4" t="str">
        <f t="shared" si="94"/>
        <v>OTHERS</v>
      </c>
      <c r="P2045" s="4" t="str">
        <f t="shared" si="95"/>
        <v>PREMINUM MORNING</v>
      </c>
    </row>
    <row r="2046" spans="1:16" x14ac:dyDescent="0.3">
      <c r="A2046" s="4">
        <v>19</v>
      </c>
      <c r="B2046" t="s">
        <v>11</v>
      </c>
      <c r="C2046" s="4">
        <v>35.76</v>
      </c>
      <c r="D2046" t="s">
        <v>29</v>
      </c>
      <c r="E2046" t="s">
        <v>20</v>
      </c>
      <c r="F2046" s="4" t="s">
        <v>25</v>
      </c>
      <c r="G2046" s="4" t="s">
        <v>37</v>
      </c>
      <c r="H2046" s="4">
        <v>1</v>
      </c>
      <c r="I2046" s="4">
        <v>10</v>
      </c>
      <c r="J2046" s="1">
        <v>45593</v>
      </c>
      <c r="K2046" s="2">
        <v>7.2372685185185179E-3</v>
      </c>
      <c r="M2046" s="4" t="str">
        <f t="shared" si="93"/>
        <v>HIGH</v>
      </c>
      <c r="N2046" s="4" t="str" cm="1">
        <f t="array" ref="N2046">_xlfn.IFS(C2046&gt;35,"HIGH",C2046&gt;25,"MIDDLE",TRUE,"LOW")</f>
        <v>HIGH</v>
      </c>
      <c r="O2046" s="4" t="str">
        <f t="shared" si="94"/>
        <v>OTHERS</v>
      </c>
      <c r="P2046" s="4" t="str">
        <f t="shared" si="95"/>
        <v>PREMINUM MORNING</v>
      </c>
    </row>
    <row r="2047" spans="1:16" x14ac:dyDescent="0.3">
      <c r="A2047" s="4">
        <v>21</v>
      </c>
      <c r="B2047" t="s">
        <v>11</v>
      </c>
      <c r="C2047" s="4">
        <v>30.86</v>
      </c>
      <c r="D2047" t="s">
        <v>19</v>
      </c>
      <c r="E2047" t="s">
        <v>20</v>
      </c>
      <c r="F2047" s="4" t="s">
        <v>25</v>
      </c>
      <c r="G2047" s="4" t="s">
        <v>37</v>
      </c>
      <c r="H2047" s="4">
        <v>1</v>
      </c>
      <c r="I2047" s="4">
        <v>10</v>
      </c>
      <c r="J2047" s="1">
        <v>45593</v>
      </c>
      <c r="K2047" s="2">
        <v>1.3930555555555554E-2</v>
      </c>
      <c r="M2047" s="4" t="str">
        <f t="shared" si="93"/>
        <v>LOW</v>
      </c>
      <c r="N2047" s="4" t="str" cm="1">
        <f t="array" ref="N2047">_xlfn.IFS(C2047&gt;35,"HIGH",C2047&gt;25,"MIDDLE",TRUE,"LOW")</f>
        <v>MIDDLE</v>
      </c>
      <c r="O2047" s="4" t="str">
        <f t="shared" si="94"/>
        <v>OTHERS</v>
      </c>
      <c r="P2047" s="4" t="str">
        <f t="shared" si="95"/>
        <v>OTHERS</v>
      </c>
    </row>
    <row r="2048" spans="1:16" x14ac:dyDescent="0.3">
      <c r="A2048" s="4">
        <v>22</v>
      </c>
      <c r="B2048" t="s">
        <v>11</v>
      </c>
      <c r="C2048" s="4">
        <v>30.86</v>
      </c>
      <c r="D2048" t="s">
        <v>19</v>
      </c>
      <c r="E2048" t="s">
        <v>20</v>
      </c>
      <c r="F2048" s="4" t="s">
        <v>25</v>
      </c>
      <c r="G2048" s="4" t="s">
        <v>37</v>
      </c>
      <c r="H2048" s="4">
        <v>1</v>
      </c>
      <c r="I2048" s="4">
        <v>10</v>
      </c>
      <c r="J2048" s="1">
        <v>45593</v>
      </c>
      <c r="K2048" s="2">
        <v>4.0601851851851849E-3</v>
      </c>
      <c r="M2048" s="4" t="str">
        <f t="shared" si="93"/>
        <v>LOW</v>
      </c>
      <c r="N2048" s="4" t="str" cm="1">
        <f t="array" ref="N2048">_xlfn.IFS(C2048&gt;35,"HIGH",C2048&gt;25,"MIDDLE",TRUE,"LOW")</f>
        <v>MIDDLE</v>
      </c>
      <c r="O2048" s="4" t="str">
        <f t="shared" si="94"/>
        <v>OTHERS</v>
      </c>
      <c r="P2048" s="4" t="str">
        <f t="shared" si="95"/>
        <v>OTHERS</v>
      </c>
    </row>
    <row r="2049" spans="1:16" x14ac:dyDescent="0.3">
      <c r="A2049" s="4">
        <v>8</v>
      </c>
      <c r="B2049" t="s">
        <v>11</v>
      </c>
      <c r="C2049" s="4">
        <v>35.76</v>
      </c>
      <c r="D2049" t="s">
        <v>12</v>
      </c>
      <c r="E2049" t="s">
        <v>13</v>
      </c>
      <c r="F2049" s="4" t="s">
        <v>27</v>
      </c>
      <c r="G2049" s="4" t="s">
        <v>37</v>
      </c>
      <c r="H2049" s="4">
        <v>2</v>
      </c>
      <c r="I2049" s="4">
        <v>10</v>
      </c>
      <c r="J2049" s="1">
        <v>45594</v>
      </c>
      <c r="K2049" s="2">
        <v>2.8384259259259262E-2</v>
      </c>
      <c r="M2049" s="4" t="str">
        <f t="shared" si="93"/>
        <v>HIGH</v>
      </c>
      <c r="N2049" s="4" t="str" cm="1">
        <f t="array" ref="N2049">_xlfn.IFS(C2049&gt;35,"HIGH",C2049&gt;25,"MIDDLE",TRUE,"LOW")</f>
        <v>HIGH</v>
      </c>
      <c r="O2049" s="4" t="str">
        <f t="shared" si="94"/>
        <v>PREMINUM MORNING</v>
      </c>
      <c r="P2049" s="4" t="str">
        <f t="shared" si="95"/>
        <v>PREMINUM MORNING</v>
      </c>
    </row>
    <row r="2050" spans="1:16" x14ac:dyDescent="0.3">
      <c r="A2050" s="4">
        <v>8</v>
      </c>
      <c r="B2050" t="s">
        <v>11</v>
      </c>
      <c r="C2050" s="4">
        <v>35.76</v>
      </c>
      <c r="D2050" t="s">
        <v>12</v>
      </c>
      <c r="E2050" t="s">
        <v>13</v>
      </c>
      <c r="F2050" s="4" t="s">
        <v>27</v>
      </c>
      <c r="G2050" s="4" t="s">
        <v>37</v>
      </c>
      <c r="H2050" s="4">
        <v>2</v>
      </c>
      <c r="I2050" s="4">
        <v>10</v>
      </c>
      <c r="J2050" s="1">
        <v>45594</v>
      </c>
      <c r="K2050" s="2">
        <v>3.27037037037037E-2</v>
      </c>
      <c r="M2050" s="4" t="str">
        <f t="shared" si="93"/>
        <v>HIGH</v>
      </c>
      <c r="N2050" s="4" t="str" cm="1">
        <f t="array" ref="N2050">_xlfn.IFS(C2050&gt;35,"HIGH",C2050&gt;25,"MIDDLE",TRUE,"LOW")</f>
        <v>HIGH</v>
      </c>
      <c r="O2050" s="4" t="str">
        <f t="shared" si="94"/>
        <v>PREMINUM MORNING</v>
      </c>
      <c r="P2050" s="4" t="str">
        <f t="shared" si="95"/>
        <v>PREMINUM MORNING</v>
      </c>
    </row>
    <row r="2051" spans="1:16" x14ac:dyDescent="0.3">
      <c r="A2051" s="4">
        <v>9</v>
      </c>
      <c r="B2051" t="s">
        <v>11</v>
      </c>
      <c r="C2051" s="4">
        <v>35.76</v>
      </c>
      <c r="D2051" t="s">
        <v>12</v>
      </c>
      <c r="E2051" t="s">
        <v>13</v>
      </c>
      <c r="F2051" s="4" t="s">
        <v>27</v>
      </c>
      <c r="G2051" s="4" t="s">
        <v>37</v>
      </c>
      <c r="H2051" s="4">
        <v>2</v>
      </c>
      <c r="I2051" s="4">
        <v>10</v>
      </c>
      <c r="J2051" s="1">
        <v>45594</v>
      </c>
      <c r="K2051" s="2">
        <v>2.2195601851851852E-2</v>
      </c>
      <c r="M2051" s="4" t="str">
        <f t="shared" ref="M2051:M2114" si="96">IF(C2051&gt;35,"HIGH","LOW")</f>
        <v>HIGH</v>
      </c>
      <c r="N2051" s="4" t="str" cm="1">
        <f t="array" ref="N2051">_xlfn.IFS(C2051&gt;35,"HIGH",C2051&gt;25,"MIDDLE",TRUE,"LOW")</f>
        <v>HIGH</v>
      </c>
      <c r="O2051" s="4" t="str">
        <f t="shared" ref="O2051:O2114" si="97">IF(AND(C2051&gt;35,E2051="MORNING"),"PREMINUM MORNING","OTHERS")</f>
        <v>PREMINUM MORNING</v>
      </c>
      <c r="P2051" s="4" t="str">
        <f t="shared" ref="P2051:P2114" si="98">IF(OR(C2051&gt;35,E2051="MORNING"),"PREMINUM MORNING","OTHERS")</f>
        <v>PREMINUM MORNING</v>
      </c>
    </row>
    <row r="2052" spans="1:16" x14ac:dyDescent="0.3">
      <c r="A2052" s="4">
        <v>11</v>
      </c>
      <c r="B2052" t="s">
        <v>11</v>
      </c>
      <c r="C2052" s="4">
        <v>30.86</v>
      </c>
      <c r="D2052" t="s">
        <v>19</v>
      </c>
      <c r="E2052" t="s">
        <v>13</v>
      </c>
      <c r="F2052" s="4" t="s">
        <v>27</v>
      </c>
      <c r="G2052" s="4" t="s">
        <v>37</v>
      </c>
      <c r="H2052" s="4">
        <v>2</v>
      </c>
      <c r="I2052" s="4">
        <v>10</v>
      </c>
      <c r="J2052" s="1">
        <v>45594</v>
      </c>
      <c r="K2052" s="2">
        <v>4.1512731481481477E-2</v>
      </c>
      <c r="M2052" s="4" t="str">
        <f t="shared" si="96"/>
        <v>LOW</v>
      </c>
      <c r="N2052" s="4" t="str" cm="1">
        <f t="array" ref="N2052">_xlfn.IFS(C2052&gt;35,"HIGH",C2052&gt;25,"MIDDLE",TRUE,"LOW")</f>
        <v>MIDDLE</v>
      </c>
      <c r="O2052" s="4" t="str">
        <f t="shared" si="97"/>
        <v>OTHERS</v>
      </c>
      <c r="P2052" s="4" t="str">
        <f t="shared" si="98"/>
        <v>PREMINUM MORNING</v>
      </c>
    </row>
    <row r="2053" spans="1:16" x14ac:dyDescent="0.3">
      <c r="A2053" s="4">
        <v>12</v>
      </c>
      <c r="B2053" t="s">
        <v>11</v>
      </c>
      <c r="C2053" s="4">
        <v>21.06</v>
      </c>
      <c r="D2053" t="s">
        <v>26</v>
      </c>
      <c r="E2053" t="s">
        <v>17</v>
      </c>
      <c r="F2053" s="4" t="s">
        <v>27</v>
      </c>
      <c r="G2053" s="4" t="s">
        <v>37</v>
      </c>
      <c r="H2053" s="4">
        <v>2</v>
      </c>
      <c r="I2053" s="4">
        <v>10</v>
      </c>
      <c r="J2053" s="1">
        <v>45594</v>
      </c>
      <c r="K2053" s="2">
        <v>1.5009259259259259E-2</v>
      </c>
      <c r="M2053" s="4" t="str">
        <f t="shared" si="96"/>
        <v>LOW</v>
      </c>
      <c r="N2053" s="4" t="str" cm="1">
        <f t="array" ref="N2053">_xlfn.IFS(C2053&gt;35,"HIGH",C2053&gt;25,"MIDDLE",TRUE,"LOW")</f>
        <v>LOW</v>
      </c>
      <c r="O2053" s="4" t="str">
        <f t="shared" si="97"/>
        <v>OTHERS</v>
      </c>
      <c r="P2053" s="4" t="str">
        <f t="shared" si="98"/>
        <v>OTHERS</v>
      </c>
    </row>
    <row r="2054" spans="1:16" x14ac:dyDescent="0.3">
      <c r="A2054" s="4">
        <v>14</v>
      </c>
      <c r="B2054" t="s">
        <v>11</v>
      </c>
      <c r="C2054" s="4">
        <v>25.96</v>
      </c>
      <c r="D2054" t="s">
        <v>24</v>
      </c>
      <c r="E2054" t="s">
        <v>17</v>
      </c>
      <c r="F2054" s="4" t="s">
        <v>27</v>
      </c>
      <c r="G2054" s="4" t="s">
        <v>37</v>
      </c>
      <c r="H2054" s="4">
        <v>2</v>
      </c>
      <c r="I2054" s="4">
        <v>10</v>
      </c>
      <c r="J2054" s="1">
        <v>45594</v>
      </c>
      <c r="K2054" s="2">
        <v>1.0923611111111111E-2</v>
      </c>
      <c r="M2054" s="4" t="str">
        <f t="shared" si="96"/>
        <v>LOW</v>
      </c>
      <c r="N2054" s="4" t="str" cm="1">
        <f t="array" ref="N2054">_xlfn.IFS(C2054&gt;35,"HIGH",C2054&gt;25,"MIDDLE",TRUE,"LOW")</f>
        <v>MIDDLE</v>
      </c>
      <c r="O2054" s="4" t="str">
        <f t="shared" si="97"/>
        <v>OTHERS</v>
      </c>
      <c r="P2054" s="4" t="str">
        <f t="shared" si="98"/>
        <v>OTHERS</v>
      </c>
    </row>
    <row r="2055" spans="1:16" x14ac:dyDescent="0.3">
      <c r="A2055" s="4">
        <v>14</v>
      </c>
      <c r="B2055" t="s">
        <v>11</v>
      </c>
      <c r="C2055" s="4">
        <v>25.96</v>
      </c>
      <c r="D2055" t="s">
        <v>24</v>
      </c>
      <c r="E2055" t="s">
        <v>17</v>
      </c>
      <c r="F2055" s="4" t="s">
        <v>27</v>
      </c>
      <c r="G2055" s="4" t="s">
        <v>37</v>
      </c>
      <c r="H2055" s="4">
        <v>2</v>
      </c>
      <c r="I2055" s="4">
        <v>10</v>
      </c>
      <c r="J2055" s="1">
        <v>45594</v>
      </c>
      <c r="K2055" s="2">
        <v>1.1813657407407408E-2</v>
      </c>
      <c r="M2055" s="4" t="str">
        <f t="shared" si="96"/>
        <v>LOW</v>
      </c>
      <c r="N2055" s="4" t="str" cm="1">
        <f t="array" ref="N2055">_xlfn.IFS(C2055&gt;35,"HIGH",C2055&gt;25,"MIDDLE",TRUE,"LOW")</f>
        <v>MIDDLE</v>
      </c>
      <c r="O2055" s="4" t="str">
        <f t="shared" si="97"/>
        <v>OTHERS</v>
      </c>
      <c r="P2055" s="4" t="str">
        <f t="shared" si="98"/>
        <v>OTHERS</v>
      </c>
    </row>
    <row r="2056" spans="1:16" x14ac:dyDescent="0.3">
      <c r="A2056" s="4">
        <v>14</v>
      </c>
      <c r="B2056" t="s">
        <v>11</v>
      </c>
      <c r="C2056" s="4">
        <v>35.76</v>
      </c>
      <c r="D2056" t="s">
        <v>29</v>
      </c>
      <c r="E2056" t="s">
        <v>17</v>
      </c>
      <c r="F2056" s="4" t="s">
        <v>27</v>
      </c>
      <c r="G2056" s="4" t="s">
        <v>37</v>
      </c>
      <c r="H2056" s="4">
        <v>2</v>
      </c>
      <c r="I2056" s="4">
        <v>10</v>
      </c>
      <c r="J2056" s="1">
        <v>45594</v>
      </c>
      <c r="K2056" s="2">
        <v>2.6111111111111113E-2</v>
      </c>
      <c r="M2056" s="4" t="str">
        <f t="shared" si="96"/>
        <v>HIGH</v>
      </c>
      <c r="N2056" s="4" t="str" cm="1">
        <f t="array" ref="N2056">_xlfn.IFS(C2056&gt;35,"HIGH",C2056&gt;25,"MIDDLE",TRUE,"LOW")</f>
        <v>HIGH</v>
      </c>
      <c r="O2056" s="4" t="str">
        <f t="shared" si="97"/>
        <v>OTHERS</v>
      </c>
      <c r="P2056" s="4" t="str">
        <f t="shared" si="98"/>
        <v>PREMINUM MORNING</v>
      </c>
    </row>
    <row r="2057" spans="1:16" x14ac:dyDescent="0.3">
      <c r="A2057" s="4">
        <v>16</v>
      </c>
      <c r="B2057" t="s">
        <v>11</v>
      </c>
      <c r="C2057" s="4">
        <v>35.76</v>
      </c>
      <c r="D2057" t="s">
        <v>16</v>
      </c>
      <c r="E2057" t="s">
        <v>17</v>
      </c>
      <c r="F2057" s="4" t="s">
        <v>27</v>
      </c>
      <c r="G2057" s="4" t="s">
        <v>37</v>
      </c>
      <c r="H2057" s="4">
        <v>2</v>
      </c>
      <c r="I2057" s="4">
        <v>10</v>
      </c>
      <c r="J2057" s="1">
        <v>45594</v>
      </c>
      <c r="K2057" s="2">
        <v>6.6400462962962967E-3</v>
      </c>
      <c r="M2057" s="4" t="str">
        <f t="shared" si="96"/>
        <v>HIGH</v>
      </c>
      <c r="N2057" s="4" t="str" cm="1">
        <f t="array" ref="N2057">_xlfn.IFS(C2057&gt;35,"HIGH",C2057&gt;25,"MIDDLE",TRUE,"LOW")</f>
        <v>HIGH</v>
      </c>
      <c r="O2057" s="4" t="str">
        <f t="shared" si="97"/>
        <v>OTHERS</v>
      </c>
      <c r="P2057" s="4" t="str">
        <f t="shared" si="98"/>
        <v>PREMINUM MORNING</v>
      </c>
    </row>
    <row r="2058" spans="1:16" x14ac:dyDescent="0.3">
      <c r="A2058" s="4">
        <v>16</v>
      </c>
      <c r="B2058" t="s">
        <v>11</v>
      </c>
      <c r="C2058" s="4">
        <v>35.76</v>
      </c>
      <c r="D2058" t="s">
        <v>21</v>
      </c>
      <c r="E2058" t="s">
        <v>17</v>
      </c>
      <c r="F2058" s="4" t="s">
        <v>27</v>
      </c>
      <c r="G2058" s="4" t="s">
        <v>37</v>
      </c>
      <c r="H2058" s="4">
        <v>2</v>
      </c>
      <c r="I2058" s="4">
        <v>10</v>
      </c>
      <c r="J2058" s="1">
        <v>45594</v>
      </c>
      <c r="K2058" s="2">
        <v>7.601851851851851E-3</v>
      </c>
      <c r="M2058" s="4" t="str">
        <f t="shared" si="96"/>
        <v>HIGH</v>
      </c>
      <c r="N2058" s="4" t="str" cm="1">
        <f t="array" ref="N2058">_xlfn.IFS(C2058&gt;35,"HIGH",C2058&gt;25,"MIDDLE",TRUE,"LOW")</f>
        <v>HIGH</v>
      </c>
      <c r="O2058" s="4" t="str">
        <f t="shared" si="97"/>
        <v>OTHERS</v>
      </c>
      <c r="P2058" s="4" t="str">
        <f t="shared" si="98"/>
        <v>PREMINUM MORNING</v>
      </c>
    </row>
    <row r="2059" spans="1:16" x14ac:dyDescent="0.3">
      <c r="A2059" s="4">
        <v>16</v>
      </c>
      <c r="B2059" t="s">
        <v>11</v>
      </c>
      <c r="C2059" s="4">
        <v>35.76</v>
      </c>
      <c r="D2059" t="s">
        <v>21</v>
      </c>
      <c r="E2059" t="s">
        <v>17</v>
      </c>
      <c r="F2059" s="4" t="s">
        <v>27</v>
      </c>
      <c r="G2059" s="4" t="s">
        <v>37</v>
      </c>
      <c r="H2059" s="4">
        <v>2</v>
      </c>
      <c r="I2059" s="4">
        <v>10</v>
      </c>
      <c r="J2059" s="1">
        <v>45594</v>
      </c>
      <c r="K2059" s="2">
        <v>1.2192129629629631E-2</v>
      </c>
      <c r="M2059" s="4" t="str">
        <f t="shared" si="96"/>
        <v>HIGH</v>
      </c>
      <c r="N2059" s="4" t="str" cm="1">
        <f t="array" ref="N2059">_xlfn.IFS(C2059&gt;35,"HIGH",C2059&gt;25,"MIDDLE",TRUE,"LOW")</f>
        <v>HIGH</v>
      </c>
      <c r="O2059" s="4" t="str">
        <f t="shared" si="97"/>
        <v>OTHERS</v>
      </c>
      <c r="P2059" s="4" t="str">
        <f t="shared" si="98"/>
        <v>PREMINUM MORNING</v>
      </c>
    </row>
    <row r="2060" spans="1:16" x14ac:dyDescent="0.3">
      <c r="A2060" s="4">
        <v>18</v>
      </c>
      <c r="B2060" t="s">
        <v>11</v>
      </c>
      <c r="C2060" s="4">
        <v>30.86</v>
      </c>
      <c r="D2060" t="s">
        <v>19</v>
      </c>
      <c r="E2060" t="s">
        <v>20</v>
      </c>
      <c r="F2060" s="4" t="s">
        <v>27</v>
      </c>
      <c r="G2060" s="4" t="s">
        <v>37</v>
      </c>
      <c r="H2060" s="4">
        <v>2</v>
      </c>
      <c r="I2060" s="4">
        <v>10</v>
      </c>
      <c r="J2060" s="1">
        <v>45594</v>
      </c>
      <c r="K2060" s="2">
        <v>1.4398148148148148E-3</v>
      </c>
      <c r="M2060" s="4" t="str">
        <f t="shared" si="96"/>
        <v>LOW</v>
      </c>
      <c r="N2060" s="4" t="str" cm="1">
        <f t="array" ref="N2060">_xlfn.IFS(C2060&gt;35,"HIGH",C2060&gt;25,"MIDDLE",TRUE,"LOW")</f>
        <v>MIDDLE</v>
      </c>
      <c r="O2060" s="4" t="str">
        <f t="shared" si="97"/>
        <v>OTHERS</v>
      </c>
      <c r="P2060" s="4" t="str">
        <f t="shared" si="98"/>
        <v>OTHERS</v>
      </c>
    </row>
    <row r="2061" spans="1:16" x14ac:dyDescent="0.3">
      <c r="A2061" s="4">
        <v>18</v>
      </c>
      <c r="B2061" t="s">
        <v>11</v>
      </c>
      <c r="C2061" s="4">
        <v>30.86</v>
      </c>
      <c r="D2061" t="s">
        <v>19</v>
      </c>
      <c r="E2061" t="s">
        <v>20</v>
      </c>
      <c r="F2061" s="4" t="s">
        <v>27</v>
      </c>
      <c r="G2061" s="4" t="s">
        <v>37</v>
      </c>
      <c r="H2061" s="4">
        <v>2</v>
      </c>
      <c r="I2061" s="4">
        <v>10</v>
      </c>
      <c r="J2061" s="1">
        <v>45594</v>
      </c>
      <c r="K2061" s="2">
        <v>2.0532407407407409E-3</v>
      </c>
      <c r="M2061" s="4" t="str">
        <f t="shared" si="96"/>
        <v>LOW</v>
      </c>
      <c r="N2061" s="4" t="str" cm="1">
        <f t="array" ref="N2061">_xlfn.IFS(C2061&gt;35,"HIGH",C2061&gt;25,"MIDDLE",TRUE,"LOW")</f>
        <v>MIDDLE</v>
      </c>
      <c r="O2061" s="4" t="str">
        <f t="shared" si="97"/>
        <v>OTHERS</v>
      </c>
      <c r="P2061" s="4" t="str">
        <f t="shared" si="98"/>
        <v>OTHERS</v>
      </c>
    </row>
    <row r="2062" spans="1:16" x14ac:dyDescent="0.3">
      <c r="A2062" s="4">
        <v>19</v>
      </c>
      <c r="B2062" t="s">
        <v>11</v>
      </c>
      <c r="C2062" s="4">
        <v>30.86</v>
      </c>
      <c r="D2062" t="s">
        <v>19</v>
      </c>
      <c r="E2062" t="s">
        <v>20</v>
      </c>
      <c r="F2062" s="4" t="s">
        <v>27</v>
      </c>
      <c r="G2062" s="4" t="s">
        <v>37</v>
      </c>
      <c r="H2062" s="4">
        <v>2</v>
      </c>
      <c r="I2062" s="4">
        <v>10</v>
      </c>
      <c r="J2062" s="1">
        <v>45594</v>
      </c>
      <c r="K2062" s="2">
        <v>1.451388888888889E-3</v>
      </c>
      <c r="M2062" s="4" t="str">
        <f t="shared" si="96"/>
        <v>LOW</v>
      </c>
      <c r="N2062" s="4" t="str" cm="1">
        <f t="array" ref="N2062">_xlfn.IFS(C2062&gt;35,"HIGH",C2062&gt;25,"MIDDLE",TRUE,"LOW")</f>
        <v>MIDDLE</v>
      </c>
      <c r="O2062" s="4" t="str">
        <f t="shared" si="97"/>
        <v>OTHERS</v>
      </c>
      <c r="P2062" s="4" t="str">
        <f t="shared" si="98"/>
        <v>OTHERS</v>
      </c>
    </row>
    <row r="2063" spans="1:16" x14ac:dyDescent="0.3">
      <c r="A2063" s="4">
        <v>19</v>
      </c>
      <c r="B2063" t="s">
        <v>11</v>
      </c>
      <c r="C2063" s="4">
        <v>35.76</v>
      </c>
      <c r="D2063" t="s">
        <v>29</v>
      </c>
      <c r="E2063" t="s">
        <v>20</v>
      </c>
      <c r="F2063" s="4" t="s">
        <v>27</v>
      </c>
      <c r="G2063" s="4" t="s">
        <v>37</v>
      </c>
      <c r="H2063" s="4">
        <v>2</v>
      </c>
      <c r="I2063" s="4">
        <v>10</v>
      </c>
      <c r="J2063" s="1">
        <v>45594</v>
      </c>
      <c r="K2063" s="2">
        <v>3.9861111111111113E-3</v>
      </c>
      <c r="M2063" s="4" t="str">
        <f t="shared" si="96"/>
        <v>HIGH</v>
      </c>
      <c r="N2063" s="4" t="str" cm="1">
        <f t="array" ref="N2063">_xlfn.IFS(C2063&gt;35,"HIGH",C2063&gt;25,"MIDDLE",TRUE,"LOW")</f>
        <v>HIGH</v>
      </c>
      <c r="O2063" s="4" t="str">
        <f t="shared" si="97"/>
        <v>OTHERS</v>
      </c>
      <c r="P2063" s="4" t="str">
        <f t="shared" si="98"/>
        <v>PREMINUM MORNING</v>
      </c>
    </row>
    <row r="2064" spans="1:16" x14ac:dyDescent="0.3">
      <c r="A2064" s="4">
        <v>19</v>
      </c>
      <c r="B2064" t="s">
        <v>11</v>
      </c>
      <c r="C2064" s="4">
        <v>35.76</v>
      </c>
      <c r="D2064" t="s">
        <v>16</v>
      </c>
      <c r="E2064" t="s">
        <v>20</v>
      </c>
      <c r="F2064" s="4" t="s">
        <v>27</v>
      </c>
      <c r="G2064" s="4" t="s">
        <v>37</v>
      </c>
      <c r="H2064" s="4">
        <v>2</v>
      </c>
      <c r="I2064" s="4">
        <v>10</v>
      </c>
      <c r="J2064" s="1">
        <v>45594</v>
      </c>
      <c r="K2064" s="2">
        <v>3.5565972222222221E-2</v>
      </c>
      <c r="M2064" s="4" t="str">
        <f t="shared" si="96"/>
        <v>HIGH</v>
      </c>
      <c r="N2064" s="4" t="str" cm="1">
        <f t="array" ref="N2064">_xlfn.IFS(C2064&gt;35,"HIGH",C2064&gt;25,"MIDDLE",TRUE,"LOW")</f>
        <v>HIGH</v>
      </c>
      <c r="O2064" s="4" t="str">
        <f t="shared" si="97"/>
        <v>OTHERS</v>
      </c>
      <c r="P2064" s="4" t="str">
        <f t="shared" si="98"/>
        <v>PREMINUM MORNING</v>
      </c>
    </row>
    <row r="2065" spans="1:16" x14ac:dyDescent="0.3">
      <c r="A2065" s="4">
        <v>19</v>
      </c>
      <c r="B2065" t="s">
        <v>11</v>
      </c>
      <c r="C2065" s="4">
        <v>35.76</v>
      </c>
      <c r="D2065" t="s">
        <v>12</v>
      </c>
      <c r="E2065" t="s">
        <v>20</v>
      </c>
      <c r="F2065" s="4" t="s">
        <v>27</v>
      </c>
      <c r="G2065" s="4" t="s">
        <v>37</v>
      </c>
      <c r="H2065" s="4">
        <v>2</v>
      </c>
      <c r="I2065" s="4">
        <v>10</v>
      </c>
      <c r="J2065" s="1">
        <v>45594</v>
      </c>
      <c r="K2065" s="2">
        <v>3.7527777777777778E-2</v>
      </c>
      <c r="M2065" s="4" t="str">
        <f t="shared" si="96"/>
        <v>HIGH</v>
      </c>
      <c r="N2065" s="4" t="str" cm="1">
        <f t="array" ref="N2065">_xlfn.IFS(C2065&gt;35,"HIGH",C2065&gt;25,"MIDDLE",TRUE,"LOW")</f>
        <v>HIGH</v>
      </c>
      <c r="O2065" s="4" t="str">
        <f t="shared" si="97"/>
        <v>OTHERS</v>
      </c>
      <c r="P2065" s="4" t="str">
        <f t="shared" si="98"/>
        <v>PREMINUM MORNING</v>
      </c>
    </row>
    <row r="2066" spans="1:16" x14ac:dyDescent="0.3">
      <c r="A2066" s="4">
        <v>20</v>
      </c>
      <c r="B2066" t="s">
        <v>11</v>
      </c>
      <c r="C2066" s="4">
        <v>35.76</v>
      </c>
      <c r="D2066" t="s">
        <v>12</v>
      </c>
      <c r="E2066" t="s">
        <v>20</v>
      </c>
      <c r="F2066" s="4" t="s">
        <v>27</v>
      </c>
      <c r="G2066" s="4" t="s">
        <v>37</v>
      </c>
      <c r="H2066" s="4">
        <v>2</v>
      </c>
      <c r="I2066" s="4">
        <v>10</v>
      </c>
      <c r="J2066" s="1">
        <v>45594</v>
      </c>
      <c r="K2066" s="2">
        <v>5.2743055555555555E-3</v>
      </c>
      <c r="M2066" s="4" t="str">
        <f t="shared" si="96"/>
        <v>HIGH</v>
      </c>
      <c r="N2066" s="4" t="str" cm="1">
        <f t="array" ref="N2066">_xlfn.IFS(C2066&gt;35,"HIGH",C2066&gt;25,"MIDDLE",TRUE,"LOW")</f>
        <v>HIGH</v>
      </c>
      <c r="O2066" s="4" t="str">
        <f t="shared" si="97"/>
        <v>OTHERS</v>
      </c>
      <c r="P2066" s="4" t="str">
        <f t="shared" si="98"/>
        <v>PREMINUM MORNING</v>
      </c>
    </row>
    <row r="2067" spans="1:16" x14ac:dyDescent="0.3">
      <c r="A2067" s="4">
        <v>7</v>
      </c>
      <c r="B2067" t="s">
        <v>11</v>
      </c>
      <c r="C2067" s="4">
        <v>35.76</v>
      </c>
      <c r="D2067" t="s">
        <v>12</v>
      </c>
      <c r="E2067" t="s">
        <v>13</v>
      </c>
      <c r="F2067" s="4" t="s">
        <v>28</v>
      </c>
      <c r="G2067" s="4" t="s">
        <v>37</v>
      </c>
      <c r="H2067" s="4">
        <v>3</v>
      </c>
      <c r="I2067" s="4">
        <v>10</v>
      </c>
      <c r="J2067" s="1">
        <v>45595</v>
      </c>
      <c r="K2067" s="2">
        <v>3.6174768518518516E-2</v>
      </c>
      <c r="M2067" s="4" t="str">
        <f t="shared" si="96"/>
        <v>HIGH</v>
      </c>
      <c r="N2067" s="4" t="str" cm="1">
        <f t="array" ref="N2067">_xlfn.IFS(C2067&gt;35,"HIGH",C2067&gt;25,"MIDDLE",TRUE,"LOW")</f>
        <v>HIGH</v>
      </c>
      <c r="O2067" s="4" t="str">
        <f t="shared" si="97"/>
        <v>PREMINUM MORNING</v>
      </c>
      <c r="P2067" s="4" t="str">
        <f t="shared" si="98"/>
        <v>PREMINUM MORNING</v>
      </c>
    </row>
    <row r="2068" spans="1:16" x14ac:dyDescent="0.3">
      <c r="A2068" s="4">
        <v>8</v>
      </c>
      <c r="B2068" t="s">
        <v>11</v>
      </c>
      <c r="C2068" s="4">
        <v>30.86</v>
      </c>
      <c r="D2068" t="s">
        <v>19</v>
      </c>
      <c r="E2068" t="s">
        <v>13</v>
      </c>
      <c r="F2068" s="4" t="s">
        <v>28</v>
      </c>
      <c r="G2068" s="4" t="s">
        <v>37</v>
      </c>
      <c r="H2068" s="4">
        <v>3</v>
      </c>
      <c r="I2068" s="4">
        <v>10</v>
      </c>
      <c r="J2068" s="1">
        <v>45595</v>
      </c>
      <c r="K2068" s="2">
        <v>3.2254629629629633E-2</v>
      </c>
      <c r="M2068" s="4" t="str">
        <f t="shared" si="96"/>
        <v>LOW</v>
      </c>
      <c r="N2068" s="4" t="str" cm="1">
        <f t="array" ref="N2068">_xlfn.IFS(C2068&gt;35,"HIGH",C2068&gt;25,"MIDDLE",TRUE,"LOW")</f>
        <v>MIDDLE</v>
      </c>
      <c r="O2068" s="4" t="str">
        <f t="shared" si="97"/>
        <v>OTHERS</v>
      </c>
      <c r="P2068" s="4" t="str">
        <f t="shared" si="98"/>
        <v>PREMINUM MORNING</v>
      </c>
    </row>
    <row r="2069" spans="1:16" x14ac:dyDescent="0.3">
      <c r="A2069" s="4">
        <v>8</v>
      </c>
      <c r="B2069" t="s">
        <v>11</v>
      </c>
      <c r="C2069" s="4">
        <v>30.86</v>
      </c>
      <c r="D2069" t="s">
        <v>19</v>
      </c>
      <c r="E2069" t="s">
        <v>13</v>
      </c>
      <c r="F2069" s="4" t="s">
        <v>28</v>
      </c>
      <c r="G2069" s="4" t="s">
        <v>37</v>
      </c>
      <c r="H2069" s="4">
        <v>3</v>
      </c>
      <c r="I2069" s="4">
        <v>10</v>
      </c>
      <c r="J2069" s="1">
        <v>45595</v>
      </c>
      <c r="K2069" s="2">
        <v>3.2978009259259262E-2</v>
      </c>
      <c r="M2069" s="4" t="str">
        <f t="shared" si="96"/>
        <v>LOW</v>
      </c>
      <c r="N2069" s="4" t="str" cm="1">
        <f t="array" ref="N2069">_xlfn.IFS(C2069&gt;35,"HIGH",C2069&gt;25,"MIDDLE",TRUE,"LOW")</f>
        <v>MIDDLE</v>
      </c>
      <c r="O2069" s="4" t="str">
        <f t="shared" si="97"/>
        <v>OTHERS</v>
      </c>
      <c r="P2069" s="4" t="str">
        <f t="shared" si="98"/>
        <v>PREMINUM MORNING</v>
      </c>
    </row>
    <row r="2070" spans="1:16" x14ac:dyDescent="0.3">
      <c r="A2070" s="4">
        <v>9</v>
      </c>
      <c r="B2070" t="s">
        <v>11</v>
      </c>
      <c r="C2070" s="4">
        <v>35.76</v>
      </c>
      <c r="D2070" t="s">
        <v>12</v>
      </c>
      <c r="E2070" t="s">
        <v>13</v>
      </c>
      <c r="F2070" s="4" t="s">
        <v>28</v>
      </c>
      <c r="G2070" s="4" t="s">
        <v>37</v>
      </c>
      <c r="H2070" s="4">
        <v>3</v>
      </c>
      <c r="I2070" s="4">
        <v>10</v>
      </c>
      <c r="J2070" s="1">
        <v>45595</v>
      </c>
      <c r="K2070" s="2">
        <v>7.9791666666666657E-3</v>
      </c>
      <c r="M2070" s="4" t="str">
        <f t="shared" si="96"/>
        <v>HIGH</v>
      </c>
      <c r="N2070" s="4" t="str" cm="1">
        <f t="array" ref="N2070">_xlfn.IFS(C2070&gt;35,"HIGH",C2070&gt;25,"MIDDLE",TRUE,"LOW")</f>
        <v>HIGH</v>
      </c>
      <c r="O2070" s="4" t="str">
        <f t="shared" si="97"/>
        <v>PREMINUM MORNING</v>
      </c>
      <c r="P2070" s="4" t="str">
        <f t="shared" si="98"/>
        <v>PREMINUM MORNING</v>
      </c>
    </row>
    <row r="2071" spans="1:16" x14ac:dyDescent="0.3">
      <c r="A2071" s="4">
        <v>10</v>
      </c>
      <c r="B2071" t="s">
        <v>11</v>
      </c>
      <c r="C2071" s="4">
        <v>35.76</v>
      </c>
      <c r="D2071" t="s">
        <v>12</v>
      </c>
      <c r="E2071" t="s">
        <v>13</v>
      </c>
      <c r="F2071" s="4" t="s">
        <v>28</v>
      </c>
      <c r="G2071" s="4" t="s">
        <v>37</v>
      </c>
      <c r="H2071" s="4">
        <v>3</v>
      </c>
      <c r="I2071" s="4">
        <v>10</v>
      </c>
      <c r="J2071" s="1">
        <v>45595</v>
      </c>
      <c r="K2071" s="2">
        <v>2.2143518518518521E-2</v>
      </c>
      <c r="M2071" s="4" t="str">
        <f t="shared" si="96"/>
        <v>HIGH</v>
      </c>
      <c r="N2071" s="4" t="str" cm="1">
        <f t="array" ref="N2071">_xlfn.IFS(C2071&gt;35,"HIGH",C2071&gt;25,"MIDDLE",TRUE,"LOW")</f>
        <v>HIGH</v>
      </c>
      <c r="O2071" s="4" t="str">
        <f t="shared" si="97"/>
        <v>PREMINUM MORNING</v>
      </c>
      <c r="P2071" s="4" t="str">
        <f t="shared" si="98"/>
        <v>PREMINUM MORNING</v>
      </c>
    </row>
    <row r="2072" spans="1:16" x14ac:dyDescent="0.3">
      <c r="A2072" s="4">
        <v>10</v>
      </c>
      <c r="B2072" t="s">
        <v>11</v>
      </c>
      <c r="C2072" s="4">
        <v>35.76</v>
      </c>
      <c r="D2072" t="s">
        <v>12</v>
      </c>
      <c r="E2072" t="s">
        <v>13</v>
      </c>
      <c r="F2072" s="4" t="s">
        <v>28</v>
      </c>
      <c r="G2072" s="4" t="s">
        <v>37</v>
      </c>
      <c r="H2072" s="4">
        <v>3</v>
      </c>
      <c r="I2072" s="4">
        <v>10</v>
      </c>
      <c r="J2072" s="1">
        <v>45595</v>
      </c>
      <c r="K2072" s="2">
        <v>2.3005787037037036E-2</v>
      </c>
      <c r="M2072" s="4" t="str">
        <f t="shared" si="96"/>
        <v>HIGH</v>
      </c>
      <c r="N2072" s="4" t="str" cm="1">
        <f t="array" ref="N2072">_xlfn.IFS(C2072&gt;35,"HIGH",C2072&gt;25,"MIDDLE",TRUE,"LOW")</f>
        <v>HIGH</v>
      </c>
      <c r="O2072" s="4" t="str">
        <f t="shared" si="97"/>
        <v>PREMINUM MORNING</v>
      </c>
      <c r="P2072" s="4" t="str">
        <f t="shared" si="98"/>
        <v>PREMINUM MORNING</v>
      </c>
    </row>
    <row r="2073" spans="1:16" x14ac:dyDescent="0.3">
      <c r="A2073" s="4">
        <v>12</v>
      </c>
      <c r="B2073" t="s">
        <v>11</v>
      </c>
      <c r="C2073" s="4">
        <v>35.76</v>
      </c>
      <c r="D2073" t="s">
        <v>12</v>
      </c>
      <c r="E2073" t="s">
        <v>17</v>
      </c>
      <c r="F2073" s="4" t="s">
        <v>28</v>
      </c>
      <c r="G2073" s="4" t="s">
        <v>37</v>
      </c>
      <c r="H2073" s="4">
        <v>3</v>
      </c>
      <c r="I2073" s="4">
        <v>10</v>
      </c>
      <c r="J2073" s="1">
        <v>45595</v>
      </c>
      <c r="K2073" s="2">
        <v>6.0868055555555554E-3</v>
      </c>
      <c r="M2073" s="4" t="str">
        <f t="shared" si="96"/>
        <v>HIGH</v>
      </c>
      <c r="N2073" s="4" t="str" cm="1">
        <f t="array" ref="N2073">_xlfn.IFS(C2073&gt;35,"HIGH",C2073&gt;25,"MIDDLE",TRUE,"LOW")</f>
        <v>HIGH</v>
      </c>
      <c r="O2073" s="4" t="str">
        <f t="shared" si="97"/>
        <v>OTHERS</v>
      </c>
      <c r="P2073" s="4" t="str">
        <f t="shared" si="98"/>
        <v>PREMINUM MORNING</v>
      </c>
    </row>
    <row r="2074" spans="1:16" x14ac:dyDescent="0.3">
      <c r="A2074" s="4">
        <v>12</v>
      </c>
      <c r="B2074" t="s">
        <v>11</v>
      </c>
      <c r="C2074" s="4">
        <v>25.96</v>
      </c>
      <c r="D2074" t="s">
        <v>18</v>
      </c>
      <c r="E2074" t="s">
        <v>17</v>
      </c>
      <c r="F2074" s="4" t="s">
        <v>28</v>
      </c>
      <c r="G2074" s="4" t="s">
        <v>37</v>
      </c>
      <c r="H2074" s="4">
        <v>3</v>
      </c>
      <c r="I2074" s="4">
        <v>10</v>
      </c>
      <c r="J2074" s="1">
        <v>45595</v>
      </c>
      <c r="K2074" s="2">
        <v>6.7916666666666663E-3</v>
      </c>
      <c r="M2074" s="4" t="str">
        <f t="shared" si="96"/>
        <v>LOW</v>
      </c>
      <c r="N2074" s="4" t="str" cm="1">
        <f t="array" ref="N2074">_xlfn.IFS(C2074&gt;35,"HIGH",C2074&gt;25,"MIDDLE",TRUE,"LOW")</f>
        <v>MIDDLE</v>
      </c>
      <c r="O2074" s="4" t="str">
        <f t="shared" si="97"/>
        <v>OTHERS</v>
      </c>
      <c r="P2074" s="4" t="str">
        <f t="shared" si="98"/>
        <v>OTHERS</v>
      </c>
    </row>
    <row r="2075" spans="1:16" x14ac:dyDescent="0.3">
      <c r="A2075" s="4">
        <v>12</v>
      </c>
      <c r="B2075" t="s">
        <v>11</v>
      </c>
      <c r="C2075" s="4">
        <v>30.86</v>
      </c>
      <c r="D2075" t="s">
        <v>19</v>
      </c>
      <c r="E2075" t="s">
        <v>17</v>
      </c>
      <c r="F2075" s="4" t="s">
        <v>28</v>
      </c>
      <c r="G2075" s="4" t="s">
        <v>37</v>
      </c>
      <c r="H2075" s="4">
        <v>3</v>
      </c>
      <c r="I2075" s="4">
        <v>10</v>
      </c>
      <c r="J2075" s="1">
        <v>45595</v>
      </c>
      <c r="K2075" s="2">
        <v>7.6203703703703702E-3</v>
      </c>
      <c r="M2075" s="4" t="str">
        <f t="shared" si="96"/>
        <v>LOW</v>
      </c>
      <c r="N2075" s="4" t="str" cm="1">
        <f t="array" ref="N2075">_xlfn.IFS(C2075&gt;35,"HIGH",C2075&gt;25,"MIDDLE",TRUE,"LOW")</f>
        <v>MIDDLE</v>
      </c>
      <c r="O2075" s="4" t="str">
        <f t="shared" si="97"/>
        <v>OTHERS</v>
      </c>
      <c r="P2075" s="4" t="str">
        <f t="shared" si="98"/>
        <v>OTHERS</v>
      </c>
    </row>
    <row r="2076" spans="1:16" x14ac:dyDescent="0.3">
      <c r="A2076" s="4">
        <v>12</v>
      </c>
      <c r="B2076" t="s">
        <v>11</v>
      </c>
      <c r="C2076" s="4">
        <v>25.96</v>
      </c>
      <c r="D2076" t="s">
        <v>18</v>
      </c>
      <c r="E2076" t="s">
        <v>17</v>
      </c>
      <c r="F2076" s="4" t="s">
        <v>28</v>
      </c>
      <c r="G2076" s="4" t="s">
        <v>37</v>
      </c>
      <c r="H2076" s="4">
        <v>3</v>
      </c>
      <c r="I2076" s="4">
        <v>10</v>
      </c>
      <c r="J2076" s="1">
        <v>45595</v>
      </c>
      <c r="K2076" s="2">
        <v>2.5703703703703704E-2</v>
      </c>
      <c r="M2076" s="4" t="str">
        <f t="shared" si="96"/>
        <v>LOW</v>
      </c>
      <c r="N2076" s="4" t="str" cm="1">
        <f t="array" ref="N2076">_xlfn.IFS(C2076&gt;35,"HIGH",C2076&gt;25,"MIDDLE",TRUE,"LOW")</f>
        <v>MIDDLE</v>
      </c>
      <c r="O2076" s="4" t="str">
        <f t="shared" si="97"/>
        <v>OTHERS</v>
      </c>
      <c r="P2076" s="4" t="str">
        <f t="shared" si="98"/>
        <v>OTHERS</v>
      </c>
    </row>
    <row r="2077" spans="1:16" x14ac:dyDescent="0.3">
      <c r="A2077" s="4">
        <v>15</v>
      </c>
      <c r="B2077" t="s">
        <v>11</v>
      </c>
      <c r="C2077" s="4">
        <v>35.76</v>
      </c>
      <c r="D2077" t="s">
        <v>12</v>
      </c>
      <c r="E2077" t="s">
        <v>17</v>
      </c>
      <c r="F2077" s="4" t="s">
        <v>28</v>
      </c>
      <c r="G2077" s="4" t="s">
        <v>37</v>
      </c>
      <c r="H2077" s="4">
        <v>3</v>
      </c>
      <c r="I2077" s="4">
        <v>10</v>
      </c>
      <c r="J2077" s="1">
        <v>45595</v>
      </c>
      <c r="K2077" s="2">
        <v>3.6481481481481482E-3</v>
      </c>
      <c r="M2077" s="4" t="str">
        <f t="shared" si="96"/>
        <v>HIGH</v>
      </c>
      <c r="N2077" s="4" t="str" cm="1">
        <f t="array" ref="N2077">_xlfn.IFS(C2077&gt;35,"HIGH",C2077&gt;25,"MIDDLE",TRUE,"LOW")</f>
        <v>HIGH</v>
      </c>
      <c r="O2077" s="4" t="str">
        <f t="shared" si="97"/>
        <v>OTHERS</v>
      </c>
      <c r="P2077" s="4" t="str">
        <f t="shared" si="98"/>
        <v>PREMINUM MORNING</v>
      </c>
    </row>
    <row r="2078" spans="1:16" x14ac:dyDescent="0.3">
      <c r="A2078" s="4">
        <v>15</v>
      </c>
      <c r="B2078" t="s">
        <v>11</v>
      </c>
      <c r="C2078" s="4">
        <v>35.76</v>
      </c>
      <c r="D2078" t="s">
        <v>12</v>
      </c>
      <c r="E2078" t="s">
        <v>17</v>
      </c>
      <c r="F2078" s="4" t="s">
        <v>28</v>
      </c>
      <c r="G2078" s="4" t="s">
        <v>37</v>
      </c>
      <c r="H2078" s="4">
        <v>3</v>
      </c>
      <c r="I2078" s="4">
        <v>10</v>
      </c>
      <c r="J2078" s="1">
        <v>45595</v>
      </c>
      <c r="K2078" s="2">
        <v>4.8958333333333336E-3</v>
      </c>
      <c r="M2078" s="4" t="str">
        <f t="shared" si="96"/>
        <v>HIGH</v>
      </c>
      <c r="N2078" s="4" t="str" cm="1">
        <f t="array" ref="N2078">_xlfn.IFS(C2078&gt;35,"HIGH",C2078&gt;25,"MIDDLE",TRUE,"LOW")</f>
        <v>HIGH</v>
      </c>
      <c r="O2078" s="4" t="str">
        <f t="shared" si="97"/>
        <v>OTHERS</v>
      </c>
      <c r="P2078" s="4" t="str">
        <f t="shared" si="98"/>
        <v>PREMINUM MORNING</v>
      </c>
    </row>
    <row r="2079" spans="1:16" x14ac:dyDescent="0.3">
      <c r="A2079" s="4">
        <v>16</v>
      </c>
      <c r="B2079" t="s">
        <v>11</v>
      </c>
      <c r="C2079" s="4">
        <v>30.86</v>
      </c>
      <c r="D2079" t="s">
        <v>19</v>
      </c>
      <c r="E2079" t="s">
        <v>17</v>
      </c>
      <c r="F2079" s="4" t="s">
        <v>28</v>
      </c>
      <c r="G2079" s="4" t="s">
        <v>37</v>
      </c>
      <c r="H2079" s="4">
        <v>3</v>
      </c>
      <c r="I2079" s="4">
        <v>10</v>
      </c>
      <c r="J2079" s="1">
        <v>45595</v>
      </c>
      <c r="K2079" s="2">
        <v>3.3379629629629627E-3</v>
      </c>
      <c r="M2079" s="4" t="str">
        <f t="shared" si="96"/>
        <v>LOW</v>
      </c>
      <c r="N2079" s="4" t="str" cm="1">
        <f t="array" ref="N2079">_xlfn.IFS(C2079&gt;35,"HIGH",C2079&gt;25,"MIDDLE",TRUE,"LOW")</f>
        <v>MIDDLE</v>
      </c>
      <c r="O2079" s="4" t="str">
        <f t="shared" si="97"/>
        <v>OTHERS</v>
      </c>
      <c r="P2079" s="4" t="str">
        <f t="shared" si="98"/>
        <v>OTHERS</v>
      </c>
    </row>
    <row r="2080" spans="1:16" x14ac:dyDescent="0.3">
      <c r="A2080" s="4">
        <v>18</v>
      </c>
      <c r="B2080" t="s">
        <v>11</v>
      </c>
      <c r="C2080" s="4">
        <v>35.76</v>
      </c>
      <c r="D2080" t="s">
        <v>16</v>
      </c>
      <c r="E2080" t="s">
        <v>20</v>
      </c>
      <c r="F2080" s="4" t="s">
        <v>28</v>
      </c>
      <c r="G2080" s="4" t="s">
        <v>37</v>
      </c>
      <c r="H2080" s="4">
        <v>3</v>
      </c>
      <c r="I2080" s="4">
        <v>10</v>
      </c>
      <c r="J2080" s="1">
        <v>45595</v>
      </c>
      <c r="K2080" s="2">
        <v>5.7002314814814815E-3</v>
      </c>
      <c r="M2080" s="4" t="str">
        <f t="shared" si="96"/>
        <v>HIGH</v>
      </c>
      <c r="N2080" s="4" t="str" cm="1">
        <f t="array" ref="N2080">_xlfn.IFS(C2080&gt;35,"HIGH",C2080&gt;25,"MIDDLE",TRUE,"LOW")</f>
        <v>HIGH</v>
      </c>
      <c r="O2080" s="4" t="str">
        <f t="shared" si="97"/>
        <v>OTHERS</v>
      </c>
      <c r="P2080" s="4" t="str">
        <f t="shared" si="98"/>
        <v>PREMINUM MORNING</v>
      </c>
    </row>
    <row r="2081" spans="1:16" x14ac:dyDescent="0.3">
      <c r="A2081" s="4">
        <v>19</v>
      </c>
      <c r="B2081" t="s">
        <v>11</v>
      </c>
      <c r="C2081" s="4">
        <v>30.86</v>
      </c>
      <c r="D2081" t="s">
        <v>19</v>
      </c>
      <c r="E2081" t="s">
        <v>20</v>
      </c>
      <c r="F2081" s="4" t="s">
        <v>28</v>
      </c>
      <c r="G2081" s="4" t="s">
        <v>37</v>
      </c>
      <c r="H2081" s="4">
        <v>3</v>
      </c>
      <c r="I2081" s="4">
        <v>10</v>
      </c>
      <c r="J2081" s="1">
        <v>45595</v>
      </c>
      <c r="K2081" s="2">
        <v>1.2864583333333334E-2</v>
      </c>
      <c r="M2081" s="4" t="str">
        <f t="shared" si="96"/>
        <v>LOW</v>
      </c>
      <c r="N2081" s="4" t="str" cm="1">
        <f t="array" ref="N2081">_xlfn.IFS(C2081&gt;35,"HIGH",C2081&gt;25,"MIDDLE",TRUE,"LOW")</f>
        <v>MIDDLE</v>
      </c>
      <c r="O2081" s="4" t="str">
        <f t="shared" si="97"/>
        <v>OTHERS</v>
      </c>
      <c r="P2081" s="4" t="str">
        <f t="shared" si="98"/>
        <v>OTHERS</v>
      </c>
    </row>
    <row r="2082" spans="1:16" x14ac:dyDescent="0.3">
      <c r="A2082" s="4">
        <v>19</v>
      </c>
      <c r="B2082" t="s">
        <v>11</v>
      </c>
      <c r="C2082" s="4">
        <v>30.86</v>
      </c>
      <c r="D2082" t="s">
        <v>19</v>
      </c>
      <c r="E2082" t="s">
        <v>20</v>
      </c>
      <c r="F2082" s="4" t="s">
        <v>28</v>
      </c>
      <c r="G2082" s="4" t="s">
        <v>37</v>
      </c>
      <c r="H2082" s="4">
        <v>3</v>
      </c>
      <c r="I2082" s="4">
        <v>10</v>
      </c>
      <c r="J2082" s="1">
        <v>45595</v>
      </c>
      <c r="K2082" s="2">
        <v>3.0106481481481481E-2</v>
      </c>
      <c r="M2082" s="4" t="str">
        <f t="shared" si="96"/>
        <v>LOW</v>
      </c>
      <c r="N2082" s="4" t="str" cm="1">
        <f t="array" ref="N2082">_xlfn.IFS(C2082&gt;35,"HIGH",C2082&gt;25,"MIDDLE",TRUE,"LOW")</f>
        <v>MIDDLE</v>
      </c>
      <c r="O2082" s="4" t="str">
        <f t="shared" si="97"/>
        <v>OTHERS</v>
      </c>
      <c r="P2082" s="4" t="str">
        <f t="shared" si="98"/>
        <v>OTHERS</v>
      </c>
    </row>
    <row r="2083" spans="1:16" x14ac:dyDescent="0.3">
      <c r="A2083" s="4">
        <v>7</v>
      </c>
      <c r="B2083" t="s">
        <v>11</v>
      </c>
      <c r="C2083" s="4">
        <v>35.76</v>
      </c>
      <c r="D2083" t="s">
        <v>12</v>
      </c>
      <c r="E2083" t="s">
        <v>13</v>
      </c>
      <c r="F2083" s="4" t="s">
        <v>30</v>
      </c>
      <c r="G2083" s="4" t="s">
        <v>37</v>
      </c>
      <c r="H2083" s="4">
        <v>4</v>
      </c>
      <c r="I2083" s="4">
        <v>10</v>
      </c>
      <c r="J2083" s="1">
        <v>45596</v>
      </c>
      <c r="K2083" s="2">
        <v>3.770023148148148E-2</v>
      </c>
      <c r="M2083" s="4" t="str">
        <f t="shared" si="96"/>
        <v>HIGH</v>
      </c>
      <c r="N2083" s="4" t="str" cm="1">
        <f t="array" ref="N2083">_xlfn.IFS(C2083&gt;35,"HIGH",C2083&gt;25,"MIDDLE",TRUE,"LOW")</f>
        <v>HIGH</v>
      </c>
      <c r="O2083" s="4" t="str">
        <f t="shared" si="97"/>
        <v>PREMINUM MORNING</v>
      </c>
      <c r="P2083" s="4" t="str">
        <f t="shared" si="98"/>
        <v>PREMINUM MORNING</v>
      </c>
    </row>
    <row r="2084" spans="1:16" x14ac:dyDescent="0.3">
      <c r="A2084" s="4">
        <v>8</v>
      </c>
      <c r="B2084" t="s">
        <v>11</v>
      </c>
      <c r="C2084" s="4">
        <v>35.76</v>
      </c>
      <c r="D2084" t="s">
        <v>12</v>
      </c>
      <c r="E2084" t="s">
        <v>13</v>
      </c>
      <c r="F2084" s="4" t="s">
        <v>30</v>
      </c>
      <c r="G2084" s="4" t="s">
        <v>37</v>
      </c>
      <c r="H2084" s="4">
        <v>4</v>
      </c>
      <c r="I2084" s="4">
        <v>10</v>
      </c>
      <c r="J2084" s="1">
        <v>45596</v>
      </c>
      <c r="K2084" s="2">
        <v>2.7012731481481481E-2</v>
      </c>
      <c r="M2084" s="4" t="str">
        <f t="shared" si="96"/>
        <v>HIGH</v>
      </c>
      <c r="N2084" s="4" t="str" cm="1">
        <f t="array" ref="N2084">_xlfn.IFS(C2084&gt;35,"HIGH",C2084&gt;25,"MIDDLE",TRUE,"LOW")</f>
        <v>HIGH</v>
      </c>
      <c r="O2084" s="4" t="str">
        <f t="shared" si="97"/>
        <v>PREMINUM MORNING</v>
      </c>
      <c r="P2084" s="4" t="str">
        <f t="shared" si="98"/>
        <v>PREMINUM MORNING</v>
      </c>
    </row>
    <row r="2085" spans="1:16" x14ac:dyDescent="0.3">
      <c r="A2085" s="4">
        <v>9</v>
      </c>
      <c r="B2085" t="s">
        <v>11</v>
      </c>
      <c r="C2085" s="4">
        <v>30.86</v>
      </c>
      <c r="D2085" t="s">
        <v>19</v>
      </c>
      <c r="E2085" t="s">
        <v>13</v>
      </c>
      <c r="F2085" s="4" t="s">
        <v>30</v>
      </c>
      <c r="G2085" s="4" t="s">
        <v>37</v>
      </c>
      <c r="H2085" s="4">
        <v>4</v>
      </c>
      <c r="I2085" s="4">
        <v>10</v>
      </c>
      <c r="J2085" s="1">
        <v>45596</v>
      </c>
      <c r="K2085" s="2">
        <v>1.2721064814814814E-2</v>
      </c>
      <c r="M2085" s="4" t="str">
        <f t="shared" si="96"/>
        <v>LOW</v>
      </c>
      <c r="N2085" s="4" t="str" cm="1">
        <f t="array" ref="N2085">_xlfn.IFS(C2085&gt;35,"HIGH",C2085&gt;25,"MIDDLE",TRUE,"LOW")</f>
        <v>MIDDLE</v>
      </c>
      <c r="O2085" s="4" t="str">
        <f t="shared" si="97"/>
        <v>OTHERS</v>
      </c>
      <c r="P2085" s="4" t="str">
        <f t="shared" si="98"/>
        <v>PREMINUM MORNING</v>
      </c>
    </row>
    <row r="2086" spans="1:16" x14ac:dyDescent="0.3">
      <c r="A2086" s="4">
        <v>15</v>
      </c>
      <c r="B2086" t="s">
        <v>11</v>
      </c>
      <c r="C2086" s="4">
        <v>35.76</v>
      </c>
      <c r="D2086" t="s">
        <v>12</v>
      </c>
      <c r="E2086" t="s">
        <v>17</v>
      </c>
      <c r="F2086" s="4" t="s">
        <v>30</v>
      </c>
      <c r="G2086" s="4" t="s">
        <v>37</v>
      </c>
      <c r="H2086" s="4">
        <v>4</v>
      </c>
      <c r="I2086" s="4">
        <v>10</v>
      </c>
      <c r="J2086" s="1">
        <v>45596</v>
      </c>
      <c r="K2086" s="2">
        <v>4.1281249999999999E-2</v>
      </c>
      <c r="M2086" s="4" t="str">
        <f t="shared" si="96"/>
        <v>HIGH</v>
      </c>
      <c r="N2086" s="4" t="str" cm="1">
        <f t="array" ref="N2086">_xlfn.IFS(C2086&gt;35,"HIGH",C2086&gt;25,"MIDDLE",TRUE,"LOW")</f>
        <v>HIGH</v>
      </c>
      <c r="O2086" s="4" t="str">
        <f t="shared" si="97"/>
        <v>OTHERS</v>
      </c>
      <c r="P2086" s="4" t="str">
        <f t="shared" si="98"/>
        <v>PREMINUM MORNING</v>
      </c>
    </row>
    <row r="2087" spans="1:16" x14ac:dyDescent="0.3">
      <c r="A2087" s="4">
        <v>16</v>
      </c>
      <c r="B2087" t="s">
        <v>11</v>
      </c>
      <c r="C2087" s="4">
        <v>30.86</v>
      </c>
      <c r="D2087" t="s">
        <v>19</v>
      </c>
      <c r="E2087" t="s">
        <v>17</v>
      </c>
      <c r="F2087" s="4" t="s">
        <v>30</v>
      </c>
      <c r="G2087" s="4" t="s">
        <v>37</v>
      </c>
      <c r="H2087" s="4">
        <v>4</v>
      </c>
      <c r="I2087" s="4">
        <v>10</v>
      </c>
      <c r="J2087" s="1">
        <v>45596</v>
      </c>
      <c r="K2087" s="2">
        <v>3.5879629629629629E-4</v>
      </c>
      <c r="M2087" s="4" t="str">
        <f t="shared" si="96"/>
        <v>LOW</v>
      </c>
      <c r="N2087" s="4" t="str" cm="1">
        <f t="array" ref="N2087">_xlfn.IFS(C2087&gt;35,"HIGH",C2087&gt;25,"MIDDLE",TRUE,"LOW")</f>
        <v>MIDDLE</v>
      </c>
      <c r="O2087" s="4" t="str">
        <f t="shared" si="97"/>
        <v>OTHERS</v>
      </c>
      <c r="P2087" s="4" t="str">
        <f t="shared" si="98"/>
        <v>OTHERS</v>
      </c>
    </row>
    <row r="2088" spans="1:16" x14ac:dyDescent="0.3">
      <c r="A2088" s="4">
        <v>8</v>
      </c>
      <c r="B2088" t="s">
        <v>11</v>
      </c>
      <c r="C2088" s="4">
        <v>35.76</v>
      </c>
      <c r="D2088" t="s">
        <v>21</v>
      </c>
      <c r="E2088" t="s">
        <v>13</v>
      </c>
      <c r="F2088" s="4" t="s">
        <v>14</v>
      </c>
      <c r="G2088" s="4" t="s">
        <v>38</v>
      </c>
      <c r="H2088" s="4">
        <v>5</v>
      </c>
      <c r="I2088" s="4">
        <v>11</v>
      </c>
      <c r="J2088" s="1">
        <v>45597</v>
      </c>
      <c r="K2088" s="2">
        <v>1.6706018518518519E-2</v>
      </c>
      <c r="M2088" s="4" t="str">
        <f t="shared" si="96"/>
        <v>HIGH</v>
      </c>
      <c r="N2088" s="4" t="str" cm="1">
        <f t="array" ref="N2088">_xlfn.IFS(C2088&gt;35,"HIGH",C2088&gt;25,"MIDDLE",TRUE,"LOW")</f>
        <v>HIGH</v>
      </c>
      <c r="O2088" s="4" t="str">
        <f t="shared" si="97"/>
        <v>PREMINUM MORNING</v>
      </c>
      <c r="P2088" s="4" t="str">
        <f t="shared" si="98"/>
        <v>PREMINUM MORNING</v>
      </c>
    </row>
    <row r="2089" spans="1:16" x14ac:dyDescent="0.3">
      <c r="A2089" s="4">
        <v>8</v>
      </c>
      <c r="B2089" t="s">
        <v>11</v>
      </c>
      <c r="C2089" s="4">
        <v>25.96</v>
      </c>
      <c r="D2089" t="s">
        <v>18</v>
      </c>
      <c r="E2089" t="s">
        <v>13</v>
      </c>
      <c r="F2089" s="4" t="s">
        <v>14</v>
      </c>
      <c r="G2089" s="4" t="s">
        <v>38</v>
      </c>
      <c r="H2089" s="4">
        <v>5</v>
      </c>
      <c r="I2089" s="4">
        <v>11</v>
      </c>
      <c r="J2089" s="1">
        <v>45597</v>
      </c>
      <c r="K2089" s="2">
        <v>2.1499999999999998E-2</v>
      </c>
      <c r="M2089" s="4" t="str">
        <f t="shared" si="96"/>
        <v>LOW</v>
      </c>
      <c r="N2089" s="4" t="str" cm="1">
        <f t="array" ref="N2089">_xlfn.IFS(C2089&gt;35,"HIGH",C2089&gt;25,"MIDDLE",TRUE,"LOW")</f>
        <v>MIDDLE</v>
      </c>
      <c r="O2089" s="4" t="str">
        <f t="shared" si="97"/>
        <v>OTHERS</v>
      </c>
      <c r="P2089" s="4" t="str">
        <f t="shared" si="98"/>
        <v>PREMINUM MORNING</v>
      </c>
    </row>
    <row r="2090" spans="1:16" x14ac:dyDescent="0.3">
      <c r="A2090" s="4">
        <v>10</v>
      </c>
      <c r="B2090" t="s">
        <v>11</v>
      </c>
      <c r="C2090" s="4">
        <v>35.76</v>
      </c>
      <c r="D2090" t="s">
        <v>12</v>
      </c>
      <c r="E2090" t="s">
        <v>13</v>
      </c>
      <c r="F2090" s="4" t="s">
        <v>14</v>
      </c>
      <c r="G2090" s="4" t="s">
        <v>38</v>
      </c>
      <c r="H2090" s="4">
        <v>5</v>
      </c>
      <c r="I2090" s="4">
        <v>11</v>
      </c>
      <c r="J2090" s="1">
        <v>45597</v>
      </c>
      <c r="K2090" s="2">
        <v>3.8083333333333337E-2</v>
      </c>
      <c r="M2090" s="4" t="str">
        <f t="shared" si="96"/>
        <v>HIGH</v>
      </c>
      <c r="N2090" s="4" t="str" cm="1">
        <f t="array" ref="N2090">_xlfn.IFS(C2090&gt;35,"HIGH",C2090&gt;25,"MIDDLE",TRUE,"LOW")</f>
        <v>HIGH</v>
      </c>
      <c r="O2090" s="4" t="str">
        <f t="shared" si="97"/>
        <v>PREMINUM MORNING</v>
      </c>
      <c r="P2090" s="4" t="str">
        <f t="shared" si="98"/>
        <v>PREMINUM MORNING</v>
      </c>
    </row>
    <row r="2091" spans="1:16" x14ac:dyDescent="0.3">
      <c r="A2091" s="4">
        <v>12</v>
      </c>
      <c r="B2091" t="s">
        <v>11</v>
      </c>
      <c r="C2091" s="4">
        <v>35.76</v>
      </c>
      <c r="D2091" t="s">
        <v>21</v>
      </c>
      <c r="E2091" t="s">
        <v>17</v>
      </c>
      <c r="F2091" s="4" t="s">
        <v>14</v>
      </c>
      <c r="G2091" s="4" t="s">
        <v>38</v>
      </c>
      <c r="H2091" s="4">
        <v>5</v>
      </c>
      <c r="I2091" s="4">
        <v>11</v>
      </c>
      <c r="J2091" s="1">
        <v>45597</v>
      </c>
      <c r="K2091" s="2">
        <v>2.8778935185185185E-2</v>
      </c>
      <c r="M2091" s="4" t="str">
        <f t="shared" si="96"/>
        <v>HIGH</v>
      </c>
      <c r="N2091" s="4" t="str" cm="1">
        <f t="array" ref="N2091">_xlfn.IFS(C2091&gt;35,"HIGH",C2091&gt;25,"MIDDLE",TRUE,"LOW")</f>
        <v>HIGH</v>
      </c>
      <c r="O2091" s="4" t="str">
        <f t="shared" si="97"/>
        <v>OTHERS</v>
      </c>
      <c r="P2091" s="4" t="str">
        <f t="shared" si="98"/>
        <v>PREMINUM MORNING</v>
      </c>
    </row>
    <row r="2092" spans="1:16" x14ac:dyDescent="0.3">
      <c r="A2092" s="4">
        <v>12</v>
      </c>
      <c r="B2092" t="s">
        <v>11</v>
      </c>
      <c r="C2092" s="4">
        <v>35.76</v>
      </c>
      <c r="D2092" t="s">
        <v>21</v>
      </c>
      <c r="E2092" t="s">
        <v>17</v>
      </c>
      <c r="F2092" s="4" t="s">
        <v>14</v>
      </c>
      <c r="G2092" s="4" t="s">
        <v>38</v>
      </c>
      <c r="H2092" s="4">
        <v>5</v>
      </c>
      <c r="I2092" s="4">
        <v>11</v>
      </c>
      <c r="J2092" s="1">
        <v>45597</v>
      </c>
      <c r="K2092" s="2">
        <v>2.9379629629629631E-2</v>
      </c>
      <c r="M2092" s="4" t="str">
        <f t="shared" si="96"/>
        <v>HIGH</v>
      </c>
      <c r="N2092" s="4" t="str" cm="1">
        <f t="array" ref="N2092">_xlfn.IFS(C2092&gt;35,"HIGH",C2092&gt;25,"MIDDLE",TRUE,"LOW")</f>
        <v>HIGH</v>
      </c>
      <c r="O2092" s="4" t="str">
        <f t="shared" si="97"/>
        <v>OTHERS</v>
      </c>
      <c r="P2092" s="4" t="str">
        <f t="shared" si="98"/>
        <v>PREMINUM MORNING</v>
      </c>
    </row>
    <row r="2093" spans="1:16" x14ac:dyDescent="0.3">
      <c r="A2093" s="4">
        <v>15</v>
      </c>
      <c r="B2093" t="s">
        <v>11</v>
      </c>
      <c r="C2093" s="4">
        <v>25.96</v>
      </c>
      <c r="D2093" t="s">
        <v>24</v>
      </c>
      <c r="E2093" t="s">
        <v>17</v>
      </c>
      <c r="F2093" s="4" t="s">
        <v>14</v>
      </c>
      <c r="G2093" s="4" t="s">
        <v>38</v>
      </c>
      <c r="H2093" s="4">
        <v>5</v>
      </c>
      <c r="I2093" s="4">
        <v>11</v>
      </c>
      <c r="J2093" s="1">
        <v>45597</v>
      </c>
      <c r="K2093" s="2">
        <v>3.8685185185185184E-2</v>
      </c>
      <c r="M2093" s="4" t="str">
        <f t="shared" si="96"/>
        <v>LOW</v>
      </c>
      <c r="N2093" s="4" t="str" cm="1">
        <f t="array" ref="N2093">_xlfn.IFS(C2093&gt;35,"HIGH",C2093&gt;25,"MIDDLE",TRUE,"LOW")</f>
        <v>MIDDLE</v>
      </c>
      <c r="O2093" s="4" t="str">
        <f t="shared" si="97"/>
        <v>OTHERS</v>
      </c>
      <c r="P2093" s="4" t="str">
        <f t="shared" si="98"/>
        <v>OTHERS</v>
      </c>
    </row>
    <row r="2094" spans="1:16" x14ac:dyDescent="0.3">
      <c r="A2094" s="4">
        <v>22</v>
      </c>
      <c r="B2094" t="s">
        <v>11</v>
      </c>
      <c r="C2094" s="4">
        <v>30.86</v>
      </c>
      <c r="D2094" t="s">
        <v>19</v>
      </c>
      <c r="E2094" t="s">
        <v>20</v>
      </c>
      <c r="F2094" s="4" t="s">
        <v>14</v>
      </c>
      <c r="G2094" s="4" t="s">
        <v>38</v>
      </c>
      <c r="H2094" s="4">
        <v>5</v>
      </c>
      <c r="I2094" s="4">
        <v>11</v>
      </c>
      <c r="J2094" s="1">
        <v>45597</v>
      </c>
      <c r="K2094" s="2">
        <v>2.9119212962962965E-2</v>
      </c>
      <c r="M2094" s="4" t="str">
        <f t="shared" si="96"/>
        <v>LOW</v>
      </c>
      <c r="N2094" s="4" t="str" cm="1">
        <f t="array" ref="N2094">_xlfn.IFS(C2094&gt;35,"HIGH",C2094&gt;25,"MIDDLE",TRUE,"LOW")</f>
        <v>MIDDLE</v>
      </c>
      <c r="O2094" s="4" t="str">
        <f t="shared" si="97"/>
        <v>OTHERS</v>
      </c>
      <c r="P2094" s="4" t="str">
        <f t="shared" si="98"/>
        <v>OTHERS</v>
      </c>
    </row>
    <row r="2095" spans="1:16" x14ac:dyDescent="0.3">
      <c r="A2095" s="4">
        <v>8</v>
      </c>
      <c r="B2095" t="s">
        <v>11</v>
      </c>
      <c r="C2095" s="4">
        <v>25.96</v>
      </c>
      <c r="D2095" t="s">
        <v>24</v>
      </c>
      <c r="E2095" t="s">
        <v>13</v>
      </c>
      <c r="F2095" s="4" t="s">
        <v>22</v>
      </c>
      <c r="G2095" s="4" t="s">
        <v>38</v>
      </c>
      <c r="H2095" s="4">
        <v>6</v>
      </c>
      <c r="I2095" s="4">
        <v>11</v>
      </c>
      <c r="J2095" s="1">
        <v>45598</v>
      </c>
      <c r="K2095" s="2">
        <v>1.3707175925925925E-2</v>
      </c>
      <c r="M2095" s="4" t="str">
        <f t="shared" si="96"/>
        <v>LOW</v>
      </c>
      <c r="N2095" s="4" t="str" cm="1">
        <f t="array" ref="N2095">_xlfn.IFS(C2095&gt;35,"HIGH",C2095&gt;25,"MIDDLE",TRUE,"LOW")</f>
        <v>MIDDLE</v>
      </c>
      <c r="O2095" s="4" t="str">
        <f t="shared" si="97"/>
        <v>OTHERS</v>
      </c>
      <c r="P2095" s="4" t="str">
        <f t="shared" si="98"/>
        <v>PREMINUM MORNING</v>
      </c>
    </row>
    <row r="2096" spans="1:16" x14ac:dyDescent="0.3">
      <c r="A2096" s="4">
        <v>10</v>
      </c>
      <c r="B2096" t="s">
        <v>11</v>
      </c>
      <c r="C2096" s="4">
        <v>35.76</v>
      </c>
      <c r="D2096" t="s">
        <v>21</v>
      </c>
      <c r="E2096" t="s">
        <v>13</v>
      </c>
      <c r="F2096" s="4" t="s">
        <v>22</v>
      </c>
      <c r="G2096" s="4" t="s">
        <v>38</v>
      </c>
      <c r="H2096" s="4">
        <v>6</v>
      </c>
      <c r="I2096" s="4">
        <v>11</v>
      </c>
      <c r="J2096" s="1">
        <v>45598</v>
      </c>
      <c r="K2096" s="2">
        <v>1.7893518518518517E-2</v>
      </c>
      <c r="M2096" s="4" t="str">
        <f t="shared" si="96"/>
        <v>HIGH</v>
      </c>
      <c r="N2096" s="4" t="str" cm="1">
        <f t="array" ref="N2096">_xlfn.IFS(C2096&gt;35,"HIGH",C2096&gt;25,"MIDDLE",TRUE,"LOW")</f>
        <v>HIGH</v>
      </c>
      <c r="O2096" s="4" t="str">
        <f t="shared" si="97"/>
        <v>PREMINUM MORNING</v>
      </c>
      <c r="P2096" s="4" t="str">
        <f t="shared" si="98"/>
        <v>PREMINUM MORNING</v>
      </c>
    </row>
    <row r="2097" spans="1:16" x14ac:dyDescent="0.3">
      <c r="A2097" s="4">
        <v>10</v>
      </c>
      <c r="B2097" t="s">
        <v>11</v>
      </c>
      <c r="C2097" s="4">
        <v>30.86</v>
      </c>
      <c r="D2097" t="s">
        <v>19</v>
      </c>
      <c r="E2097" t="s">
        <v>13</v>
      </c>
      <c r="F2097" s="4" t="s">
        <v>22</v>
      </c>
      <c r="G2097" s="4" t="s">
        <v>38</v>
      </c>
      <c r="H2097" s="4">
        <v>6</v>
      </c>
      <c r="I2097" s="4">
        <v>11</v>
      </c>
      <c r="J2097" s="1">
        <v>45598</v>
      </c>
      <c r="K2097" s="2">
        <v>2.3027777777777775E-2</v>
      </c>
      <c r="M2097" s="4" t="str">
        <f t="shared" si="96"/>
        <v>LOW</v>
      </c>
      <c r="N2097" s="4" t="str" cm="1">
        <f t="array" ref="N2097">_xlfn.IFS(C2097&gt;35,"HIGH",C2097&gt;25,"MIDDLE",TRUE,"LOW")</f>
        <v>MIDDLE</v>
      </c>
      <c r="O2097" s="4" t="str">
        <f t="shared" si="97"/>
        <v>OTHERS</v>
      </c>
      <c r="P2097" s="4" t="str">
        <f t="shared" si="98"/>
        <v>PREMINUM MORNING</v>
      </c>
    </row>
    <row r="2098" spans="1:16" x14ac:dyDescent="0.3">
      <c r="A2098" s="4">
        <v>14</v>
      </c>
      <c r="B2098" t="s">
        <v>11</v>
      </c>
      <c r="C2098" s="4">
        <v>30.86</v>
      </c>
      <c r="D2098" t="s">
        <v>19</v>
      </c>
      <c r="E2098" t="s">
        <v>17</v>
      </c>
      <c r="F2098" s="4" t="s">
        <v>22</v>
      </c>
      <c r="G2098" s="4" t="s">
        <v>38</v>
      </c>
      <c r="H2098" s="4">
        <v>6</v>
      </c>
      <c r="I2098" s="4">
        <v>11</v>
      </c>
      <c r="J2098" s="1">
        <v>45598</v>
      </c>
      <c r="K2098" s="2">
        <v>3.7668981481481484E-2</v>
      </c>
      <c r="M2098" s="4" t="str">
        <f t="shared" si="96"/>
        <v>LOW</v>
      </c>
      <c r="N2098" s="4" t="str" cm="1">
        <f t="array" ref="N2098">_xlfn.IFS(C2098&gt;35,"HIGH",C2098&gt;25,"MIDDLE",TRUE,"LOW")</f>
        <v>MIDDLE</v>
      </c>
      <c r="O2098" s="4" t="str">
        <f t="shared" si="97"/>
        <v>OTHERS</v>
      </c>
      <c r="P2098" s="4" t="str">
        <f t="shared" si="98"/>
        <v>OTHERS</v>
      </c>
    </row>
    <row r="2099" spans="1:16" x14ac:dyDescent="0.3">
      <c r="A2099" s="4">
        <v>16</v>
      </c>
      <c r="B2099" t="s">
        <v>11</v>
      </c>
      <c r="C2099" s="4">
        <v>35.76</v>
      </c>
      <c r="D2099" t="s">
        <v>16</v>
      </c>
      <c r="E2099" t="s">
        <v>17</v>
      </c>
      <c r="F2099" s="4" t="s">
        <v>22</v>
      </c>
      <c r="G2099" s="4" t="s">
        <v>38</v>
      </c>
      <c r="H2099" s="4">
        <v>6</v>
      </c>
      <c r="I2099" s="4">
        <v>11</v>
      </c>
      <c r="J2099" s="1">
        <v>45598</v>
      </c>
      <c r="K2099" s="2">
        <v>1.6850694444444446E-2</v>
      </c>
      <c r="M2099" s="4" t="str">
        <f t="shared" si="96"/>
        <v>HIGH</v>
      </c>
      <c r="N2099" s="4" t="str" cm="1">
        <f t="array" ref="N2099">_xlfn.IFS(C2099&gt;35,"HIGH",C2099&gt;25,"MIDDLE",TRUE,"LOW")</f>
        <v>HIGH</v>
      </c>
      <c r="O2099" s="4" t="str">
        <f t="shared" si="97"/>
        <v>OTHERS</v>
      </c>
      <c r="P2099" s="4" t="str">
        <f t="shared" si="98"/>
        <v>PREMINUM MORNING</v>
      </c>
    </row>
    <row r="2100" spans="1:16" x14ac:dyDescent="0.3">
      <c r="A2100" s="4">
        <v>16</v>
      </c>
      <c r="B2100" t="s">
        <v>11</v>
      </c>
      <c r="C2100" s="4">
        <v>35.76</v>
      </c>
      <c r="D2100" t="s">
        <v>12</v>
      </c>
      <c r="E2100" t="s">
        <v>17</v>
      </c>
      <c r="F2100" s="4" t="s">
        <v>22</v>
      </c>
      <c r="G2100" s="4" t="s">
        <v>38</v>
      </c>
      <c r="H2100" s="4">
        <v>6</v>
      </c>
      <c r="I2100" s="4">
        <v>11</v>
      </c>
      <c r="J2100" s="1">
        <v>45598</v>
      </c>
      <c r="K2100" s="2">
        <v>1.8020833333333333E-2</v>
      </c>
      <c r="M2100" s="4" t="str">
        <f t="shared" si="96"/>
        <v>HIGH</v>
      </c>
      <c r="N2100" s="4" t="str" cm="1">
        <f t="array" ref="N2100">_xlfn.IFS(C2100&gt;35,"HIGH",C2100&gt;25,"MIDDLE",TRUE,"LOW")</f>
        <v>HIGH</v>
      </c>
      <c r="O2100" s="4" t="str">
        <f t="shared" si="97"/>
        <v>OTHERS</v>
      </c>
      <c r="P2100" s="4" t="str">
        <f t="shared" si="98"/>
        <v>PREMINUM MORNING</v>
      </c>
    </row>
    <row r="2101" spans="1:16" x14ac:dyDescent="0.3">
      <c r="A2101" s="4">
        <v>16</v>
      </c>
      <c r="B2101" t="s">
        <v>11</v>
      </c>
      <c r="C2101" s="4">
        <v>35.76</v>
      </c>
      <c r="D2101" t="s">
        <v>12</v>
      </c>
      <c r="E2101" t="s">
        <v>17</v>
      </c>
      <c r="F2101" s="4" t="s">
        <v>22</v>
      </c>
      <c r="G2101" s="4" t="s">
        <v>38</v>
      </c>
      <c r="H2101" s="4">
        <v>6</v>
      </c>
      <c r="I2101" s="4">
        <v>11</v>
      </c>
      <c r="J2101" s="1">
        <v>45598</v>
      </c>
      <c r="K2101" s="2">
        <v>2.5752314814814815E-2</v>
      </c>
      <c r="M2101" s="4" t="str">
        <f t="shared" si="96"/>
        <v>HIGH</v>
      </c>
      <c r="N2101" s="4" t="str" cm="1">
        <f t="array" ref="N2101">_xlfn.IFS(C2101&gt;35,"HIGH",C2101&gt;25,"MIDDLE",TRUE,"LOW")</f>
        <v>HIGH</v>
      </c>
      <c r="O2101" s="4" t="str">
        <f t="shared" si="97"/>
        <v>OTHERS</v>
      </c>
      <c r="P2101" s="4" t="str">
        <f t="shared" si="98"/>
        <v>PREMINUM MORNING</v>
      </c>
    </row>
    <row r="2102" spans="1:16" x14ac:dyDescent="0.3">
      <c r="A2102" s="4">
        <v>18</v>
      </c>
      <c r="B2102" t="s">
        <v>11</v>
      </c>
      <c r="C2102" s="4">
        <v>30.86</v>
      </c>
      <c r="D2102" t="s">
        <v>19</v>
      </c>
      <c r="E2102" t="s">
        <v>20</v>
      </c>
      <c r="F2102" s="4" t="s">
        <v>22</v>
      </c>
      <c r="G2102" s="4" t="s">
        <v>38</v>
      </c>
      <c r="H2102" s="4">
        <v>6</v>
      </c>
      <c r="I2102" s="4">
        <v>11</v>
      </c>
      <c r="J2102" s="1">
        <v>45598</v>
      </c>
      <c r="K2102" s="2">
        <v>1.2814814814814815E-2</v>
      </c>
      <c r="M2102" s="4" t="str">
        <f t="shared" si="96"/>
        <v>LOW</v>
      </c>
      <c r="N2102" s="4" t="str" cm="1">
        <f t="array" ref="N2102">_xlfn.IFS(C2102&gt;35,"HIGH",C2102&gt;25,"MIDDLE",TRUE,"LOW")</f>
        <v>MIDDLE</v>
      </c>
      <c r="O2102" s="4" t="str">
        <f t="shared" si="97"/>
        <v>OTHERS</v>
      </c>
      <c r="P2102" s="4" t="str">
        <f t="shared" si="98"/>
        <v>OTHERS</v>
      </c>
    </row>
    <row r="2103" spans="1:16" x14ac:dyDescent="0.3">
      <c r="A2103" s="4">
        <v>18</v>
      </c>
      <c r="B2103" t="s">
        <v>11</v>
      </c>
      <c r="C2103" s="4">
        <v>25.96</v>
      </c>
      <c r="D2103" t="s">
        <v>18</v>
      </c>
      <c r="E2103" t="s">
        <v>20</v>
      </c>
      <c r="F2103" s="4" t="s">
        <v>22</v>
      </c>
      <c r="G2103" s="4" t="s">
        <v>38</v>
      </c>
      <c r="H2103" s="4">
        <v>6</v>
      </c>
      <c r="I2103" s="4">
        <v>11</v>
      </c>
      <c r="J2103" s="1">
        <v>45598</v>
      </c>
      <c r="K2103" s="2">
        <v>4.054976851851852E-2</v>
      </c>
      <c r="M2103" s="4" t="str">
        <f t="shared" si="96"/>
        <v>LOW</v>
      </c>
      <c r="N2103" s="4" t="str" cm="1">
        <f t="array" ref="N2103">_xlfn.IFS(C2103&gt;35,"HIGH",C2103&gt;25,"MIDDLE",TRUE,"LOW")</f>
        <v>MIDDLE</v>
      </c>
      <c r="O2103" s="4" t="str">
        <f t="shared" si="97"/>
        <v>OTHERS</v>
      </c>
      <c r="P2103" s="4" t="str">
        <f t="shared" si="98"/>
        <v>OTHERS</v>
      </c>
    </row>
    <row r="2104" spans="1:16" x14ac:dyDescent="0.3">
      <c r="A2104" s="4">
        <v>8</v>
      </c>
      <c r="B2104" t="s">
        <v>11</v>
      </c>
      <c r="C2104" s="4">
        <v>25.96</v>
      </c>
      <c r="D2104" t="s">
        <v>24</v>
      </c>
      <c r="E2104" t="s">
        <v>13</v>
      </c>
      <c r="F2104" s="4" t="s">
        <v>23</v>
      </c>
      <c r="G2104" s="4" t="s">
        <v>38</v>
      </c>
      <c r="H2104" s="4">
        <v>7</v>
      </c>
      <c r="I2104" s="4">
        <v>11</v>
      </c>
      <c r="J2104" s="1">
        <v>45599</v>
      </c>
      <c r="K2104" s="2">
        <v>1.5976851851851853E-2</v>
      </c>
      <c r="M2104" s="4" t="str">
        <f t="shared" si="96"/>
        <v>LOW</v>
      </c>
      <c r="N2104" s="4" t="str" cm="1">
        <f t="array" ref="N2104">_xlfn.IFS(C2104&gt;35,"HIGH",C2104&gt;25,"MIDDLE",TRUE,"LOW")</f>
        <v>MIDDLE</v>
      </c>
      <c r="O2104" s="4" t="str">
        <f t="shared" si="97"/>
        <v>OTHERS</v>
      </c>
      <c r="P2104" s="4" t="str">
        <f t="shared" si="98"/>
        <v>PREMINUM MORNING</v>
      </c>
    </row>
    <row r="2105" spans="1:16" x14ac:dyDescent="0.3">
      <c r="A2105" s="4">
        <v>9</v>
      </c>
      <c r="B2105" t="s">
        <v>11</v>
      </c>
      <c r="C2105" s="4">
        <v>30.86</v>
      </c>
      <c r="D2105" t="s">
        <v>19</v>
      </c>
      <c r="E2105" t="s">
        <v>13</v>
      </c>
      <c r="F2105" s="4" t="s">
        <v>23</v>
      </c>
      <c r="G2105" s="4" t="s">
        <v>38</v>
      </c>
      <c r="H2105" s="4">
        <v>7</v>
      </c>
      <c r="I2105" s="4">
        <v>11</v>
      </c>
      <c r="J2105" s="1">
        <v>45599</v>
      </c>
      <c r="K2105" s="2">
        <v>3.2708333333333332E-2</v>
      </c>
      <c r="M2105" s="4" t="str">
        <f t="shared" si="96"/>
        <v>LOW</v>
      </c>
      <c r="N2105" s="4" t="str" cm="1">
        <f t="array" ref="N2105">_xlfn.IFS(C2105&gt;35,"HIGH",C2105&gt;25,"MIDDLE",TRUE,"LOW")</f>
        <v>MIDDLE</v>
      </c>
      <c r="O2105" s="4" t="str">
        <f t="shared" si="97"/>
        <v>OTHERS</v>
      </c>
      <c r="P2105" s="4" t="str">
        <f t="shared" si="98"/>
        <v>PREMINUM MORNING</v>
      </c>
    </row>
    <row r="2106" spans="1:16" x14ac:dyDescent="0.3">
      <c r="A2106" s="4">
        <v>9</v>
      </c>
      <c r="B2106" t="s">
        <v>11</v>
      </c>
      <c r="C2106" s="4">
        <v>30.86</v>
      </c>
      <c r="D2106" t="s">
        <v>19</v>
      </c>
      <c r="E2106" t="s">
        <v>13</v>
      </c>
      <c r="F2106" s="4" t="s">
        <v>23</v>
      </c>
      <c r="G2106" s="4" t="s">
        <v>38</v>
      </c>
      <c r="H2106" s="4">
        <v>7</v>
      </c>
      <c r="I2106" s="4">
        <v>11</v>
      </c>
      <c r="J2106" s="1">
        <v>45599</v>
      </c>
      <c r="K2106" s="2">
        <v>3.3472222222222223E-2</v>
      </c>
      <c r="M2106" s="4" t="str">
        <f t="shared" si="96"/>
        <v>LOW</v>
      </c>
      <c r="N2106" s="4" t="str" cm="1">
        <f t="array" ref="N2106">_xlfn.IFS(C2106&gt;35,"HIGH",C2106&gt;25,"MIDDLE",TRUE,"LOW")</f>
        <v>MIDDLE</v>
      </c>
      <c r="O2106" s="4" t="str">
        <f t="shared" si="97"/>
        <v>OTHERS</v>
      </c>
      <c r="P2106" s="4" t="str">
        <f t="shared" si="98"/>
        <v>PREMINUM MORNING</v>
      </c>
    </row>
    <row r="2107" spans="1:16" x14ac:dyDescent="0.3">
      <c r="A2107" s="4">
        <v>13</v>
      </c>
      <c r="B2107" t="s">
        <v>11</v>
      </c>
      <c r="C2107" s="4">
        <v>35.76</v>
      </c>
      <c r="D2107" t="s">
        <v>12</v>
      </c>
      <c r="E2107" t="s">
        <v>17</v>
      </c>
      <c r="F2107" s="4" t="s">
        <v>23</v>
      </c>
      <c r="G2107" s="4" t="s">
        <v>38</v>
      </c>
      <c r="H2107" s="4">
        <v>7</v>
      </c>
      <c r="I2107" s="4">
        <v>11</v>
      </c>
      <c r="J2107" s="1">
        <v>45599</v>
      </c>
      <c r="K2107" s="2">
        <v>9.6226851851851855E-3</v>
      </c>
      <c r="M2107" s="4" t="str">
        <f t="shared" si="96"/>
        <v>HIGH</v>
      </c>
      <c r="N2107" s="4" t="str" cm="1">
        <f t="array" ref="N2107">_xlfn.IFS(C2107&gt;35,"HIGH",C2107&gt;25,"MIDDLE",TRUE,"LOW")</f>
        <v>HIGH</v>
      </c>
      <c r="O2107" s="4" t="str">
        <f t="shared" si="97"/>
        <v>OTHERS</v>
      </c>
      <c r="P2107" s="4" t="str">
        <f t="shared" si="98"/>
        <v>PREMINUM MORNING</v>
      </c>
    </row>
    <row r="2108" spans="1:16" x14ac:dyDescent="0.3">
      <c r="A2108" s="4">
        <v>13</v>
      </c>
      <c r="B2108" t="s">
        <v>11</v>
      </c>
      <c r="C2108" s="4">
        <v>30.86</v>
      </c>
      <c r="D2108" t="s">
        <v>19</v>
      </c>
      <c r="E2108" t="s">
        <v>17</v>
      </c>
      <c r="F2108" s="4" t="s">
        <v>23</v>
      </c>
      <c r="G2108" s="4" t="s">
        <v>38</v>
      </c>
      <c r="H2108" s="4">
        <v>7</v>
      </c>
      <c r="I2108" s="4">
        <v>11</v>
      </c>
      <c r="J2108" s="1">
        <v>45599</v>
      </c>
      <c r="K2108" s="2">
        <v>1.0378472222222223E-2</v>
      </c>
      <c r="M2108" s="4" t="str">
        <f t="shared" si="96"/>
        <v>LOW</v>
      </c>
      <c r="N2108" s="4" t="str" cm="1">
        <f t="array" ref="N2108">_xlfn.IFS(C2108&gt;35,"HIGH",C2108&gt;25,"MIDDLE",TRUE,"LOW")</f>
        <v>MIDDLE</v>
      </c>
      <c r="O2108" s="4" t="str">
        <f t="shared" si="97"/>
        <v>OTHERS</v>
      </c>
      <c r="P2108" s="4" t="str">
        <f t="shared" si="98"/>
        <v>OTHERS</v>
      </c>
    </row>
    <row r="2109" spans="1:16" x14ac:dyDescent="0.3">
      <c r="A2109" s="4">
        <v>13</v>
      </c>
      <c r="B2109" t="s">
        <v>11</v>
      </c>
      <c r="C2109" s="4">
        <v>35.76</v>
      </c>
      <c r="D2109" t="s">
        <v>21</v>
      </c>
      <c r="E2109" t="s">
        <v>17</v>
      </c>
      <c r="F2109" s="4" t="s">
        <v>23</v>
      </c>
      <c r="G2109" s="4" t="s">
        <v>38</v>
      </c>
      <c r="H2109" s="4">
        <v>7</v>
      </c>
      <c r="I2109" s="4">
        <v>11</v>
      </c>
      <c r="J2109" s="1">
        <v>45599</v>
      </c>
      <c r="K2109" s="2">
        <v>1.278587962962963E-2</v>
      </c>
      <c r="M2109" s="4" t="str">
        <f t="shared" si="96"/>
        <v>HIGH</v>
      </c>
      <c r="N2109" s="4" t="str" cm="1">
        <f t="array" ref="N2109">_xlfn.IFS(C2109&gt;35,"HIGH",C2109&gt;25,"MIDDLE",TRUE,"LOW")</f>
        <v>HIGH</v>
      </c>
      <c r="O2109" s="4" t="str">
        <f t="shared" si="97"/>
        <v>OTHERS</v>
      </c>
      <c r="P2109" s="4" t="str">
        <f t="shared" si="98"/>
        <v>PREMINUM MORNING</v>
      </c>
    </row>
    <row r="2110" spans="1:16" x14ac:dyDescent="0.3">
      <c r="A2110" s="4">
        <v>13</v>
      </c>
      <c r="B2110" t="s">
        <v>11</v>
      </c>
      <c r="C2110" s="4">
        <v>25.96</v>
      </c>
      <c r="D2110" t="s">
        <v>18</v>
      </c>
      <c r="E2110" t="s">
        <v>17</v>
      </c>
      <c r="F2110" s="4" t="s">
        <v>23</v>
      </c>
      <c r="G2110" s="4" t="s">
        <v>38</v>
      </c>
      <c r="H2110" s="4">
        <v>7</v>
      </c>
      <c r="I2110" s="4">
        <v>11</v>
      </c>
      <c r="J2110" s="1">
        <v>45599</v>
      </c>
      <c r="K2110" s="2">
        <v>3.0769675925925926E-2</v>
      </c>
      <c r="M2110" s="4" t="str">
        <f t="shared" si="96"/>
        <v>LOW</v>
      </c>
      <c r="N2110" s="4" t="str" cm="1">
        <f t="array" ref="N2110">_xlfn.IFS(C2110&gt;35,"HIGH",C2110&gt;25,"MIDDLE",TRUE,"LOW")</f>
        <v>MIDDLE</v>
      </c>
      <c r="O2110" s="4" t="str">
        <f t="shared" si="97"/>
        <v>OTHERS</v>
      </c>
      <c r="P2110" s="4" t="str">
        <f t="shared" si="98"/>
        <v>OTHERS</v>
      </c>
    </row>
    <row r="2111" spans="1:16" x14ac:dyDescent="0.3">
      <c r="A2111" s="4">
        <v>13</v>
      </c>
      <c r="B2111" t="s">
        <v>11</v>
      </c>
      <c r="C2111" s="4">
        <v>30.86</v>
      </c>
      <c r="D2111" t="s">
        <v>19</v>
      </c>
      <c r="E2111" t="s">
        <v>17</v>
      </c>
      <c r="F2111" s="4" t="s">
        <v>23</v>
      </c>
      <c r="G2111" s="4" t="s">
        <v>38</v>
      </c>
      <c r="H2111" s="4">
        <v>7</v>
      </c>
      <c r="I2111" s="4">
        <v>11</v>
      </c>
      <c r="J2111" s="1">
        <v>45599</v>
      </c>
      <c r="K2111" s="2">
        <v>4.0984953703703704E-2</v>
      </c>
      <c r="M2111" s="4" t="str">
        <f t="shared" si="96"/>
        <v>LOW</v>
      </c>
      <c r="N2111" s="4" t="str" cm="1">
        <f t="array" ref="N2111">_xlfn.IFS(C2111&gt;35,"HIGH",C2111&gt;25,"MIDDLE",TRUE,"LOW")</f>
        <v>MIDDLE</v>
      </c>
      <c r="O2111" s="4" t="str">
        <f t="shared" si="97"/>
        <v>OTHERS</v>
      </c>
      <c r="P2111" s="4" t="str">
        <f t="shared" si="98"/>
        <v>OTHERS</v>
      </c>
    </row>
    <row r="2112" spans="1:16" x14ac:dyDescent="0.3">
      <c r="A2112" s="4">
        <v>16</v>
      </c>
      <c r="B2112" t="s">
        <v>11</v>
      </c>
      <c r="C2112" s="4">
        <v>35.76</v>
      </c>
      <c r="D2112" t="s">
        <v>16</v>
      </c>
      <c r="E2112" t="s">
        <v>17</v>
      </c>
      <c r="F2112" s="4" t="s">
        <v>23</v>
      </c>
      <c r="G2112" s="4" t="s">
        <v>38</v>
      </c>
      <c r="H2112" s="4">
        <v>7</v>
      </c>
      <c r="I2112" s="4">
        <v>11</v>
      </c>
      <c r="J2112" s="1">
        <v>45599</v>
      </c>
      <c r="K2112" s="2">
        <v>1.0621527777777778E-2</v>
      </c>
      <c r="M2112" s="4" t="str">
        <f t="shared" si="96"/>
        <v>HIGH</v>
      </c>
      <c r="N2112" s="4" t="str" cm="1">
        <f t="array" ref="N2112">_xlfn.IFS(C2112&gt;35,"HIGH",C2112&gt;25,"MIDDLE",TRUE,"LOW")</f>
        <v>HIGH</v>
      </c>
      <c r="O2112" s="4" t="str">
        <f t="shared" si="97"/>
        <v>OTHERS</v>
      </c>
      <c r="P2112" s="4" t="str">
        <f t="shared" si="98"/>
        <v>PREMINUM MORNING</v>
      </c>
    </row>
    <row r="2113" spans="1:16" x14ac:dyDescent="0.3">
      <c r="A2113" s="4">
        <v>16</v>
      </c>
      <c r="B2113" t="s">
        <v>11</v>
      </c>
      <c r="C2113" s="4">
        <v>35.76</v>
      </c>
      <c r="D2113" t="s">
        <v>16</v>
      </c>
      <c r="E2113" t="s">
        <v>17</v>
      </c>
      <c r="F2113" s="4" t="s">
        <v>23</v>
      </c>
      <c r="G2113" s="4" t="s">
        <v>38</v>
      </c>
      <c r="H2113" s="4">
        <v>7</v>
      </c>
      <c r="I2113" s="4">
        <v>11</v>
      </c>
      <c r="J2113" s="1">
        <v>45599</v>
      </c>
      <c r="K2113" s="2">
        <v>1.1614583333333333E-2</v>
      </c>
      <c r="M2113" s="4" t="str">
        <f t="shared" si="96"/>
        <v>HIGH</v>
      </c>
      <c r="N2113" s="4" t="str" cm="1">
        <f t="array" ref="N2113">_xlfn.IFS(C2113&gt;35,"HIGH",C2113&gt;25,"MIDDLE",TRUE,"LOW")</f>
        <v>HIGH</v>
      </c>
      <c r="O2113" s="4" t="str">
        <f t="shared" si="97"/>
        <v>OTHERS</v>
      </c>
      <c r="P2113" s="4" t="str">
        <f t="shared" si="98"/>
        <v>PREMINUM MORNING</v>
      </c>
    </row>
    <row r="2114" spans="1:16" x14ac:dyDescent="0.3">
      <c r="A2114" s="4">
        <v>16</v>
      </c>
      <c r="B2114" t="s">
        <v>11</v>
      </c>
      <c r="C2114" s="4">
        <v>25.96</v>
      </c>
      <c r="D2114" t="s">
        <v>18</v>
      </c>
      <c r="E2114" t="s">
        <v>17</v>
      </c>
      <c r="F2114" s="4" t="s">
        <v>23</v>
      </c>
      <c r="G2114" s="4" t="s">
        <v>38</v>
      </c>
      <c r="H2114" s="4">
        <v>7</v>
      </c>
      <c r="I2114" s="4">
        <v>11</v>
      </c>
      <c r="J2114" s="1">
        <v>45599</v>
      </c>
      <c r="K2114" s="2">
        <v>1.4318287037037036E-2</v>
      </c>
      <c r="M2114" s="4" t="str">
        <f t="shared" si="96"/>
        <v>LOW</v>
      </c>
      <c r="N2114" s="4" t="str" cm="1">
        <f t="array" ref="N2114">_xlfn.IFS(C2114&gt;35,"HIGH",C2114&gt;25,"MIDDLE",TRUE,"LOW")</f>
        <v>MIDDLE</v>
      </c>
      <c r="O2114" s="4" t="str">
        <f t="shared" si="97"/>
        <v>OTHERS</v>
      </c>
      <c r="P2114" s="4" t="str">
        <f t="shared" si="98"/>
        <v>OTHERS</v>
      </c>
    </row>
    <row r="2115" spans="1:16" x14ac:dyDescent="0.3">
      <c r="A2115" s="4">
        <v>16</v>
      </c>
      <c r="B2115" t="s">
        <v>11</v>
      </c>
      <c r="C2115" s="4">
        <v>25.96</v>
      </c>
      <c r="D2115" t="s">
        <v>18</v>
      </c>
      <c r="E2115" t="s">
        <v>17</v>
      </c>
      <c r="F2115" s="4" t="s">
        <v>23</v>
      </c>
      <c r="G2115" s="4" t="s">
        <v>38</v>
      </c>
      <c r="H2115" s="4">
        <v>7</v>
      </c>
      <c r="I2115" s="4">
        <v>11</v>
      </c>
      <c r="J2115" s="1">
        <v>45599</v>
      </c>
      <c r="K2115" s="2">
        <v>1.5116898148148147E-2</v>
      </c>
      <c r="M2115" s="4" t="str">
        <f t="shared" ref="M2115:M2178" si="99">IF(C2115&gt;35,"HIGH","LOW")</f>
        <v>LOW</v>
      </c>
      <c r="N2115" s="4" t="str" cm="1">
        <f t="array" ref="N2115">_xlfn.IFS(C2115&gt;35,"HIGH",C2115&gt;25,"MIDDLE",TRUE,"LOW")</f>
        <v>MIDDLE</v>
      </c>
      <c r="O2115" s="4" t="str">
        <f t="shared" ref="O2115:O2178" si="100">IF(AND(C2115&gt;35,E2115="MORNING"),"PREMINUM MORNING","OTHERS")</f>
        <v>OTHERS</v>
      </c>
      <c r="P2115" s="4" t="str">
        <f t="shared" ref="P2115:P2178" si="101">IF(OR(C2115&gt;35,E2115="MORNING"),"PREMINUM MORNING","OTHERS")</f>
        <v>OTHERS</v>
      </c>
    </row>
    <row r="2116" spans="1:16" x14ac:dyDescent="0.3">
      <c r="A2116" s="4">
        <v>20</v>
      </c>
      <c r="B2116" t="s">
        <v>11</v>
      </c>
      <c r="C2116" s="4">
        <v>35.76</v>
      </c>
      <c r="D2116" t="s">
        <v>21</v>
      </c>
      <c r="E2116" t="s">
        <v>20</v>
      </c>
      <c r="F2116" s="4" t="s">
        <v>23</v>
      </c>
      <c r="G2116" s="4" t="s">
        <v>38</v>
      </c>
      <c r="H2116" s="4">
        <v>7</v>
      </c>
      <c r="I2116" s="4">
        <v>11</v>
      </c>
      <c r="J2116" s="1">
        <v>45599</v>
      </c>
      <c r="K2116" s="2">
        <v>1.8224537037037036E-2</v>
      </c>
      <c r="M2116" s="4" t="str">
        <f t="shared" si="99"/>
        <v>HIGH</v>
      </c>
      <c r="N2116" s="4" t="str" cm="1">
        <f t="array" ref="N2116">_xlfn.IFS(C2116&gt;35,"HIGH",C2116&gt;25,"MIDDLE",TRUE,"LOW")</f>
        <v>HIGH</v>
      </c>
      <c r="O2116" s="4" t="str">
        <f t="shared" si="100"/>
        <v>OTHERS</v>
      </c>
      <c r="P2116" s="4" t="str">
        <f t="shared" si="101"/>
        <v>PREMINUM MORNING</v>
      </c>
    </row>
    <row r="2117" spans="1:16" x14ac:dyDescent="0.3">
      <c r="A2117" s="4">
        <v>7</v>
      </c>
      <c r="B2117" t="s">
        <v>11</v>
      </c>
      <c r="C2117" s="4">
        <v>35.76</v>
      </c>
      <c r="D2117" t="s">
        <v>12</v>
      </c>
      <c r="E2117" t="s">
        <v>13</v>
      </c>
      <c r="F2117" s="4" t="s">
        <v>25</v>
      </c>
      <c r="G2117" s="4" t="s">
        <v>38</v>
      </c>
      <c r="H2117" s="4">
        <v>1</v>
      </c>
      <c r="I2117" s="4">
        <v>11</v>
      </c>
      <c r="J2117" s="1">
        <v>45600</v>
      </c>
      <c r="K2117" s="2">
        <v>3.0288194444444444E-2</v>
      </c>
      <c r="M2117" s="4" t="str">
        <f t="shared" si="99"/>
        <v>HIGH</v>
      </c>
      <c r="N2117" s="4" t="str" cm="1">
        <f t="array" ref="N2117">_xlfn.IFS(C2117&gt;35,"HIGH",C2117&gt;25,"MIDDLE",TRUE,"LOW")</f>
        <v>HIGH</v>
      </c>
      <c r="O2117" s="4" t="str">
        <f t="shared" si="100"/>
        <v>PREMINUM MORNING</v>
      </c>
      <c r="P2117" s="4" t="str">
        <f t="shared" si="101"/>
        <v>PREMINUM MORNING</v>
      </c>
    </row>
    <row r="2118" spans="1:16" x14ac:dyDescent="0.3">
      <c r="A2118" s="4">
        <v>8</v>
      </c>
      <c r="B2118" t="s">
        <v>11</v>
      </c>
      <c r="C2118" s="4">
        <v>35.76</v>
      </c>
      <c r="D2118" t="s">
        <v>12</v>
      </c>
      <c r="E2118" t="s">
        <v>13</v>
      </c>
      <c r="F2118" s="4" t="s">
        <v>25</v>
      </c>
      <c r="G2118" s="4" t="s">
        <v>38</v>
      </c>
      <c r="H2118" s="4">
        <v>1</v>
      </c>
      <c r="I2118" s="4">
        <v>11</v>
      </c>
      <c r="J2118" s="1">
        <v>45600</v>
      </c>
      <c r="K2118" s="2">
        <v>2.6079861111111113E-2</v>
      </c>
      <c r="M2118" s="4" t="str">
        <f t="shared" si="99"/>
        <v>HIGH</v>
      </c>
      <c r="N2118" s="4" t="str" cm="1">
        <f t="array" ref="N2118">_xlfn.IFS(C2118&gt;35,"HIGH",C2118&gt;25,"MIDDLE",TRUE,"LOW")</f>
        <v>HIGH</v>
      </c>
      <c r="O2118" s="4" t="str">
        <f t="shared" si="100"/>
        <v>PREMINUM MORNING</v>
      </c>
      <c r="P2118" s="4" t="str">
        <f t="shared" si="101"/>
        <v>PREMINUM MORNING</v>
      </c>
    </row>
    <row r="2119" spans="1:16" x14ac:dyDescent="0.3">
      <c r="A2119" s="4">
        <v>8</v>
      </c>
      <c r="B2119" t="s">
        <v>11</v>
      </c>
      <c r="C2119" s="4">
        <v>30.86</v>
      </c>
      <c r="D2119" t="s">
        <v>19</v>
      </c>
      <c r="E2119" t="s">
        <v>13</v>
      </c>
      <c r="F2119" s="4" t="s">
        <v>25</v>
      </c>
      <c r="G2119" s="4" t="s">
        <v>38</v>
      </c>
      <c r="H2119" s="4">
        <v>1</v>
      </c>
      <c r="I2119" s="4">
        <v>11</v>
      </c>
      <c r="J2119" s="1">
        <v>45600</v>
      </c>
      <c r="K2119" s="2">
        <v>2.7070601851851853E-2</v>
      </c>
      <c r="M2119" s="4" t="str">
        <f t="shared" si="99"/>
        <v>LOW</v>
      </c>
      <c r="N2119" s="4" t="str" cm="1">
        <f t="array" ref="N2119">_xlfn.IFS(C2119&gt;35,"HIGH",C2119&gt;25,"MIDDLE",TRUE,"LOW")</f>
        <v>MIDDLE</v>
      </c>
      <c r="O2119" s="4" t="str">
        <f t="shared" si="100"/>
        <v>OTHERS</v>
      </c>
      <c r="P2119" s="4" t="str">
        <f t="shared" si="101"/>
        <v>PREMINUM MORNING</v>
      </c>
    </row>
    <row r="2120" spans="1:16" x14ac:dyDescent="0.3">
      <c r="A2120" s="4">
        <v>12</v>
      </c>
      <c r="B2120" t="s">
        <v>11</v>
      </c>
      <c r="C2120" s="4">
        <v>25.96</v>
      </c>
      <c r="D2120" t="s">
        <v>18</v>
      </c>
      <c r="E2120" t="s">
        <v>17</v>
      </c>
      <c r="F2120" s="4" t="s">
        <v>25</v>
      </c>
      <c r="G2120" s="4" t="s">
        <v>38</v>
      </c>
      <c r="H2120" s="4">
        <v>1</v>
      </c>
      <c r="I2120" s="4">
        <v>11</v>
      </c>
      <c r="J2120" s="1">
        <v>45600</v>
      </c>
      <c r="K2120" s="2">
        <v>2.3331018518518518E-2</v>
      </c>
      <c r="M2120" s="4" t="str">
        <f t="shared" si="99"/>
        <v>LOW</v>
      </c>
      <c r="N2120" s="4" t="str" cm="1">
        <f t="array" ref="N2120">_xlfn.IFS(C2120&gt;35,"HIGH",C2120&gt;25,"MIDDLE",TRUE,"LOW")</f>
        <v>MIDDLE</v>
      </c>
      <c r="O2120" s="4" t="str">
        <f t="shared" si="100"/>
        <v>OTHERS</v>
      </c>
      <c r="P2120" s="4" t="str">
        <f t="shared" si="101"/>
        <v>OTHERS</v>
      </c>
    </row>
    <row r="2121" spans="1:16" x14ac:dyDescent="0.3">
      <c r="A2121" s="4">
        <v>12</v>
      </c>
      <c r="B2121" t="s">
        <v>11</v>
      </c>
      <c r="C2121" s="4">
        <v>30.86</v>
      </c>
      <c r="D2121" t="s">
        <v>19</v>
      </c>
      <c r="E2121" t="s">
        <v>17</v>
      </c>
      <c r="F2121" s="4" t="s">
        <v>25</v>
      </c>
      <c r="G2121" s="4" t="s">
        <v>38</v>
      </c>
      <c r="H2121" s="4">
        <v>1</v>
      </c>
      <c r="I2121" s="4">
        <v>11</v>
      </c>
      <c r="J2121" s="1">
        <v>45600</v>
      </c>
      <c r="K2121" s="2">
        <v>2.4376157407407405E-2</v>
      </c>
      <c r="M2121" s="4" t="str">
        <f t="shared" si="99"/>
        <v>LOW</v>
      </c>
      <c r="N2121" s="4" t="str" cm="1">
        <f t="array" ref="N2121">_xlfn.IFS(C2121&gt;35,"HIGH",C2121&gt;25,"MIDDLE",TRUE,"LOW")</f>
        <v>MIDDLE</v>
      </c>
      <c r="O2121" s="4" t="str">
        <f t="shared" si="100"/>
        <v>OTHERS</v>
      </c>
      <c r="P2121" s="4" t="str">
        <f t="shared" si="101"/>
        <v>OTHERS</v>
      </c>
    </row>
    <row r="2122" spans="1:16" x14ac:dyDescent="0.3">
      <c r="A2122" s="4">
        <v>14</v>
      </c>
      <c r="B2122" t="s">
        <v>11</v>
      </c>
      <c r="C2122" s="4">
        <v>35.76</v>
      </c>
      <c r="D2122" t="s">
        <v>21</v>
      </c>
      <c r="E2122" t="s">
        <v>17</v>
      </c>
      <c r="F2122" s="4" t="s">
        <v>25</v>
      </c>
      <c r="G2122" s="4" t="s">
        <v>38</v>
      </c>
      <c r="H2122" s="4">
        <v>1</v>
      </c>
      <c r="I2122" s="4">
        <v>11</v>
      </c>
      <c r="J2122" s="1">
        <v>45600</v>
      </c>
      <c r="K2122" s="2">
        <v>3.0996527777777776E-2</v>
      </c>
      <c r="M2122" s="4" t="str">
        <f t="shared" si="99"/>
        <v>HIGH</v>
      </c>
      <c r="N2122" s="4" t="str" cm="1">
        <f t="array" ref="N2122">_xlfn.IFS(C2122&gt;35,"HIGH",C2122&gt;25,"MIDDLE",TRUE,"LOW")</f>
        <v>HIGH</v>
      </c>
      <c r="O2122" s="4" t="str">
        <f t="shared" si="100"/>
        <v>OTHERS</v>
      </c>
      <c r="P2122" s="4" t="str">
        <f t="shared" si="101"/>
        <v>PREMINUM MORNING</v>
      </c>
    </row>
    <row r="2123" spans="1:16" x14ac:dyDescent="0.3">
      <c r="A2123" s="4">
        <v>14</v>
      </c>
      <c r="B2123" t="s">
        <v>11</v>
      </c>
      <c r="C2123" s="4">
        <v>35.76</v>
      </c>
      <c r="D2123" t="s">
        <v>21</v>
      </c>
      <c r="E2123" t="s">
        <v>17</v>
      </c>
      <c r="F2123" s="4" t="s">
        <v>25</v>
      </c>
      <c r="G2123" s="4" t="s">
        <v>38</v>
      </c>
      <c r="H2123" s="4">
        <v>1</v>
      </c>
      <c r="I2123" s="4">
        <v>11</v>
      </c>
      <c r="J2123" s="1">
        <v>45600</v>
      </c>
      <c r="K2123" s="2">
        <v>3.1481481481481478E-2</v>
      </c>
      <c r="M2123" s="4" t="str">
        <f t="shared" si="99"/>
        <v>HIGH</v>
      </c>
      <c r="N2123" s="4" t="str" cm="1">
        <f t="array" ref="N2123">_xlfn.IFS(C2123&gt;35,"HIGH",C2123&gt;25,"MIDDLE",TRUE,"LOW")</f>
        <v>HIGH</v>
      </c>
      <c r="O2123" s="4" t="str">
        <f t="shared" si="100"/>
        <v>OTHERS</v>
      </c>
      <c r="P2123" s="4" t="str">
        <f t="shared" si="101"/>
        <v>PREMINUM MORNING</v>
      </c>
    </row>
    <row r="2124" spans="1:16" x14ac:dyDescent="0.3">
      <c r="A2124" s="4">
        <v>7</v>
      </c>
      <c r="B2124" t="s">
        <v>11</v>
      </c>
      <c r="C2124" s="4">
        <v>35.76</v>
      </c>
      <c r="D2124" t="s">
        <v>21</v>
      </c>
      <c r="E2124" t="s">
        <v>13</v>
      </c>
      <c r="F2124" s="4" t="s">
        <v>27</v>
      </c>
      <c r="G2124" s="4" t="s">
        <v>38</v>
      </c>
      <c r="H2124" s="4">
        <v>2</v>
      </c>
      <c r="I2124" s="4">
        <v>11</v>
      </c>
      <c r="J2124" s="1">
        <v>45601</v>
      </c>
      <c r="K2124" s="2">
        <v>3.4393518518518518E-2</v>
      </c>
      <c r="M2124" s="4" t="str">
        <f t="shared" si="99"/>
        <v>HIGH</v>
      </c>
      <c r="N2124" s="4" t="str" cm="1">
        <f t="array" ref="N2124">_xlfn.IFS(C2124&gt;35,"HIGH",C2124&gt;25,"MIDDLE",TRUE,"LOW")</f>
        <v>HIGH</v>
      </c>
      <c r="O2124" s="4" t="str">
        <f t="shared" si="100"/>
        <v>PREMINUM MORNING</v>
      </c>
      <c r="P2124" s="4" t="str">
        <f t="shared" si="101"/>
        <v>PREMINUM MORNING</v>
      </c>
    </row>
    <row r="2125" spans="1:16" x14ac:dyDescent="0.3">
      <c r="A2125" s="4">
        <v>9</v>
      </c>
      <c r="B2125" t="s">
        <v>11</v>
      </c>
      <c r="C2125" s="4">
        <v>30.86</v>
      </c>
      <c r="D2125" t="s">
        <v>19</v>
      </c>
      <c r="E2125" t="s">
        <v>13</v>
      </c>
      <c r="F2125" s="4" t="s">
        <v>27</v>
      </c>
      <c r="G2125" s="4" t="s">
        <v>38</v>
      </c>
      <c r="H2125" s="4">
        <v>2</v>
      </c>
      <c r="I2125" s="4">
        <v>11</v>
      </c>
      <c r="J2125" s="1">
        <v>45601</v>
      </c>
      <c r="K2125" s="2">
        <v>3.9560185185185184E-3</v>
      </c>
      <c r="M2125" s="4" t="str">
        <f t="shared" si="99"/>
        <v>LOW</v>
      </c>
      <c r="N2125" s="4" t="str" cm="1">
        <f t="array" ref="N2125">_xlfn.IFS(C2125&gt;35,"HIGH",C2125&gt;25,"MIDDLE",TRUE,"LOW")</f>
        <v>MIDDLE</v>
      </c>
      <c r="O2125" s="4" t="str">
        <f t="shared" si="100"/>
        <v>OTHERS</v>
      </c>
      <c r="P2125" s="4" t="str">
        <f t="shared" si="101"/>
        <v>PREMINUM MORNING</v>
      </c>
    </row>
    <row r="2126" spans="1:16" x14ac:dyDescent="0.3">
      <c r="A2126" s="4">
        <v>9</v>
      </c>
      <c r="B2126" t="s">
        <v>11</v>
      </c>
      <c r="C2126" s="4">
        <v>35.76</v>
      </c>
      <c r="D2126" t="s">
        <v>29</v>
      </c>
      <c r="E2126" t="s">
        <v>13</v>
      </c>
      <c r="F2126" s="4" t="s">
        <v>27</v>
      </c>
      <c r="G2126" s="4" t="s">
        <v>38</v>
      </c>
      <c r="H2126" s="4">
        <v>2</v>
      </c>
      <c r="I2126" s="4">
        <v>11</v>
      </c>
      <c r="J2126" s="1">
        <v>45601</v>
      </c>
      <c r="K2126" s="2">
        <v>8.4756944444444437E-3</v>
      </c>
      <c r="M2126" s="4" t="str">
        <f t="shared" si="99"/>
        <v>HIGH</v>
      </c>
      <c r="N2126" s="4" t="str" cm="1">
        <f t="array" ref="N2126">_xlfn.IFS(C2126&gt;35,"HIGH",C2126&gt;25,"MIDDLE",TRUE,"LOW")</f>
        <v>HIGH</v>
      </c>
      <c r="O2126" s="4" t="str">
        <f t="shared" si="100"/>
        <v>PREMINUM MORNING</v>
      </c>
      <c r="P2126" s="4" t="str">
        <f t="shared" si="101"/>
        <v>PREMINUM MORNING</v>
      </c>
    </row>
    <row r="2127" spans="1:16" x14ac:dyDescent="0.3">
      <c r="A2127" s="4">
        <v>9</v>
      </c>
      <c r="B2127" t="s">
        <v>11</v>
      </c>
      <c r="C2127" s="4">
        <v>30.86</v>
      </c>
      <c r="D2127" t="s">
        <v>19</v>
      </c>
      <c r="E2127" t="s">
        <v>13</v>
      </c>
      <c r="F2127" s="4" t="s">
        <v>27</v>
      </c>
      <c r="G2127" s="4" t="s">
        <v>38</v>
      </c>
      <c r="H2127" s="4">
        <v>2</v>
      </c>
      <c r="I2127" s="4">
        <v>11</v>
      </c>
      <c r="J2127" s="1">
        <v>45601</v>
      </c>
      <c r="K2127" s="2">
        <v>9.4953703703703693E-3</v>
      </c>
      <c r="M2127" s="4" t="str">
        <f t="shared" si="99"/>
        <v>LOW</v>
      </c>
      <c r="N2127" s="4" t="str" cm="1">
        <f t="array" ref="N2127">_xlfn.IFS(C2127&gt;35,"HIGH",C2127&gt;25,"MIDDLE",TRUE,"LOW")</f>
        <v>MIDDLE</v>
      </c>
      <c r="O2127" s="4" t="str">
        <f t="shared" si="100"/>
        <v>OTHERS</v>
      </c>
      <c r="P2127" s="4" t="str">
        <f t="shared" si="101"/>
        <v>PREMINUM MORNING</v>
      </c>
    </row>
    <row r="2128" spans="1:16" x14ac:dyDescent="0.3">
      <c r="A2128" s="4">
        <v>10</v>
      </c>
      <c r="B2128" t="s">
        <v>11</v>
      </c>
      <c r="C2128" s="4">
        <v>30.86</v>
      </c>
      <c r="D2128" t="s">
        <v>19</v>
      </c>
      <c r="E2128" t="s">
        <v>13</v>
      </c>
      <c r="F2128" s="4" t="s">
        <v>27</v>
      </c>
      <c r="G2128" s="4" t="s">
        <v>38</v>
      </c>
      <c r="H2128" s="4">
        <v>2</v>
      </c>
      <c r="I2128" s="4">
        <v>11</v>
      </c>
      <c r="J2128" s="1">
        <v>45601</v>
      </c>
      <c r="K2128" s="2">
        <v>2.8984953703703707E-2</v>
      </c>
      <c r="M2128" s="4" t="str">
        <f t="shared" si="99"/>
        <v>LOW</v>
      </c>
      <c r="N2128" s="4" t="str" cm="1">
        <f t="array" ref="N2128">_xlfn.IFS(C2128&gt;35,"HIGH",C2128&gt;25,"MIDDLE",TRUE,"LOW")</f>
        <v>MIDDLE</v>
      </c>
      <c r="O2128" s="4" t="str">
        <f t="shared" si="100"/>
        <v>OTHERS</v>
      </c>
      <c r="P2128" s="4" t="str">
        <f t="shared" si="101"/>
        <v>PREMINUM MORNING</v>
      </c>
    </row>
    <row r="2129" spans="1:16" x14ac:dyDescent="0.3">
      <c r="A2129" s="4">
        <v>11</v>
      </c>
      <c r="B2129" t="s">
        <v>11</v>
      </c>
      <c r="C2129" s="4">
        <v>35.76</v>
      </c>
      <c r="D2129" t="s">
        <v>21</v>
      </c>
      <c r="E2129" t="s">
        <v>13</v>
      </c>
      <c r="F2129" s="4" t="s">
        <v>27</v>
      </c>
      <c r="G2129" s="4" t="s">
        <v>38</v>
      </c>
      <c r="H2129" s="4">
        <v>2</v>
      </c>
      <c r="I2129" s="4">
        <v>11</v>
      </c>
      <c r="J2129" s="1">
        <v>45601</v>
      </c>
      <c r="K2129" s="2">
        <v>3.2984953703703704E-2</v>
      </c>
      <c r="M2129" s="4" t="str">
        <f t="shared" si="99"/>
        <v>HIGH</v>
      </c>
      <c r="N2129" s="4" t="str" cm="1">
        <f t="array" ref="N2129">_xlfn.IFS(C2129&gt;35,"HIGH",C2129&gt;25,"MIDDLE",TRUE,"LOW")</f>
        <v>HIGH</v>
      </c>
      <c r="O2129" s="4" t="str">
        <f t="shared" si="100"/>
        <v>PREMINUM MORNING</v>
      </c>
      <c r="P2129" s="4" t="str">
        <f t="shared" si="101"/>
        <v>PREMINUM MORNING</v>
      </c>
    </row>
    <row r="2130" spans="1:16" x14ac:dyDescent="0.3">
      <c r="A2130" s="4">
        <v>11</v>
      </c>
      <c r="B2130" t="s">
        <v>11</v>
      </c>
      <c r="C2130" s="4">
        <v>35.76</v>
      </c>
      <c r="D2130" t="s">
        <v>12</v>
      </c>
      <c r="E2130" t="s">
        <v>13</v>
      </c>
      <c r="F2130" s="4" t="s">
        <v>27</v>
      </c>
      <c r="G2130" s="4" t="s">
        <v>38</v>
      </c>
      <c r="H2130" s="4">
        <v>2</v>
      </c>
      <c r="I2130" s="4">
        <v>11</v>
      </c>
      <c r="J2130" s="1">
        <v>45601</v>
      </c>
      <c r="K2130" s="2">
        <v>3.3593749999999999E-2</v>
      </c>
      <c r="M2130" s="4" t="str">
        <f t="shared" si="99"/>
        <v>HIGH</v>
      </c>
      <c r="N2130" s="4" t="str" cm="1">
        <f t="array" ref="N2130">_xlfn.IFS(C2130&gt;35,"HIGH",C2130&gt;25,"MIDDLE",TRUE,"LOW")</f>
        <v>HIGH</v>
      </c>
      <c r="O2130" s="4" t="str">
        <f t="shared" si="100"/>
        <v>PREMINUM MORNING</v>
      </c>
      <c r="P2130" s="4" t="str">
        <f t="shared" si="101"/>
        <v>PREMINUM MORNING</v>
      </c>
    </row>
    <row r="2131" spans="1:16" x14ac:dyDescent="0.3">
      <c r="A2131" s="4">
        <v>14</v>
      </c>
      <c r="B2131" t="s">
        <v>11</v>
      </c>
      <c r="C2131" s="4">
        <v>35.76</v>
      </c>
      <c r="D2131" t="s">
        <v>12</v>
      </c>
      <c r="E2131" t="s">
        <v>17</v>
      </c>
      <c r="F2131" s="4" t="s">
        <v>27</v>
      </c>
      <c r="G2131" s="4" t="s">
        <v>38</v>
      </c>
      <c r="H2131" s="4">
        <v>2</v>
      </c>
      <c r="I2131" s="4">
        <v>11</v>
      </c>
      <c r="J2131" s="1">
        <v>45601</v>
      </c>
      <c r="K2131" s="2">
        <v>2.543865740740741E-2</v>
      </c>
      <c r="M2131" s="4" t="str">
        <f t="shared" si="99"/>
        <v>HIGH</v>
      </c>
      <c r="N2131" s="4" t="str" cm="1">
        <f t="array" ref="N2131">_xlfn.IFS(C2131&gt;35,"HIGH",C2131&gt;25,"MIDDLE",TRUE,"LOW")</f>
        <v>HIGH</v>
      </c>
      <c r="O2131" s="4" t="str">
        <f t="shared" si="100"/>
        <v>OTHERS</v>
      </c>
      <c r="P2131" s="4" t="str">
        <f t="shared" si="101"/>
        <v>PREMINUM MORNING</v>
      </c>
    </row>
    <row r="2132" spans="1:16" x14ac:dyDescent="0.3">
      <c r="A2132" s="4">
        <v>14</v>
      </c>
      <c r="B2132" t="s">
        <v>11</v>
      </c>
      <c r="C2132" s="4">
        <v>35.76</v>
      </c>
      <c r="D2132" t="s">
        <v>12</v>
      </c>
      <c r="E2132" t="s">
        <v>17</v>
      </c>
      <c r="F2132" s="4" t="s">
        <v>27</v>
      </c>
      <c r="G2132" s="4" t="s">
        <v>38</v>
      </c>
      <c r="H2132" s="4">
        <v>2</v>
      </c>
      <c r="I2132" s="4">
        <v>11</v>
      </c>
      <c r="J2132" s="1">
        <v>45601</v>
      </c>
      <c r="K2132" s="2">
        <v>2.9027777777777777E-2</v>
      </c>
      <c r="M2132" s="4" t="str">
        <f t="shared" si="99"/>
        <v>HIGH</v>
      </c>
      <c r="N2132" s="4" t="str" cm="1">
        <f t="array" ref="N2132">_xlfn.IFS(C2132&gt;35,"HIGH",C2132&gt;25,"MIDDLE",TRUE,"LOW")</f>
        <v>HIGH</v>
      </c>
      <c r="O2132" s="4" t="str">
        <f t="shared" si="100"/>
        <v>OTHERS</v>
      </c>
      <c r="P2132" s="4" t="str">
        <f t="shared" si="101"/>
        <v>PREMINUM MORNING</v>
      </c>
    </row>
    <row r="2133" spans="1:16" x14ac:dyDescent="0.3">
      <c r="A2133" s="4">
        <v>18</v>
      </c>
      <c r="B2133" t="s">
        <v>11</v>
      </c>
      <c r="C2133" s="4">
        <v>35.76</v>
      </c>
      <c r="D2133" t="s">
        <v>29</v>
      </c>
      <c r="E2133" t="s">
        <v>20</v>
      </c>
      <c r="F2133" s="4" t="s">
        <v>27</v>
      </c>
      <c r="G2133" s="4" t="s">
        <v>38</v>
      </c>
      <c r="H2133" s="4">
        <v>2</v>
      </c>
      <c r="I2133" s="4">
        <v>11</v>
      </c>
      <c r="J2133" s="1">
        <v>45601</v>
      </c>
      <c r="K2133" s="2">
        <v>3.6762731481481487E-2</v>
      </c>
      <c r="M2133" s="4" t="str">
        <f t="shared" si="99"/>
        <v>HIGH</v>
      </c>
      <c r="N2133" s="4" t="str" cm="1">
        <f t="array" ref="N2133">_xlfn.IFS(C2133&gt;35,"HIGH",C2133&gt;25,"MIDDLE",TRUE,"LOW")</f>
        <v>HIGH</v>
      </c>
      <c r="O2133" s="4" t="str">
        <f t="shared" si="100"/>
        <v>OTHERS</v>
      </c>
      <c r="P2133" s="4" t="str">
        <f t="shared" si="101"/>
        <v>PREMINUM MORNING</v>
      </c>
    </row>
    <row r="2134" spans="1:16" x14ac:dyDescent="0.3">
      <c r="A2134" s="4">
        <v>18</v>
      </c>
      <c r="B2134" t="s">
        <v>11</v>
      </c>
      <c r="C2134" s="4">
        <v>35.76</v>
      </c>
      <c r="D2134" t="s">
        <v>29</v>
      </c>
      <c r="E2134" t="s">
        <v>20</v>
      </c>
      <c r="F2134" s="4" t="s">
        <v>27</v>
      </c>
      <c r="G2134" s="4" t="s">
        <v>38</v>
      </c>
      <c r="H2134" s="4">
        <v>2</v>
      </c>
      <c r="I2134" s="4">
        <v>11</v>
      </c>
      <c r="J2134" s="1">
        <v>45601</v>
      </c>
      <c r="K2134" s="2">
        <v>3.7623842592592591E-2</v>
      </c>
      <c r="M2134" s="4" t="str">
        <f t="shared" si="99"/>
        <v>HIGH</v>
      </c>
      <c r="N2134" s="4" t="str" cm="1">
        <f t="array" ref="N2134">_xlfn.IFS(C2134&gt;35,"HIGH",C2134&gt;25,"MIDDLE",TRUE,"LOW")</f>
        <v>HIGH</v>
      </c>
      <c r="O2134" s="4" t="str">
        <f t="shared" si="100"/>
        <v>OTHERS</v>
      </c>
      <c r="P2134" s="4" t="str">
        <f t="shared" si="101"/>
        <v>PREMINUM MORNING</v>
      </c>
    </row>
    <row r="2135" spans="1:16" x14ac:dyDescent="0.3">
      <c r="A2135" s="4">
        <v>18</v>
      </c>
      <c r="B2135" t="s">
        <v>11</v>
      </c>
      <c r="C2135" s="4">
        <v>35.76</v>
      </c>
      <c r="D2135" t="s">
        <v>29</v>
      </c>
      <c r="E2135" t="s">
        <v>20</v>
      </c>
      <c r="F2135" s="4" t="s">
        <v>27</v>
      </c>
      <c r="G2135" s="4" t="s">
        <v>38</v>
      </c>
      <c r="H2135" s="4">
        <v>2</v>
      </c>
      <c r="I2135" s="4">
        <v>11</v>
      </c>
      <c r="J2135" s="1">
        <v>45601</v>
      </c>
      <c r="K2135" s="2">
        <v>3.840972222222222E-2</v>
      </c>
      <c r="M2135" s="4" t="str">
        <f t="shared" si="99"/>
        <v>HIGH</v>
      </c>
      <c r="N2135" s="4" t="str" cm="1">
        <f t="array" ref="N2135">_xlfn.IFS(C2135&gt;35,"HIGH",C2135&gt;25,"MIDDLE",TRUE,"LOW")</f>
        <v>HIGH</v>
      </c>
      <c r="O2135" s="4" t="str">
        <f t="shared" si="100"/>
        <v>OTHERS</v>
      </c>
      <c r="P2135" s="4" t="str">
        <f t="shared" si="101"/>
        <v>PREMINUM MORNING</v>
      </c>
    </row>
    <row r="2136" spans="1:16" x14ac:dyDescent="0.3">
      <c r="A2136" s="4">
        <v>21</v>
      </c>
      <c r="B2136" t="s">
        <v>11</v>
      </c>
      <c r="C2136" s="4">
        <v>35.76</v>
      </c>
      <c r="D2136" t="s">
        <v>21</v>
      </c>
      <c r="E2136" t="s">
        <v>20</v>
      </c>
      <c r="F2136" s="4" t="s">
        <v>27</v>
      </c>
      <c r="G2136" s="4" t="s">
        <v>38</v>
      </c>
      <c r="H2136" s="4">
        <v>2</v>
      </c>
      <c r="I2136" s="4">
        <v>11</v>
      </c>
      <c r="J2136" s="1">
        <v>45601</v>
      </c>
      <c r="K2136" s="2">
        <v>2.8295138888888887E-2</v>
      </c>
      <c r="M2136" s="4" t="str">
        <f t="shared" si="99"/>
        <v>HIGH</v>
      </c>
      <c r="N2136" s="4" t="str" cm="1">
        <f t="array" ref="N2136">_xlfn.IFS(C2136&gt;35,"HIGH",C2136&gt;25,"MIDDLE",TRUE,"LOW")</f>
        <v>HIGH</v>
      </c>
      <c r="O2136" s="4" t="str">
        <f t="shared" si="100"/>
        <v>OTHERS</v>
      </c>
      <c r="P2136" s="4" t="str">
        <f t="shared" si="101"/>
        <v>PREMINUM MORNING</v>
      </c>
    </row>
    <row r="2137" spans="1:16" x14ac:dyDescent="0.3">
      <c r="A2137" s="4">
        <v>21</v>
      </c>
      <c r="B2137" t="s">
        <v>11</v>
      </c>
      <c r="C2137" s="4">
        <v>35.76</v>
      </c>
      <c r="D2137" t="s">
        <v>21</v>
      </c>
      <c r="E2137" t="s">
        <v>20</v>
      </c>
      <c r="F2137" s="4" t="s">
        <v>27</v>
      </c>
      <c r="G2137" s="4" t="s">
        <v>38</v>
      </c>
      <c r="H2137" s="4">
        <v>2</v>
      </c>
      <c r="I2137" s="4">
        <v>11</v>
      </c>
      <c r="J2137" s="1">
        <v>45601</v>
      </c>
      <c r="K2137" s="2">
        <v>2.9199074074074075E-2</v>
      </c>
      <c r="M2137" s="4" t="str">
        <f t="shared" si="99"/>
        <v>HIGH</v>
      </c>
      <c r="N2137" s="4" t="str" cm="1">
        <f t="array" ref="N2137">_xlfn.IFS(C2137&gt;35,"HIGH",C2137&gt;25,"MIDDLE",TRUE,"LOW")</f>
        <v>HIGH</v>
      </c>
      <c r="O2137" s="4" t="str">
        <f t="shared" si="100"/>
        <v>OTHERS</v>
      </c>
      <c r="P2137" s="4" t="str">
        <f t="shared" si="101"/>
        <v>PREMINUM MORNING</v>
      </c>
    </row>
    <row r="2138" spans="1:16" x14ac:dyDescent="0.3">
      <c r="A2138" s="4">
        <v>21</v>
      </c>
      <c r="B2138" t="s">
        <v>11</v>
      </c>
      <c r="C2138" s="4">
        <v>35.76</v>
      </c>
      <c r="D2138" t="s">
        <v>16</v>
      </c>
      <c r="E2138" t="s">
        <v>20</v>
      </c>
      <c r="F2138" s="4" t="s">
        <v>27</v>
      </c>
      <c r="G2138" s="4" t="s">
        <v>38</v>
      </c>
      <c r="H2138" s="4">
        <v>2</v>
      </c>
      <c r="I2138" s="4">
        <v>11</v>
      </c>
      <c r="J2138" s="1">
        <v>45601</v>
      </c>
      <c r="K2138" s="2">
        <v>3.7726851851851852E-2</v>
      </c>
      <c r="M2138" s="4" t="str">
        <f t="shared" si="99"/>
        <v>HIGH</v>
      </c>
      <c r="N2138" s="4" t="str" cm="1">
        <f t="array" ref="N2138">_xlfn.IFS(C2138&gt;35,"HIGH",C2138&gt;25,"MIDDLE",TRUE,"LOW")</f>
        <v>HIGH</v>
      </c>
      <c r="O2138" s="4" t="str">
        <f t="shared" si="100"/>
        <v>OTHERS</v>
      </c>
      <c r="P2138" s="4" t="str">
        <f t="shared" si="101"/>
        <v>PREMINUM MORNING</v>
      </c>
    </row>
    <row r="2139" spans="1:16" x14ac:dyDescent="0.3">
      <c r="A2139" s="4">
        <v>22</v>
      </c>
      <c r="B2139" t="s">
        <v>11</v>
      </c>
      <c r="C2139" s="4">
        <v>35.76</v>
      </c>
      <c r="D2139" t="s">
        <v>16</v>
      </c>
      <c r="E2139" t="s">
        <v>20</v>
      </c>
      <c r="F2139" s="4" t="s">
        <v>27</v>
      </c>
      <c r="G2139" s="4" t="s">
        <v>38</v>
      </c>
      <c r="H2139" s="4">
        <v>2</v>
      </c>
      <c r="I2139" s="4">
        <v>11</v>
      </c>
      <c r="J2139" s="1">
        <v>45601</v>
      </c>
      <c r="K2139" s="2">
        <v>4.0578703703703705E-3</v>
      </c>
      <c r="M2139" s="4" t="str">
        <f t="shared" si="99"/>
        <v>HIGH</v>
      </c>
      <c r="N2139" s="4" t="str" cm="1">
        <f t="array" ref="N2139">_xlfn.IFS(C2139&gt;35,"HIGH",C2139&gt;25,"MIDDLE",TRUE,"LOW")</f>
        <v>HIGH</v>
      </c>
      <c r="O2139" s="4" t="str">
        <f t="shared" si="100"/>
        <v>OTHERS</v>
      </c>
      <c r="P2139" s="4" t="str">
        <f t="shared" si="101"/>
        <v>PREMINUM MORNING</v>
      </c>
    </row>
    <row r="2140" spans="1:16" x14ac:dyDescent="0.3">
      <c r="A2140" s="4">
        <v>22</v>
      </c>
      <c r="B2140" t="s">
        <v>11</v>
      </c>
      <c r="C2140" s="4">
        <v>30.86</v>
      </c>
      <c r="D2140" t="s">
        <v>19</v>
      </c>
      <c r="E2140" t="s">
        <v>20</v>
      </c>
      <c r="F2140" s="4" t="s">
        <v>27</v>
      </c>
      <c r="G2140" s="4" t="s">
        <v>38</v>
      </c>
      <c r="H2140" s="4">
        <v>2</v>
      </c>
      <c r="I2140" s="4">
        <v>11</v>
      </c>
      <c r="J2140" s="1">
        <v>45601</v>
      </c>
      <c r="K2140" s="2">
        <v>4.6180555555555558E-3</v>
      </c>
      <c r="M2140" s="4" t="str">
        <f t="shared" si="99"/>
        <v>LOW</v>
      </c>
      <c r="N2140" s="4" t="str" cm="1">
        <f t="array" ref="N2140">_xlfn.IFS(C2140&gt;35,"HIGH",C2140&gt;25,"MIDDLE",TRUE,"LOW")</f>
        <v>MIDDLE</v>
      </c>
      <c r="O2140" s="4" t="str">
        <f t="shared" si="100"/>
        <v>OTHERS</v>
      </c>
      <c r="P2140" s="4" t="str">
        <f t="shared" si="101"/>
        <v>OTHERS</v>
      </c>
    </row>
    <row r="2141" spans="1:16" x14ac:dyDescent="0.3">
      <c r="A2141" s="4">
        <v>8</v>
      </c>
      <c r="B2141" t="s">
        <v>11</v>
      </c>
      <c r="C2141" s="4">
        <v>35.76</v>
      </c>
      <c r="D2141" t="s">
        <v>12</v>
      </c>
      <c r="E2141" t="s">
        <v>13</v>
      </c>
      <c r="F2141" s="4" t="s">
        <v>28</v>
      </c>
      <c r="G2141" s="4" t="s">
        <v>38</v>
      </c>
      <c r="H2141" s="4">
        <v>3</v>
      </c>
      <c r="I2141" s="4">
        <v>11</v>
      </c>
      <c r="J2141" s="1">
        <v>45602</v>
      </c>
      <c r="K2141" s="2">
        <v>7.929398148148149E-3</v>
      </c>
      <c r="M2141" s="4" t="str">
        <f t="shared" si="99"/>
        <v>HIGH</v>
      </c>
      <c r="N2141" s="4" t="str" cm="1">
        <f t="array" ref="N2141">_xlfn.IFS(C2141&gt;35,"HIGH",C2141&gt;25,"MIDDLE",TRUE,"LOW")</f>
        <v>HIGH</v>
      </c>
      <c r="O2141" s="4" t="str">
        <f t="shared" si="100"/>
        <v>PREMINUM MORNING</v>
      </c>
      <c r="P2141" s="4" t="str">
        <f t="shared" si="101"/>
        <v>PREMINUM MORNING</v>
      </c>
    </row>
    <row r="2142" spans="1:16" x14ac:dyDescent="0.3">
      <c r="A2142" s="4">
        <v>11</v>
      </c>
      <c r="B2142" t="s">
        <v>11</v>
      </c>
      <c r="C2142" s="4">
        <v>21.06</v>
      </c>
      <c r="D2142" t="s">
        <v>26</v>
      </c>
      <c r="E2142" t="s">
        <v>13</v>
      </c>
      <c r="F2142" s="4" t="s">
        <v>28</v>
      </c>
      <c r="G2142" s="4" t="s">
        <v>38</v>
      </c>
      <c r="H2142" s="4">
        <v>3</v>
      </c>
      <c r="I2142" s="4">
        <v>11</v>
      </c>
      <c r="J2142" s="1">
        <v>45602</v>
      </c>
      <c r="K2142" s="2">
        <v>3.1611111111111111E-2</v>
      </c>
      <c r="M2142" s="4" t="str">
        <f t="shared" si="99"/>
        <v>LOW</v>
      </c>
      <c r="N2142" s="4" t="str" cm="1">
        <f t="array" ref="N2142">_xlfn.IFS(C2142&gt;35,"HIGH",C2142&gt;25,"MIDDLE",TRUE,"LOW")</f>
        <v>LOW</v>
      </c>
      <c r="O2142" s="4" t="str">
        <f t="shared" si="100"/>
        <v>OTHERS</v>
      </c>
      <c r="P2142" s="4" t="str">
        <f t="shared" si="101"/>
        <v>PREMINUM MORNING</v>
      </c>
    </row>
    <row r="2143" spans="1:16" x14ac:dyDescent="0.3">
      <c r="A2143" s="4">
        <v>13</v>
      </c>
      <c r="B2143" t="s">
        <v>11</v>
      </c>
      <c r="C2143" s="4">
        <v>25.96</v>
      </c>
      <c r="D2143" t="s">
        <v>18</v>
      </c>
      <c r="E2143" t="s">
        <v>17</v>
      </c>
      <c r="F2143" s="4" t="s">
        <v>28</v>
      </c>
      <c r="G2143" s="4" t="s">
        <v>38</v>
      </c>
      <c r="H2143" s="4">
        <v>3</v>
      </c>
      <c r="I2143" s="4">
        <v>11</v>
      </c>
      <c r="J2143" s="1">
        <v>45602</v>
      </c>
      <c r="K2143" s="2">
        <v>1.0797453703703703E-2</v>
      </c>
      <c r="M2143" s="4" t="str">
        <f t="shared" si="99"/>
        <v>LOW</v>
      </c>
      <c r="N2143" s="4" t="str" cm="1">
        <f t="array" ref="N2143">_xlfn.IFS(C2143&gt;35,"HIGH",C2143&gt;25,"MIDDLE",TRUE,"LOW")</f>
        <v>MIDDLE</v>
      </c>
      <c r="O2143" s="4" t="str">
        <f t="shared" si="100"/>
        <v>OTHERS</v>
      </c>
      <c r="P2143" s="4" t="str">
        <f t="shared" si="101"/>
        <v>OTHERS</v>
      </c>
    </row>
    <row r="2144" spans="1:16" x14ac:dyDescent="0.3">
      <c r="A2144" s="4">
        <v>15</v>
      </c>
      <c r="B2144" t="s">
        <v>11</v>
      </c>
      <c r="C2144" s="4">
        <v>35.76</v>
      </c>
      <c r="D2144" t="s">
        <v>29</v>
      </c>
      <c r="E2144" t="s">
        <v>17</v>
      </c>
      <c r="F2144" s="4" t="s">
        <v>28</v>
      </c>
      <c r="G2144" s="4" t="s">
        <v>38</v>
      </c>
      <c r="H2144" s="4">
        <v>3</v>
      </c>
      <c r="I2144" s="4">
        <v>11</v>
      </c>
      <c r="J2144" s="1">
        <v>45602</v>
      </c>
      <c r="K2144" s="2">
        <v>3.0746527777777779E-2</v>
      </c>
      <c r="M2144" s="4" t="str">
        <f t="shared" si="99"/>
        <v>HIGH</v>
      </c>
      <c r="N2144" s="4" t="str" cm="1">
        <f t="array" ref="N2144">_xlfn.IFS(C2144&gt;35,"HIGH",C2144&gt;25,"MIDDLE",TRUE,"LOW")</f>
        <v>HIGH</v>
      </c>
      <c r="O2144" s="4" t="str">
        <f t="shared" si="100"/>
        <v>OTHERS</v>
      </c>
      <c r="P2144" s="4" t="str">
        <f t="shared" si="101"/>
        <v>PREMINUM MORNING</v>
      </c>
    </row>
    <row r="2145" spans="1:16" x14ac:dyDescent="0.3">
      <c r="A2145" s="4">
        <v>16</v>
      </c>
      <c r="B2145" t="s">
        <v>11</v>
      </c>
      <c r="C2145" s="4">
        <v>35.76</v>
      </c>
      <c r="D2145" t="s">
        <v>12</v>
      </c>
      <c r="E2145" t="s">
        <v>17</v>
      </c>
      <c r="F2145" s="4" t="s">
        <v>28</v>
      </c>
      <c r="G2145" s="4" t="s">
        <v>38</v>
      </c>
      <c r="H2145" s="4">
        <v>3</v>
      </c>
      <c r="I2145" s="4">
        <v>11</v>
      </c>
      <c r="J2145" s="1">
        <v>45602</v>
      </c>
      <c r="K2145" s="2">
        <v>5.0694444444444441E-4</v>
      </c>
      <c r="M2145" s="4" t="str">
        <f t="shared" si="99"/>
        <v>HIGH</v>
      </c>
      <c r="N2145" s="4" t="str" cm="1">
        <f t="array" ref="N2145">_xlfn.IFS(C2145&gt;35,"HIGH",C2145&gt;25,"MIDDLE",TRUE,"LOW")</f>
        <v>HIGH</v>
      </c>
      <c r="O2145" s="4" t="str">
        <f t="shared" si="100"/>
        <v>OTHERS</v>
      </c>
      <c r="P2145" s="4" t="str">
        <f t="shared" si="101"/>
        <v>PREMINUM MORNING</v>
      </c>
    </row>
    <row r="2146" spans="1:16" x14ac:dyDescent="0.3">
      <c r="A2146" s="4">
        <v>16</v>
      </c>
      <c r="B2146" t="s">
        <v>11</v>
      </c>
      <c r="C2146" s="4">
        <v>35.76</v>
      </c>
      <c r="D2146" t="s">
        <v>29</v>
      </c>
      <c r="E2146" t="s">
        <v>17</v>
      </c>
      <c r="F2146" s="4" t="s">
        <v>28</v>
      </c>
      <c r="G2146" s="4" t="s">
        <v>38</v>
      </c>
      <c r="H2146" s="4">
        <v>3</v>
      </c>
      <c r="I2146" s="4">
        <v>11</v>
      </c>
      <c r="J2146" s="1">
        <v>45602</v>
      </c>
      <c r="K2146" s="2">
        <v>1.4479166666666666E-3</v>
      </c>
      <c r="M2146" s="4" t="str">
        <f t="shared" si="99"/>
        <v>HIGH</v>
      </c>
      <c r="N2146" s="4" t="str" cm="1">
        <f t="array" ref="N2146">_xlfn.IFS(C2146&gt;35,"HIGH",C2146&gt;25,"MIDDLE",TRUE,"LOW")</f>
        <v>HIGH</v>
      </c>
      <c r="O2146" s="4" t="str">
        <f t="shared" si="100"/>
        <v>OTHERS</v>
      </c>
      <c r="P2146" s="4" t="str">
        <f t="shared" si="101"/>
        <v>PREMINUM MORNING</v>
      </c>
    </row>
    <row r="2147" spans="1:16" x14ac:dyDescent="0.3">
      <c r="A2147" s="4">
        <v>18</v>
      </c>
      <c r="B2147" t="s">
        <v>11</v>
      </c>
      <c r="C2147" s="4">
        <v>35.76</v>
      </c>
      <c r="D2147" t="s">
        <v>16</v>
      </c>
      <c r="E2147" t="s">
        <v>20</v>
      </c>
      <c r="F2147" s="4" t="s">
        <v>28</v>
      </c>
      <c r="G2147" s="4" t="s">
        <v>38</v>
      </c>
      <c r="H2147" s="4">
        <v>3</v>
      </c>
      <c r="I2147" s="4">
        <v>11</v>
      </c>
      <c r="J2147" s="1">
        <v>45602</v>
      </c>
      <c r="K2147" s="2">
        <v>2.8274305555555556E-2</v>
      </c>
      <c r="M2147" s="4" t="str">
        <f t="shared" si="99"/>
        <v>HIGH</v>
      </c>
      <c r="N2147" s="4" t="str" cm="1">
        <f t="array" ref="N2147">_xlfn.IFS(C2147&gt;35,"HIGH",C2147&gt;25,"MIDDLE",TRUE,"LOW")</f>
        <v>HIGH</v>
      </c>
      <c r="O2147" s="4" t="str">
        <f t="shared" si="100"/>
        <v>OTHERS</v>
      </c>
      <c r="P2147" s="4" t="str">
        <f t="shared" si="101"/>
        <v>PREMINUM MORNING</v>
      </c>
    </row>
    <row r="2148" spans="1:16" x14ac:dyDescent="0.3">
      <c r="A2148" s="4">
        <v>18</v>
      </c>
      <c r="B2148" t="s">
        <v>11</v>
      </c>
      <c r="C2148" s="4">
        <v>35.76</v>
      </c>
      <c r="D2148" t="s">
        <v>16</v>
      </c>
      <c r="E2148" t="s">
        <v>20</v>
      </c>
      <c r="F2148" s="4" t="s">
        <v>28</v>
      </c>
      <c r="G2148" s="4" t="s">
        <v>38</v>
      </c>
      <c r="H2148" s="4">
        <v>3</v>
      </c>
      <c r="I2148" s="4">
        <v>11</v>
      </c>
      <c r="J2148" s="1">
        <v>45602</v>
      </c>
      <c r="K2148" s="2">
        <v>2.8827546296296296E-2</v>
      </c>
      <c r="M2148" s="4" t="str">
        <f t="shared" si="99"/>
        <v>HIGH</v>
      </c>
      <c r="N2148" s="4" t="str" cm="1">
        <f t="array" ref="N2148">_xlfn.IFS(C2148&gt;35,"HIGH",C2148&gt;25,"MIDDLE",TRUE,"LOW")</f>
        <v>HIGH</v>
      </c>
      <c r="O2148" s="4" t="str">
        <f t="shared" si="100"/>
        <v>OTHERS</v>
      </c>
      <c r="P2148" s="4" t="str">
        <f t="shared" si="101"/>
        <v>PREMINUM MORNING</v>
      </c>
    </row>
    <row r="2149" spans="1:16" x14ac:dyDescent="0.3">
      <c r="A2149" s="4">
        <v>12</v>
      </c>
      <c r="B2149" t="s">
        <v>11</v>
      </c>
      <c r="C2149" s="4">
        <v>35.76</v>
      </c>
      <c r="D2149" t="s">
        <v>12</v>
      </c>
      <c r="E2149" t="s">
        <v>17</v>
      </c>
      <c r="F2149" s="4" t="s">
        <v>30</v>
      </c>
      <c r="G2149" s="4" t="s">
        <v>38</v>
      </c>
      <c r="H2149" s="4">
        <v>4</v>
      </c>
      <c r="I2149" s="4">
        <v>11</v>
      </c>
      <c r="J2149" s="1">
        <v>45603</v>
      </c>
      <c r="K2149" s="2">
        <v>1.1990740740740741E-2</v>
      </c>
      <c r="M2149" s="4" t="str">
        <f t="shared" si="99"/>
        <v>HIGH</v>
      </c>
      <c r="N2149" s="4" t="str" cm="1">
        <f t="array" ref="N2149">_xlfn.IFS(C2149&gt;35,"HIGH",C2149&gt;25,"MIDDLE",TRUE,"LOW")</f>
        <v>HIGH</v>
      </c>
      <c r="O2149" s="4" t="str">
        <f t="shared" si="100"/>
        <v>OTHERS</v>
      </c>
      <c r="P2149" s="4" t="str">
        <f t="shared" si="101"/>
        <v>PREMINUM MORNING</v>
      </c>
    </row>
    <row r="2150" spans="1:16" x14ac:dyDescent="0.3">
      <c r="A2150" s="4">
        <v>15</v>
      </c>
      <c r="B2150" t="s">
        <v>11</v>
      </c>
      <c r="C2150" s="4">
        <v>25.96</v>
      </c>
      <c r="D2150" t="s">
        <v>18</v>
      </c>
      <c r="E2150" t="s">
        <v>17</v>
      </c>
      <c r="F2150" s="4" t="s">
        <v>30</v>
      </c>
      <c r="G2150" s="4" t="s">
        <v>38</v>
      </c>
      <c r="H2150" s="4">
        <v>4</v>
      </c>
      <c r="I2150" s="4">
        <v>11</v>
      </c>
      <c r="J2150" s="1">
        <v>45603</v>
      </c>
      <c r="K2150" s="2">
        <v>3.4844907407407408E-2</v>
      </c>
      <c r="M2150" s="4" t="str">
        <f t="shared" si="99"/>
        <v>LOW</v>
      </c>
      <c r="N2150" s="4" t="str" cm="1">
        <f t="array" ref="N2150">_xlfn.IFS(C2150&gt;35,"HIGH",C2150&gt;25,"MIDDLE",TRUE,"LOW")</f>
        <v>MIDDLE</v>
      </c>
      <c r="O2150" s="4" t="str">
        <f t="shared" si="100"/>
        <v>OTHERS</v>
      </c>
      <c r="P2150" s="4" t="str">
        <f t="shared" si="101"/>
        <v>OTHERS</v>
      </c>
    </row>
    <row r="2151" spans="1:16" x14ac:dyDescent="0.3">
      <c r="A2151" s="4">
        <v>16</v>
      </c>
      <c r="B2151" t="s">
        <v>11</v>
      </c>
      <c r="C2151" s="4">
        <v>25.96</v>
      </c>
      <c r="D2151" t="s">
        <v>18</v>
      </c>
      <c r="E2151" t="s">
        <v>17</v>
      </c>
      <c r="F2151" s="4" t="s">
        <v>30</v>
      </c>
      <c r="G2151" s="4" t="s">
        <v>38</v>
      </c>
      <c r="H2151" s="4">
        <v>4</v>
      </c>
      <c r="I2151" s="4">
        <v>11</v>
      </c>
      <c r="J2151" s="1">
        <v>45603</v>
      </c>
      <c r="K2151" s="2">
        <v>2.7539351851851853E-2</v>
      </c>
      <c r="M2151" s="4" t="str">
        <f t="shared" si="99"/>
        <v>LOW</v>
      </c>
      <c r="N2151" s="4" t="str" cm="1">
        <f t="array" ref="N2151">_xlfn.IFS(C2151&gt;35,"HIGH",C2151&gt;25,"MIDDLE",TRUE,"LOW")</f>
        <v>MIDDLE</v>
      </c>
      <c r="O2151" s="4" t="str">
        <f t="shared" si="100"/>
        <v>OTHERS</v>
      </c>
      <c r="P2151" s="4" t="str">
        <f t="shared" si="101"/>
        <v>OTHERS</v>
      </c>
    </row>
    <row r="2152" spans="1:16" x14ac:dyDescent="0.3">
      <c r="A2152" s="4">
        <v>18</v>
      </c>
      <c r="B2152" t="s">
        <v>11</v>
      </c>
      <c r="C2152" s="4">
        <v>35.76</v>
      </c>
      <c r="D2152" t="s">
        <v>21</v>
      </c>
      <c r="E2152" t="s">
        <v>20</v>
      </c>
      <c r="F2152" s="4" t="s">
        <v>30</v>
      </c>
      <c r="G2152" s="4" t="s">
        <v>38</v>
      </c>
      <c r="H2152" s="4">
        <v>4</v>
      </c>
      <c r="I2152" s="4">
        <v>11</v>
      </c>
      <c r="J2152" s="1">
        <v>45603</v>
      </c>
      <c r="K2152" s="2">
        <v>1.2195601851851852E-2</v>
      </c>
      <c r="M2152" s="4" t="str">
        <f t="shared" si="99"/>
        <v>HIGH</v>
      </c>
      <c r="N2152" s="4" t="str" cm="1">
        <f t="array" ref="N2152">_xlfn.IFS(C2152&gt;35,"HIGH",C2152&gt;25,"MIDDLE",TRUE,"LOW")</f>
        <v>HIGH</v>
      </c>
      <c r="O2152" s="4" t="str">
        <f t="shared" si="100"/>
        <v>OTHERS</v>
      </c>
      <c r="P2152" s="4" t="str">
        <f t="shared" si="101"/>
        <v>PREMINUM MORNING</v>
      </c>
    </row>
    <row r="2153" spans="1:16" x14ac:dyDescent="0.3">
      <c r="A2153" s="4">
        <v>19</v>
      </c>
      <c r="B2153" t="s">
        <v>11</v>
      </c>
      <c r="C2153" s="4">
        <v>35.76</v>
      </c>
      <c r="D2153" t="s">
        <v>16</v>
      </c>
      <c r="E2153" t="s">
        <v>20</v>
      </c>
      <c r="F2153" s="4" t="s">
        <v>30</v>
      </c>
      <c r="G2153" s="4" t="s">
        <v>38</v>
      </c>
      <c r="H2153" s="4">
        <v>4</v>
      </c>
      <c r="I2153" s="4">
        <v>11</v>
      </c>
      <c r="J2153" s="1">
        <v>45603</v>
      </c>
      <c r="K2153" s="2">
        <v>1.4060185185185184E-2</v>
      </c>
      <c r="M2153" s="4" t="str">
        <f t="shared" si="99"/>
        <v>HIGH</v>
      </c>
      <c r="N2153" s="4" t="str" cm="1">
        <f t="array" ref="N2153">_xlfn.IFS(C2153&gt;35,"HIGH",C2153&gt;25,"MIDDLE",TRUE,"LOW")</f>
        <v>HIGH</v>
      </c>
      <c r="O2153" s="4" t="str">
        <f t="shared" si="100"/>
        <v>OTHERS</v>
      </c>
      <c r="P2153" s="4" t="str">
        <f t="shared" si="101"/>
        <v>PREMINUM MORNING</v>
      </c>
    </row>
    <row r="2154" spans="1:16" x14ac:dyDescent="0.3">
      <c r="A2154" s="4">
        <v>19</v>
      </c>
      <c r="B2154" t="s">
        <v>11</v>
      </c>
      <c r="C2154" s="4">
        <v>35.76</v>
      </c>
      <c r="D2154" t="s">
        <v>12</v>
      </c>
      <c r="E2154" t="s">
        <v>20</v>
      </c>
      <c r="F2154" s="4" t="s">
        <v>30</v>
      </c>
      <c r="G2154" s="4" t="s">
        <v>38</v>
      </c>
      <c r="H2154" s="4">
        <v>4</v>
      </c>
      <c r="I2154" s="4">
        <v>11</v>
      </c>
      <c r="J2154" s="1">
        <v>45603</v>
      </c>
      <c r="K2154" s="2">
        <v>1.5023148148148148E-2</v>
      </c>
      <c r="M2154" s="4" t="str">
        <f t="shared" si="99"/>
        <v>HIGH</v>
      </c>
      <c r="N2154" s="4" t="str" cm="1">
        <f t="array" ref="N2154">_xlfn.IFS(C2154&gt;35,"HIGH",C2154&gt;25,"MIDDLE",TRUE,"LOW")</f>
        <v>HIGH</v>
      </c>
      <c r="O2154" s="4" t="str">
        <f t="shared" si="100"/>
        <v>OTHERS</v>
      </c>
      <c r="P2154" s="4" t="str">
        <f t="shared" si="101"/>
        <v>PREMINUM MORNING</v>
      </c>
    </row>
    <row r="2155" spans="1:16" x14ac:dyDescent="0.3">
      <c r="A2155" s="4">
        <v>20</v>
      </c>
      <c r="B2155" t="s">
        <v>11</v>
      </c>
      <c r="C2155" s="4">
        <v>35.76</v>
      </c>
      <c r="D2155" t="s">
        <v>12</v>
      </c>
      <c r="E2155" t="s">
        <v>20</v>
      </c>
      <c r="F2155" s="4" t="s">
        <v>30</v>
      </c>
      <c r="G2155" s="4" t="s">
        <v>38</v>
      </c>
      <c r="H2155" s="4">
        <v>4</v>
      </c>
      <c r="I2155" s="4">
        <v>11</v>
      </c>
      <c r="J2155" s="1">
        <v>45603</v>
      </c>
      <c r="K2155" s="2">
        <v>1.7442129629629628E-3</v>
      </c>
      <c r="M2155" s="4" t="str">
        <f t="shared" si="99"/>
        <v>HIGH</v>
      </c>
      <c r="N2155" s="4" t="str" cm="1">
        <f t="array" ref="N2155">_xlfn.IFS(C2155&gt;35,"HIGH",C2155&gt;25,"MIDDLE",TRUE,"LOW")</f>
        <v>HIGH</v>
      </c>
      <c r="O2155" s="4" t="str">
        <f t="shared" si="100"/>
        <v>OTHERS</v>
      </c>
      <c r="P2155" s="4" t="str">
        <f t="shared" si="101"/>
        <v>PREMINUM MORNING</v>
      </c>
    </row>
    <row r="2156" spans="1:16" x14ac:dyDescent="0.3">
      <c r="A2156" s="4">
        <v>9</v>
      </c>
      <c r="B2156" t="s">
        <v>11</v>
      </c>
      <c r="C2156" s="4">
        <v>30.86</v>
      </c>
      <c r="D2156" t="s">
        <v>19</v>
      </c>
      <c r="E2156" t="s">
        <v>13</v>
      </c>
      <c r="F2156" s="4" t="s">
        <v>14</v>
      </c>
      <c r="G2156" s="4" t="s">
        <v>38</v>
      </c>
      <c r="H2156" s="4">
        <v>5</v>
      </c>
      <c r="I2156" s="4">
        <v>11</v>
      </c>
      <c r="J2156" s="1">
        <v>45604</v>
      </c>
      <c r="K2156" s="2">
        <v>3.9594907407407409E-3</v>
      </c>
      <c r="M2156" s="4" t="str">
        <f t="shared" si="99"/>
        <v>LOW</v>
      </c>
      <c r="N2156" s="4" t="str" cm="1">
        <f t="array" ref="N2156">_xlfn.IFS(C2156&gt;35,"HIGH",C2156&gt;25,"MIDDLE",TRUE,"LOW")</f>
        <v>MIDDLE</v>
      </c>
      <c r="O2156" s="4" t="str">
        <f t="shared" si="100"/>
        <v>OTHERS</v>
      </c>
      <c r="P2156" s="4" t="str">
        <f t="shared" si="101"/>
        <v>PREMINUM MORNING</v>
      </c>
    </row>
    <row r="2157" spans="1:16" x14ac:dyDescent="0.3">
      <c r="A2157" s="4">
        <v>9</v>
      </c>
      <c r="B2157" t="s">
        <v>11</v>
      </c>
      <c r="C2157" s="4">
        <v>25.96</v>
      </c>
      <c r="D2157" t="s">
        <v>18</v>
      </c>
      <c r="E2157" t="s">
        <v>13</v>
      </c>
      <c r="F2157" s="4" t="s">
        <v>14</v>
      </c>
      <c r="G2157" s="4" t="s">
        <v>38</v>
      </c>
      <c r="H2157" s="4">
        <v>5</v>
      </c>
      <c r="I2157" s="4">
        <v>11</v>
      </c>
      <c r="J2157" s="1">
        <v>45604</v>
      </c>
      <c r="K2157" s="2">
        <v>3.2996527777777777E-2</v>
      </c>
      <c r="M2157" s="4" t="str">
        <f t="shared" si="99"/>
        <v>LOW</v>
      </c>
      <c r="N2157" s="4" t="str" cm="1">
        <f t="array" ref="N2157">_xlfn.IFS(C2157&gt;35,"HIGH",C2157&gt;25,"MIDDLE",TRUE,"LOW")</f>
        <v>MIDDLE</v>
      </c>
      <c r="O2157" s="4" t="str">
        <f t="shared" si="100"/>
        <v>OTHERS</v>
      </c>
      <c r="P2157" s="4" t="str">
        <f t="shared" si="101"/>
        <v>PREMINUM MORNING</v>
      </c>
    </row>
    <row r="2158" spans="1:16" x14ac:dyDescent="0.3">
      <c r="A2158" s="4">
        <v>9</v>
      </c>
      <c r="B2158" t="s">
        <v>11</v>
      </c>
      <c r="C2158" s="4">
        <v>25.96</v>
      </c>
      <c r="D2158" t="s">
        <v>18</v>
      </c>
      <c r="E2158" t="s">
        <v>13</v>
      </c>
      <c r="F2158" s="4" t="s">
        <v>14</v>
      </c>
      <c r="G2158" s="4" t="s">
        <v>38</v>
      </c>
      <c r="H2158" s="4">
        <v>5</v>
      </c>
      <c r="I2158" s="4">
        <v>11</v>
      </c>
      <c r="J2158" s="1">
        <v>45604</v>
      </c>
      <c r="K2158" s="2">
        <v>3.4024305555555551E-2</v>
      </c>
      <c r="M2158" s="4" t="str">
        <f t="shared" si="99"/>
        <v>LOW</v>
      </c>
      <c r="N2158" s="4" t="str" cm="1">
        <f t="array" ref="N2158">_xlfn.IFS(C2158&gt;35,"HIGH",C2158&gt;25,"MIDDLE",TRUE,"LOW")</f>
        <v>MIDDLE</v>
      </c>
      <c r="O2158" s="4" t="str">
        <f t="shared" si="100"/>
        <v>OTHERS</v>
      </c>
      <c r="P2158" s="4" t="str">
        <f t="shared" si="101"/>
        <v>PREMINUM MORNING</v>
      </c>
    </row>
    <row r="2159" spans="1:16" x14ac:dyDescent="0.3">
      <c r="A2159" s="4">
        <v>11</v>
      </c>
      <c r="B2159" t="s">
        <v>11</v>
      </c>
      <c r="C2159" s="4">
        <v>35.76</v>
      </c>
      <c r="D2159" t="s">
        <v>29</v>
      </c>
      <c r="E2159" t="s">
        <v>13</v>
      </c>
      <c r="F2159" s="4" t="s">
        <v>14</v>
      </c>
      <c r="G2159" s="4" t="s">
        <v>38</v>
      </c>
      <c r="H2159" s="4">
        <v>5</v>
      </c>
      <c r="I2159" s="4">
        <v>11</v>
      </c>
      <c r="J2159" s="1">
        <v>45604</v>
      </c>
      <c r="K2159" s="2">
        <v>3.2770833333333332E-2</v>
      </c>
      <c r="M2159" s="4" t="str">
        <f t="shared" si="99"/>
        <v>HIGH</v>
      </c>
      <c r="N2159" s="4" t="str" cm="1">
        <f t="array" ref="N2159">_xlfn.IFS(C2159&gt;35,"HIGH",C2159&gt;25,"MIDDLE",TRUE,"LOW")</f>
        <v>HIGH</v>
      </c>
      <c r="O2159" s="4" t="str">
        <f t="shared" si="100"/>
        <v>PREMINUM MORNING</v>
      </c>
      <c r="P2159" s="4" t="str">
        <f t="shared" si="101"/>
        <v>PREMINUM MORNING</v>
      </c>
    </row>
    <row r="2160" spans="1:16" x14ac:dyDescent="0.3">
      <c r="A2160" s="4">
        <v>13</v>
      </c>
      <c r="B2160" t="s">
        <v>11</v>
      </c>
      <c r="C2160" s="4">
        <v>35.76</v>
      </c>
      <c r="D2160" t="s">
        <v>12</v>
      </c>
      <c r="E2160" t="s">
        <v>17</v>
      </c>
      <c r="F2160" s="4" t="s">
        <v>14</v>
      </c>
      <c r="G2160" s="4" t="s">
        <v>38</v>
      </c>
      <c r="H2160" s="4">
        <v>5</v>
      </c>
      <c r="I2160" s="4">
        <v>11</v>
      </c>
      <c r="J2160" s="1">
        <v>45604</v>
      </c>
      <c r="K2160" s="2">
        <v>1.7516203703703704E-2</v>
      </c>
      <c r="M2160" s="4" t="str">
        <f t="shared" si="99"/>
        <v>HIGH</v>
      </c>
      <c r="N2160" s="4" t="str" cm="1">
        <f t="array" ref="N2160">_xlfn.IFS(C2160&gt;35,"HIGH",C2160&gt;25,"MIDDLE",TRUE,"LOW")</f>
        <v>HIGH</v>
      </c>
      <c r="O2160" s="4" t="str">
        <f t="shared" si="100"/>
        <v>OTHERS</v>
      </c>
      <c r="P2160" s="4" t="str">
        <f t="shared" si="101"/>
        <v>PREMINUM MORNING</v>
      </c>
    </row>
    <row r="2161" spans="1:16" x14ac:dyDescent="0.3">
      <c r="A2161" s="4">
        <v>13</v>
      </c>
      <c r="B2161" t="s">
        <v>11</v>
      </c>
      <c r="C2161" s="4">
        <v>35.76</v>
      </c>
      <c r="D2161" t="s">
        <v>12</v>
      </c>
      <c r="E2161" t="s">
        <v>17</v>
      </c>
      <c r="F2161" s="4" t="s">
        <v>14</v>
      </c>
      <c r="G2161" s="4" t="s">
        <v>38</v>
      </c>
      <c r="H2161" s="4">
        <v>5</v>
      </c>
      <c r="I2161" s="4">
        <v>11</v>
      </c>
      <c r="J2161" s="1">
        <v>45604</v>
      </c>
      <c r="K2161" s="2">
        <v>1.825925925925926E-2</v>
      </c>
      <c r="M2161" s="4" t="str">
        <f t="shared" si="99"/>
        <v>HIGH</v>
      </c>
      <c r="N2161" s="4" t="str" cm="1">
        <f t="array" ref="N2161">_xlfn.IFS(C2161&gt;35,"HIGH",C2161&gt;25,"MIDDLE",TRUE,"LOW")</f>
        <v>HIGH</v>
      </c>
      <c r="O2161" s="4" t="str">
        <f t="shared" si="100"/>
        <v>OTHERS</v>
      </c>
      <c r="P2161" s="4" t="str">
        <f t="shared" si="101"/>
        <v>PREMINUM MORNING</v>
      </c>
    </row>
    <row r="2162" spans="1:16" x14ac:dyDescent="0.3">
      <c r="A2162" s="4">
        <v>16</v>
      </c>
      <c r="B2162" t="s">
        <v>11</v>
      </c>
      <c r="C2162" s="4">
        <v>30.86</v>
      </c>
      <c r="D2162" t="s">
        <v>19</v>
      </c>
      <c r="E2162" t="s">
        <v>17</v>
      </c>
      <c r="F2162" s="4" t="s">
        <v>14</v>
      </c>
      <c r="G2162" s="4" t="s">
        <v>38</v>
      </c>
      <c r="H2162" s="4">
        <v>5</v>
      </c>
      <c r="I2162" s="4">
        <v>11</v>
      </c>
      <c r="J2162" s="1">
        <v>45604</v>
      </c>
      <c r="K2162" s="2">
        <v>2.2950231481481481E-2</v>
      </c>
      <c r="M2162" s="4" t="str">
        <f t="shared" si="99"/>
        <v>LOW</v>
      </c>
      <c r="N2162" s="4" t="str" cm="1">
        <f t="array" ref="N2162">_xlfn.IFS(C2162&gt;35,"HIGH",C2162&gt;25,"MIDDLE",TRUE,"LOW")</f>
        <v>MIDDLE</v>
      </c>
      <c r="O2162" s="4" t="str">
        <f t="shared" si="100"/>
        <v>OTHERS</v>
      </c>
      <c r="P2162" s="4" t="str">
        <f t="shared" si="101"/>
        <v>OTHERS</v>
      </c>
    </row>
    <row r="2163" spans="1:16" x14ac:dyDescent="0.3">
      <c r="A2163" s="4">
        <v>16</v>
      </c>
      <c r="B2163" t="s">
        <v>11</v>
      </c>
      <c r="C2163" s="4">
        <v>30.86</v>
      </c>
      <c r="D2163" t="s">
        <v>19</v>
      </c>
      <c r="E2163" t="s">
        <v>17</v>
      </c>
      <c r="F2163" s="4" t="s">
        <v>14</v>
      </c>
      <c r="G2163" s="4" t="s">
        <v>38</v>
      </c>
      <c r="H2163" s="4">
        <v>5</v>
      </c>
      <c r="I2163" s="4">
        <v>11</v>
      </c>
      <c r="J2163" s="1">
        <v>45604</v>
      </c>
      <c r="K2163" s="2">
        <v>3.8518518518518521E-2</v>
      </c>
      <c r="M2163" s="4" t="str">
        <f t="shared" si="99"/>
        <v>LOW</v>
      </c>
      <c r="N2163" s="4" t="str" cm="1">
        <f t="array" ref="N2163">_xlfn.IFS(C2163&gt;35,"HIGH",C2163&gt;25,"MIDDLE",TRUE,"LOW")</f>
        <v>MIDDLE</v>
      </c>
      <c r="O2163" s="4" t="str">
        <f t="shared" si="100"/>
        <v>OTHERS</v>
      </c>
      <c r="P2163" s="4" t="str">
        <f t="shared" si="101"/>
        <v>OTHERS</v>
      </c>
    </row>
    <row r="2164" spans="1:16" x14ac:dyDescent="0.3">
      <c r="A2164" s="4">
        <v>20</v>
      </c>
      <c r="B2164" t="s">
        <v>11</v>
      </c>
      <c r="C2164" s="4">
        <v>35.76</v>
      </c>
      <c r="D2164" t="s">
        <v>16</v>
      </c>
      <c r="E2164" t="s">
        <v>20</v>
      </c>
      <c r="F2164" s="4" t="s">
        <v>14</v>
      </c>
      <c r="G2164" s="4" t="s">
        <v>38</v>
      </c>
      <c r="H2164" s="4">
        <v>5</v>
      </c>
      <c r="I2164" s="4">
        <v>11</v>
      </c>
      <c r="J2164" s="1">
        <v>45604</v>
      </c>
      <c r="K2164" s="2">
        <v>9.4004629629629629E-3</v>
      </c>
      <c r="M2164" s="4" t="str">
        <f t="shared" si="99"/>
        <v>HIGH</v>
      </c>
      <c r="N2164" s="4" t="str" cm="1">
        <f t="array" ref="N2164">_xlfn.IFS(C2164&gt;35,"HIGH",C2164&gt;25,"MIDDLE",TRUE,"LOW")</f>
        <v>HIGH</v>
      </c>
      <c r="O2164" s="4" t="str">
        <f t="shared" si="100"/>
        <v>OTHERS</v>
      </c>
      <c r="P2164" s="4" t="str">
        <f t="shared" si="101"/>
        <v>PREMINUM MORNING</v>
      </c>
    </row>
    <row r="2165" spans="1:16" x14ac:dyDescent="0.3">
      <c r="A2165" s="4">
        <v>20</v>
      </c>
      <c r="B2165" t="s">
        <v>11</v>
      </c>
      <c r="C2165" s="4">
        <v>35.76</v>
      </c>
      <c r="D2165" t="s">
        <v>16</v>
      </c>
      <c r="E2165" t="s">
        <v>20</v>
      </c>
      <c r="F2165" s="4" t="s">
        <v>14</v>
      </c>
      <c r="G2165" s="4" t="s">
        <v>38</v>
      </c>
      <c r="H2165" s="4">
        <v>5</v>
      </c>
      <c r="I2165" s="4">
        <v>11</v>
      </c>
      <c r="J2165" s="1">
        <v>45604</v>
      </c>
      <c r="K2165" s="2">
        <v>1.0003472222222221E-2</v>
      </c>
      <c r="M2165" s="4" t="str">
        <f t="shared" si="99"/>
        <v>HIGH</v>
      </c>
      <c r="N2165" s="4" t="str" cm="1">
        <f t="array" ref="N2165">_xlfn.IFS(C2165&gt;35,"HIGH",C2165&gt;25,"MIDDLE",TRUE,"LOW")</f>
        <v>HIGH</v>
      </c>
      <c r="O2165" s="4" t="str">
        <f t="shared" si="100"/>
        <v>OTHERS</v>
      </c>
      <c r="P2165" s="4" t="str">
        <f t="shared" si="101"/>
        <v>PREMINUM MORNING</v>
      </c>
    </row>
    <row r="2166" spans="1:16" x14ac:dyDescent="0.3">
      <c r="A2166" s="4">
        <v>20</v>
      </c>
      <c r="B2166" t="s">
        <v>11</v>
      </c>
      <c r="C2166" s="4">
        <v>35.76</v>
      </c>
      <c r="D2166" t="s">
        <v>16</v>
      </c>
      <c r="E2166" t="s">
        <v>20</v>
      </c>
      <c r="F2166" s="4" t="s">
        <v>14</v>
      </c>
      <c r="G2166" s="4" t="s">
        <v>38</v>
      </c>
      <c r="H2166" s="4">
        <v>5</v>
      </c>
      <c r="I2166" s="4">
        <v>11</v>
      </c>
      <c r="J2166" s="1">
        <v>45604</v>
      </c>
      <c r="K2166" s="3">
        <v>0.84398148148148144</v>
      </c>
      <c r="M2166" s="4" t="str">
        <f t="shared" si="99"/>
        <v>HIGH</v>
      </c>
      <c r="N2166" s="4" t="str" cm="1">
        <f t="array" ref="N2166">_xlfn.IFS(C2166&gt;35,"HIGH",C2166&gt;25,"MIDDLE",TRUE,"LOW")</f>
        <v>HIGH</v>
      </c>
      <c r="O2166" s="4" t="str">
        <f t="shared" si="100"/>
        <v>OTHERS</v>
      </c>
      <c r="P2166" s="4" t="str">
        <f t="shared" si="101"/>
        <v>PREMINUM MORNING</v>
      </c>
    </row>
    <row r="2167" spans="1:16" x14ac:dyDescent="0.3">
      <c r="A2167" s="4">
        <v>22</v>
      </c>
      <c r="B2167" t="s">
        <v>11</v>
      </c>
      <c r="C2167" s="4">
        <v>35.76</v>
      </c>
      <c r="D2167" t="s">
        <v>12</v>
      </c>
      <c r="E2167" t="s">
        <v>20</v>
      </c>
      <c r="F2167" s="4" t="s">
        <v>14</v>
      </c>
      <c r="G2167" s="4" t="s">
        <v>38</v>
      </c>
      <c r="H2167" s="4">
        <v>5</v>
      </c>
      <c r="I2167" s="4">
        <v>11</v>
      </c>
      <c r="J2167" s="1">
        <v>45604</v>
      </c>
      <c r="K2167" s="2">
        <v>1.8862268518518518E-2</v>
      </c>
      <c r="M2167" s="4" t="str">
        <f t="shared" si="99"/>
        <v>HIGH</v>
      </c>
      <c r="N2167" s="4" t="str" cm="1">
        <f t="array" ref="N2167">_xlfn.IFS(C2167&gt;35,"HIGH",C2167&gt;25,"MIDDLE",TRUE,"LOW")</f>
        <v>HIGH</v>
      </c>
      <c r="O2167" s="4" t="str">
        <f t="shared" si="100"/>
        <v>OTHERS</v>
      </c>
      <c r="P2167" s="4" t="str">
        <f t="shared" si="101"/>
        <v>PREMINUM MORNING</v>
      </c>
    </row>
    <row r="2168" spans="1:16" x14ac:dyDescent="0.3">
      <c r="A2168" s="4">
        <v>10</v>
      </c>
      <c r="B2168" t="s">
        <v>11</v>
      </c>
      <c r="C2168" s="4">
        <v>30.86</v>
      </c>
      <c r="D2168" t="s">
        <v>19</v>
      </c>
      <c r="E2168" t="s">
        <v>13</v>
      </c>
      <c r="F2168" s="4" t="s">
        <v>22</v>
      </c>
      <c r="G2168" s="4" t="s">
        <v>38</v>
      </c>
      <c r="H2168" s="4">
        <v>6</v>
      </c>
      <c r="I2168" s="4">
        <v>11</v>
      </c>
      <c r="J2168" s="1">
        <v>45605</v>
      </c>
      <c r="K2168" s="2">
        <v>5.7731481481481479E-3</v>
      </c>
      <c r="M2168" s="4" t="str">
        <f t="shared" si="99"/>
        <v>LOW</v>
      </c>
      <c r="N2168" s="4" t="str" cm="1">
        <f t="array" ref="N2168">_xlfn.IFS(C2168&gt;35,"HIGH",C2168&gt;25,"MIDDLE",TRUE,"LOW")</f>
        <v>MIDDLE</v>
      </c>
      <c r="O2168" s="4" t="str">
        <f t="shared" si="100"/>
        <v>OTHERS</v>
      </c>
      <c r="P2168" s="4" t="str">
        <f t="shared" si="101"/>
        <v>PREMINUM MORNING</v>
      </c>
    </row>
    <row r="2169" spans="1:16" x14ac:dyDescent="0.3">
      <c r="A2169" s="4">
        <v>11</v>
      </c>
      <c r="B2169" t="s">
        <v>11</v>
      </c>
      <c r="C2169" s="4">
        <v>25.96</v>
      </c>
      <c r="D2169" t="s">
        <v>24</v>
      </c>
      <c r="E2169" t="s">
        <v>13</v>
      </c>
      <c r="F2169" s="4" t="s">
        <v>22</v>
      </c>
      <c r="G2169" s="4" t="s">
        <v>38</v>
      </c>
      <c r="H2169" s="4">
        <v>6</v>
      </c>
      <c r="I2169" s="4">
        <v>11</v>
      </c>
      <c r="J2169" s="1">
        <v>45605</v>
      </c>
      <c r="K2169" s="2">
        <v>1.4814814814814814E-3</v>
      </c>
      <c r="M2169" s="4" t="str">
        <f t="shared" si="99"/>
        <v>LOW</v>
      </c>
      <c r="N2169" s="4" t="str" cm="1">
        <f t="array" ref="N2169">_xlfn.IFS(C2169&gt;35,"HIGH",C2169&gt;25,"MIDDLE",TRUE,"LOW")</f>
        <v>MIDDLE</v>
      </c>
      <c r="O2169" s="4" t="str">
        <f t="shared" si="100"/>
        <v>OTHERS</v>
      </c>
      <c r="P2169" s="4" t="str">
        <f t="shared" si="101"/>
        <v>PREMINUM MORNING</v>
      </c>
    </row>
    <row r="2170" spans="1:16" x14ac:dyDescent="0.3">
      <c r="A2170" s="4">
        <v>11</v>
      </c>
      <c r="B2170" t="s">
        <v>11</v>
      </c>
      <c r="C2170" s="4">
        <v>25.96</v>
      </c>
      <c r="D2170" t="s">
        <v>24</v>
      </c>
      <c r="E2170" t="s">
        <v>13</v>
      </c>
      <c r="F2170" s="4" t="s">
        <v>22</v>
      </c>
      <c r="G2170" s="4" t="s">
        <v>38</v>
      </c>
      <c r="H2170" s="4">
        <v>6</v>
      </c>
      <c r="I2170" s="4">
        <v>11</v>
      </c>
      <c r="J2170" s="1">
        <v>45605</v>
      </c>
      <c r="K2170" s="2">
        <v>2.0902777777777777E-3</v>
      </c>
      <c r="M2170" s="4" t="str">
        <f t="shared" si="99"/>
        <v>LOW</v>
      </c>
      <c r="N2170" s="4" t="str" cm="1">
        <f t="array" ref="N2170">_xlfn.IFS(C2170&gt;35,"HIGH",C2170&gt;25,"MIDDLE",TRUE,"LOW")</f>
        <v>MIDDLE</v>
      </c>
      <c r="O2170" s="4" t="str">
        <f t="shared" si="100"/>
        <v>OTHERS</v>
      </c>
      <c r="P2170" s="4" t="str">
        <f t="shared" si="101"/>
        <v>PREMINUM MORNING</v>
      </c>
    </row>
    <row r="2171" spans="1:16" x14ac:dyDescent="0.3">
      <c r="A2171" s="4">
        <v>11</v>
      </c>
      <c r="B2171" t="s">
        <v>11</v>
      </c>
      <c r="C2171" s="4">
        <v>35.76</v>
      </c>
      <c r="D2171" t="s">
        <v>12</v>
      </c>
      <c r="E2171" t="s">
        <v>13</v>
      </c>
      <c r="F2171" s="4" t="s">
        <v>22</v>
      </c>
      <c r="G2171" s="4" t="s">
        <v>38</v>
      </c>
      <c r="H2171" s="4">
        <v>6</v>
      </c>
      <c r="I2171" s="4">
        <v>11</v>
      </c>
      <c r="J2171" s="1">
        <v>45605</v>
      </c>
      <c r="K2171" s="2">
        <v>6.0671296296296298E-3</v>
      </c>
      <c r="M2171" s="4" t="str">
        <f t="shared" si="99"/>
        <v>HIGH</v>
      </c>
      <c r="N2171" s="4" t="str" cm="1">
        <f t="array" ref="N2171">_xlfn.IFS(C2171&gt;35,"HIGH",C2171&gt;25,"MIDDLE",TRUE,"LOW")</f>
        <v>HIGH</v>
      </c>
      <c r="O2171" s="4" t="str">
        <f t="shared" si="100"/>
        <v>PREMINUM MORNING</v>
      </c>
      <c r="P2171" s="4" t="str">
        <f t="shared" si="101"/>
        <v>PREMINUM MORNING</v>
      </c>
    </row>
    <row r="2172" spans="1:16" x14ac:dyDescent="0.3">
      <c r="A2172" s="4">
        <v>13</v>
      </c>
      <c r="B2172" t="s">
        <v>11</v>
      </c>
      <c r="C2172" s="4">
        <v>35.76</v>
      </c>
      <c r="D2172" t="s">
        <v>16</v>
      </c>
      <c r="E2172" t="s">
        <v>17</v>
      </c>
      <c r="F2172" s="4" t="s">
        <v>22</v>
      </c>
      <c r="G2172" s="4" t="s">
        <v>38</v>
      </c>
      <c r="H2172" s="4">
        <v>6</v>
      </c>
      <c r="I2172" s="4">
        <v>11</v>
      </c>
      <c r="J2172" s="1">
        <v>45605</v>
      </c>
      <c r="K2172" s="2">
        <v>3.489236111111111E-2</v>
      </c>
      <c r="M2172" s="4" t="str">
        <f t="shared" si="99"/>
        <v>HIGH</v>
      </c>
      <c r="N2172" s="4" t="str" cm="1">
        <f t="array" ref="N2172">_xlfn.IFS(C2172&gt;35,"HIGH",C2172&gt;25,"MIDDLE",TRUE,"LOW")</f>
        <v>HIGH</v>
      </c>
      <c r="O2172" s="4" t="str">
        <f t="shared" si="100"/>
        <v>OTHERS</v>
      </c>
      <c r="P2172" s="4" t="str">
        <f t="shared" si="101"/>
        <v>PREMINUM MORNING</v>
      </c>
    </row>
    <row r="2173" spans="1:16" x14ac:dyDescent="0.3">
      <c r="A2173" s="4">
        <v>13</v>
      </c>
      <c r="B2173" t="s">
        <v>11</v>
      </c>
      <c r="C2173" s="4">
        <v>35.76</v>
      </c>
      <c r="D2173" t="s">
        <v>16</v>
      </c>
      <c r="E2173" t="s">
        <v>17</v>
      </c>
      <c r="F2173" s="4" t="s">
        <v>22</v>
      </c>
      <c r="G2173" s="4" t="s">
        <v>38</v>
      </c>
      <c r="H2173" s="4">
        <v>6</v>
      </c>
      <c r="I2173" s="4">
        <v>11</v>
      </c>
      <c r="J2173" s="1">
        <v>45605</v>
      </c>
      <c r="K2173" s="2">
        <v>3.5361111111111107E-2</v>
      </c>
      <c r="M2173" s="4" t="str">
        <f t="shared" si="99"/>
        <v>HIGH</v>
      </c>
      <c r="N2173" s="4" t="str" cm="1">
        <f t="array" ref="N2173">_xlfn.IFS(C2173&gt;35,"HIGH",C2173&gt;25,"MIDDLE",TRUE,"LOW")</f>
        <v>HIGH</v>
      </c>
      <c r="O2173" s="4" t="str">
        <f t="shared" si="100"/>
        <v>OTHERS</v>
      </c>
      <c r="P2173" s="4" t="str">
        <f t="shared" si="101"/>
        <v>PREMINUM MORNING</v>
      </c>
    </row>
    <row r="2174" spans="1:16" x14ac:dyDescent="0.3">
      <c r="A2174" s="4">
        <v>14</v>
      </c>
      <c r="B2174" t="s">
        <v>11</v>
      </c>
      <c r="C2174" s="4">
        <v>35.76</v>
      </c>
      <c r="D2174" t="s">
        <v>16</v>
      </c>
      <c r="E2174" t="s">
        <v>17</v>
      </c>
      <c r="F2174" s="4" t="s">
        <v>22</v>
      </c>
      <c r="G2174" s="4" t="s">
        <v>38</v>
      </c>
      <c r="H2174" s="4">
        <v>6</v>
      </c>
      <c r="I2174" s="4">
        <v>11</v>
      </c>
      <c r="J2174" s="1">
        <v>45605</v>
      </c>
      <c r="K2174" s="2">
        <v>1.5180555555555555E-2</v>
      </c>
      <c r="M2174" s="4" t="str">
        <f t="shared" si="99"/>
        <v>HIGH</v>
      </c>
      <c r="N2174" s="4" t="str" cm="1">
        <f t="array" ref="N2174">_xlfn.IFS(C2174&gt;35,"HIGH",C2174&gt;25,"MIDDLE",TRUE,"LOW")</f>
        <v>HIGH</v>
      </c>
      <c r="O2174" s="4" t="str">
        <f t="shared" si="100"/>
        <v>OTHERS</v>
      </c>
      <c r="P2174" s="4" t="str">
        <f t="shared" si="101"/>
        <v>PREMINUM MORNING</v>
      </c>
    </row>
    <row r="2175" spans="1:16" x14ac:dyDescent="0.3">
      <c r="A2175" s="4">
        <v>14</v>
      </c>
      <c r="B2175" t="s">
        <v>11</v>
      </c>
      <c r="C2175" s="4">
        <v>35.76</v>
      </c>
      <c r="D2175" t="s">
        <v>16</v>
      </c>
      <c r="E2175" t="s">
        <v>17</v>
      </c>
      <c r="F2175" s="4" t="s">
        <v>22</v>
      </c>
      <c r="G2175" s="4" t="s">
        <v>38</v>
      </c>
      <c r="H2175" s="4">
        <v>6</v>
      </c>
      <c r="I2175" s="4">
        <v>11</v>
      </c>
      <c r="J2175" s="1">
        <v>45605</v>
      </c>
      <c r="K2175" s="2">
        <v>1.5861111111111111E-2</v>
      </c>
      <c r="M2175" s="4" t="str">
        <f t="shared" si="99"/>
        <v>HIGH</v>
      </c>
      <c r="N2175" s="4" t="str" cm="1">
        <f t="array" ref="N2175">_xlfn.IFS(C2175&gt;35,"HIGH",C2175&gt;25,"MIDDLE",TRUE,"LOW")</f>
        <v>HIGH</v>
      </c>
      <c r="O2175" s="4" t="str">
        <f t="shared" si="100"/>
        <v>OTHERS</v>
      </c>
      <c r="P2175" s="4" t="str">
        <f t="shared" si="101"/>
        <v>PREMINUM MORNING</v>
      </c>
    </row>
    <row r="2176" spans="1:16" x14ac:dyDescent="0.3">
      <c r="A2176" s="4">
        <v>14</v>
      </c>
      <c r="B2176" t="s">
        <v>11</v>
      </c>
      <c r="C2176" s="4">
        <v>25.96</v>
      </c>
      <c r="D2176" t="s">
        <v>18</v>
      </c>
      <c r="E2176" t="s">
        <v>17</v>
      </c>
      <c r="F2176" s="4" t="s">
        <v>22</v>
      </c>
      <c r="G2176" s="4" t="s">
        <v>38</v>
      </c>
      <c r="H2176" s="4">
        <v>6</v>
      </c>
      <c r="I2176" s="4">
        <v>11</v>
      </c>
      <c r="J2176" s="1">
        <v>45605</v>
      </c>
      <c r="K2176" s="2">
        <v>2.6078703703703701E-2</v>
      </c>
      <c r="M2176" s="4" t="str">
        <f t="shared" si="99"/>
        <v>LOW</v>
      </c>
      <c r="N2176" s="4" t="str" cm="1">
        <f t="array" ref="N2176">_xlfn.IFS(C2176&gt;35,"HIGH",C2176&gt;25,"MIDDLE",TRUE,"LOW")</f>
        <v>MIDDLE</v>
      </c>
      <c r="O2176" s="4" t="str">
        <f t="shared" si="100"/>
        <v>OTHERS</v>
      </c>
      <c r="P2176" s="4" t="str">
        <f t="shared" si="101"/>
        <v>OTHERS</v>
      </c>
    </row>
    <row r="2177" spans="1:16" x14ac:dyDescent="0.3">
      <c r="A2177" s="4">
        <v>15</v>
      </c>
      <c r="B2177" t="s">
        <v>11</v>
      </c>
      <c r="C2177" s="4">
        <v>30.86</v>
      </c>
      <c r="D2177" t="s">
        <v>19</v>
      </c>
      <c r="E2177" t="s">
        <v>17</v>
      </c>
      <c r="F2177" s="4" t="s">
        <v>22</v>
      </c>
      <c r="G2177" s="4" t="s">
        <v>38</v>
      </c>
      <c r="H2177" s="4">
        <v>6</v>
      </c>
      <c r="I2177" s="4">
        <v>11</v>
      </c>
      <c r="J2177" s="1">
        <v>45605</v>
      </c>
      <c r="K2177" s="2">
        <v>2.0728009259259262E-2</v>
      </c>
      <c r="M2177" s="4" t="str">
        <f t="shared" si="99"/>
        <v>LOW</v>
      </c>
      <c r="N2177" s="4" t="str" cm="1">
        <f t="array" ref="N2177">_xlfn.IFS(C2177&gt;35,"HIGH",C2177&gt;25,"MIDDLE",TRUE,"LOW")</f>
        <v>MIDDLE</v>
      </c>
      <c r="O2177" s="4" t="str">
        <f t="shared" si="100"/>
        <v>OTHERS</v>
      </c>
      <c r="P2177" s="4" t="str">
        <f t="shared" si="101"/>
        <v>OTHERS</v>
      </c>
    </row>
    <row r="2178" spans="1:16" x14ac:dyDescent="0.3">
      <c r="A2178" s="4">
        <v>16</v>
      </c>
      <c r="B2178" t="s">
        <v>11</v>
      </c>
      <c r="C2178" s="4">
        <v>35.76</v>
      </c>
      <c r="D2178" t="s">
        <v>12</v>
      </c>
      <c r="E2178" t="s">
        <v>17</v>
      </c>
      <c r="F2178" s="4" t="s">
        <v>22</v>
      </c>
      <c r="G2178" s="4" t="s">
        <v>38</v>
      </c>
      <c r="H2178" s="4">
        <v>6</v>
      </c>
      <c r="I2178" s="4">
        <v>11</v>
      </c>
      <c r="J2178" s="1">
        <v>45605</v>
      </c>
      <c r="K2178" s="2">
        <v>1.0969907407407407E-2</v>
      </c>
      <c r="M2178" s="4" t="str">
        <f t="shared" si="99"/>
        <v>HIGH</v>
      </c>
      <c r="N2178" s="4" t="str" cm="1">
        <f t="array" ref="N2178">_xlfn.IFS(C2178&gt;35,"HIGH",C2178&gt;25,"MIDDLE",TRUE,"LOW")</f>
        <v>HIGH</v>
      </c>
      <c r="O2178" s="4" t="str">
        <f t="shared" si="100"/>
        <v>OTHERS</v>
      </c>
      <c r="P2178" s="4" t="str">
        <f t="shared" si="101"/>
        <v>PREMINUM MORNING</v>
      </c>
    </row>
    <row r="2179" spans="1:16" x14ac:dyDescent="0.3">
      <c r="A2179" s="4">
        <v>16</v>
      </c>
      <c r="B2179" t="s">
        <v>11</v>
      </c>
      <c r="C2179" s="4">
        <v>35.76</v>
      </c>
      <c r="D2179" t="s">
        <v>21</v>
      </c>
      <c r="E2179" t="s">
        <v>17</v>
      </c>
      <c r="F2179" s="4" t="s">
        <v>22</v>
      </c>
      <c r="G2179" s="4" t="s">
        <v>38</v>
      </c>
      <c r="H2179" s="4">
        <v>6</v>
      </c>
      <c r="I2179" s="4">
        <v>11</v>
      </c>
      <c r="J2179" s="1">
        <v>45605</v>
      </c>
      <c r="K2179" s="2">
        <v>1.1717592592592592E-2</v>
      </c>
      <c r="M2179" s="4" t="str">
        <f t="shared" ref="M2179:M2242" si="102">IF(C2179&gt;35,"HIGH","LOW")</f>
        <v>HIGH</v>
      </c>
      <c r="N2179" s="4" t="str" cm="1">
        <f t="array" ref="N2179">_xlfn.IFS(C2179&gt;35,"HIGH",C2179&gt;25,"MIDDLE",TRUE,"LOW")</f>
        <v>HIGH</v>
      </c>
      <c r="O2179" s="4" t="str">
        <f t="shared" ref="O2179:O2242" si="103">IF(AND(C2179&gt;35,E2179="MORNING"),"PREMINUM MORNING","OTHERS")</f>
        <v>OTHERS</v>
      </c>
      <c r="P2179" s="4" t="str">
        <f t="shared" ref="P2179:P2242" si="104">IF(OR(C2179&gt;35,E2179="MORNING"),"PREMINUM MORNING","OTHERS")</f>
        <v>PREMINUM MORNING</v>
      </c>
    </row>
    <row r="2180" spans="1:16" x14ac:dyDescent="0.3">
      <c r="A2180" s="4">
        <v>20</v>
      </c>
      <c r="B2180" t="s">
        <v>11</v>
      </c>
      <c r="C2180" s="4">
        <v>25.96</v>
      </c>
      <c r="D2180" t="s">
        <v>18</v>
      </c>
      <c r="E2180" t="s">
        <v>20</v>
      </c>
      <c r="F2180" s="4" t="s">
        <v>22</v>
      </c>
      <c r="G2180" s="4" t="s">
        <v>38</v>
      </c>
      <c r="H2180" s="4">
        <v>6</v>
      </c>
      <c r="I2180" s="4">
        <v>11</v>
      </c>
      <c r="J2180" s="1">
        <v>45605</v>
      </c>
      <c r="K2180" s="2">
        <v>2.9218750000000002E-2</v>
      </c>
      <c r="M2180" s="4" t="str">
        <f t="shared" si="102"/>
        <v>LOW</v>
      </c>
      <c r="N2180" s="4" t="str" cm="1">
        <f t="array" ref="N2180">_xlfn.IFS(C2180&gt;35,"HIGH",C2180&gt;25,"MIDDLE",TRUE,"LOW")</f>
        <v>MIDDLE</v>
      </c>
      <c r="O2180" s="4" t="str">
        <f t="shared" si="103"/>
        <v>OTHERS</v>
      </c>
      <c r="P2180" s="4" t="str">
        <f t="shared" si="104"/>
        <v>OTHERS</v>
      </c>
    </row>
    <row r="2181" spans="1:16" x14ac:dyDescent="0.3">
      <c r="A2181" s="4">
        <v>20</v>
      </c>
      <c r="B2181" t="s">
        <v>11</v>
      </c>
      <c r="C2181" s="4">
        <v>35.76</v>
      </c>
      <c r="D2181" t="s">
        <v>12</v>
      </c>
      <c r="E2181" t="s">
        <v>20</v>
      </c>
      <c r="F2181" s="4" t="s">
        <v>22</v>
      </c>
      <c r="G2181" s="4" t="s">
        <v>38</v>
      </c>
      <c r="H2181" s="4">
        <v>6</v>
      </c>
      <c r="I2181" s="4">
        <v>11</v>
      </c>
      <c r="J2181" s="1">
        <v>45605</v>
      </c>
      <c r="K2181" s="2">
        <v>3.017939814814815E-2</v>
      </c>
      <c r="M2181" s="4" t="str">
        <f t="shared" si="102"/>
        <v>HIGH</v>
      </c>
      <c r="N2181" s="4" t="str" cm="1">
        <f t="array" ref="N2181">_xlfn.IFS(C2181&gt;35,"HIGH",C2181&gt;25,"MIDDLE",TRUE,"LOW")</f>
        <v>HIGH</v>
      </c>
      <c r="O2181" s="4" t="str">
        <f t="shared" si="103"/>
        <v>OTHERS</v>
      </c>
      <c r="P2181" s="4" t="str">
        <f t="shared" si="104"/>
        <v>PREMINUM MORNING</v>
      </c>
    </row>
    <row r="2182" spans="1:16" x14ac:dyDescent="0.3">
      <c r="A2182" s="4">
        <v>22</v>
      </c>
      <c r="B2182" t="s">
        <v>11</v>
      </c>
      <c r="C2182" s="4">
        <v>35.76</v>
      </c>
      <c r="D2182" t="s">
        <v>21</v>
      </c>
      <c r="E2182" t="s">
        <v>20</v>
      </c>
      <c r="F2182" s="4" t="s">
        <v>22</v>
      </c>
      <c r="G2182" s="4" t="s">
        <v>38</v>
      </c>
      <c r="H2182" s="4">
        <v>6</v>
      </c>
      <c r="I2182" s="4">
        <v>11</v>
      </c>
      <c r="J2182" s="1">
        <v>45605</v>
      </c>
      <c r="K2182" s="2">
        <v>9.3483796296296301E-3</v>
      </c>
      <c r="M2182" s="4" t="str">
        <f t="shared" si="102"/>
        <v>HIGH</v>
      </c>
      <c r="N2182" s="4" t="str" cm="1">
        <f t="array" ref="N2182">_xlfn.IFS(C2182&gt;35,"HIGH",C2182&gt;25,"MIDDLE",TRUE,"LOW")</f>
        <v>HIGH</v>
      </c>
      <c r="O2182" s="4" t="str">
        <f t="shared" si="103"/>
        <v>OTHERS</v>
      </c>
      <c r="P2182" s="4" t="str">
        <f t="shared" si="104"/>
        <v>PREMINUM MORNING</v>
      </c>
    </row>
    <row r="2183" spans="1:16" x14ac:dyDescent="0.3">
      <c r="A2183" s="4">
        <v>22</v>
      </c>
      <c r="B2183" t="s">
        <v>11</v>
      </c>
      <c r="C2183" s="4">
        <v>25.96</v>
      </c>
      <c r="D2183" t="s">
        <v>18</v>
      </c>
      <c r="E2183" t="s">
        <v>20</v>
      </c>
      <c r="F2183" s="4" t="s">
        <v>22</v>
      </c>
      <c r="G2183" s="4" t="s">
        <v>38</v>
      </c>
      <c r="H2183" s="4">
        <v>6</v>
      </c>
      <c r="I2183" s="4">
        <v>11</v>
      </c>
      <c r="J2183" s="1">
        <v>45605</v>
      </c>
      <c r="K2183" s="2">
        <v>3.6783564814814811E-2</v>
      </c>
      <c r="M2183" s="4" t="str">
        <f t="shared" si="102"/>
        <v>LOW</v>
      </c>
      <c r="N2183" s="4" t="str" cm="1">
        <f t="array" ref="N2183">_xlfn.IFS(C2183&gt;35,"HIGH",C2183&gt;25,"MIDDLE",TRUE,"LOW")</f>
        <v>MIDDLE</v>
      </c>
      <c r="O2183" s="4" t="str">
        <f t="shared" si="103"/>
        <v>OTHERS</v>
      </c>
      <c r="P2183" s="4" t="str">
        <f t="shared" si="104"/>
        <v>OTHERS</v>
      </c>
    </row>
    <row r="2184" spans="1:16" x14ac:dyDescent="0.3">
      <c r="A2184" s="4">
        <v>22</v>
      </c>
      <c r="B2184" t="s">
        <v>11</v>
      </c>
      <c r="C2184" s="4">
        <v>25.96</v>
      </c>
      <c r="D2184" t="s">
        <v>18</v>
      </c>
      <c r="E2184" t="s">
        <v>20</v>
      </c>
      <c r="F2184" s="4" t="s">
        <v>22</v>
      </c>
      <c r="G2184" s="4" t="s">
        <v>38</v>
      </c>
      <c r="H2184" s="4">
        <v>6</v>
      </c>
      <c r="I2184" s="4">
        <v>11</v>
      </c>
      <c r="J2184" s="1">
        <v>45605</v>
      </c>
      <c r="K2184" s="2">
        <v>3.7721064814814811E-2</v>
      </c>
      <c r="M2184" s="4" t="str">
        <f t="shared" si="102"/>
        <v>LOW</v>
      </c>
      <c r="N2184" s="4" t="str" cm="1">
        <f t="array" ref="N2184">_xlfn.IFS(C2184&gt;35,"HIGH",C2184&gt;25,"MIDDLE",TRUE,"LOW")</f>
        <v>MIDDLE</v>
      </c>
      <c r="O2184" s="4" t="str">
        <f t="shared" si="103"/>
        <v>OTHERS</v>
      </c>
      <c r="P2184" s="4" t="str">
        <f t="shared" si="104"/>
        <v>OTHERS</v>
      </c>
    </row>
    <row r="2185" spans="1:16" x14ac:dyDescent="0.3">
      <c r="A2185" s="4">
        <v>9</v>
      </c>
      <c r="B2185" t="s">
        <v>11</v>
      </c>
      <c r="C2185" s="4">
        <v>25.96</v>
      </c>
      <c r="D2185" t="s">
        <v>18</v>
      </c>
      <c r="E2185" t="s">
        <v>13</v>
      </c>
      <c r="F2185" s="4" t="s">
        <v>23</v>
      </c>
      <c r="G2185" s="4" t="s">
        <v>38</v>
      </c>
      <c r="H2185" s="4">
        <v>7</v>
      </c>
      <c r="I2185" s="4">
        <v>11</v>
      </c>
      <c r="J2185" s="1">
        <v>45606</v>
      </c>
      <c r="K2185" s="2">
        <v>3.2196759259259258E-2</v>
      </c>
      <c r="M2185" s="4" t="str">
        <f t="shared" si="102"/>
        <v>LOW</v>
      </c>
      <c r="N2185" s="4" t="str" cm="1">
        <f t="array" ref="N2185">_xlfn.IFS(C2185&gt;35,"HIGH",C2185&gt;25,"MIDDLE",TRUE,"LOW")</f>
        <v>MIDDLE</v>
      </c>
      <c r="O2185" s="4" t="str">
        <f t="shared" si="103"/>
        <v>OTHERS</v>
      </c>
      <c r="P2185" s="4" t="str">
        <f t="shared" si="104"/>
        <v>PREMINUM MORNING</v>
      </c>
    </row>
    <row r="2186" spans="1:16" x14ac:dyDescent="0.3">
      <c r="A2186" s="4">
        <v>17</v>
      </c>
      <c r="B2186" t="s">
        <v>11</v>
      </c>
      <c r="C2186" s="4">
        <v>35.76</v>
      </c>
      <c r="D2186" t="s">
        <v>21</v>
      </c>
      <c r="E2186" t="s">
        <v>20</v>
      </c>
      <c r="F2186" s="4" t="s">
        <v>23</v>
      </c>
      <c r="G2186" s="4" t="s">
        <v>38</v>
      </c>
      <c r="H2186" s="4">
        <v>7</v>
      </c>
      <c r="I2186" s="4">
        <v>11</v>
      </c>
      <c r="J2186" s="1">
        <v>45606</v>
      </c>
      <c r="K2186" s="2">
        <v>3.6665509259259259E-2</v>
      </c>
      <c r="M2186" s="4" t="str">
        <f t="shared" si="102"/>
        <v>HIGH</v>
      </c>
      <c r="N2186" s="4" t="str" cm="1">
        <f t="array" ref="N2186">_xlfn.IFS(C2186&gt;35,"HIGH",C2186&gt;25,"MIDDLE",TRUE,"LOW")</f>
        <v>HIGH</v>
      </c>
      <c r="O2186" s="4" t="str">
        <f t="shared" si="103"/>
        <v>OTHERS</v>
      </c>
      <c r="P2186" s="4" t="str">
        <f t="shared" si="104"/>
        <v>PREMINUM MORNING</v>
      </c>
    </row>
    <row r="2187" spans="1:16" x14ac:dyDescent="0.3">
      <c r="A2187" s="4">
        <v>18</v>
      </c>
      <c r="B2187" t="s">
        <v>11</v>
      </c>
      <c r="C2187" s="4">
        <v>35.76</v>
      </c>
      <c r="D2187" t="s">
        <v>16</v>
      </c>
      <c r="E2187" t="s">
        <v>20</v>
      </c>
      <c r="F2187" s="4" t="s">
        <v>23</v>
      </c>
      <c r="G2187" s="4" t="s">
        <v>38</v>
      </c>
      <c r="H2187" s="4">
        <v>7</v>
      </c>
      <c r="I2187" s="4">
        <v>11</v>
      </c>
      <c r="J2187" s="1">
        <v>45606</v>
      </c>
      <c r="K2187" s="2">
        <v>8.9513888888888889E-3</v>
      </c>
      <c r="M2187" s="4" t="str">
        <f t="shared" si="102"/>
        <v>HIGH</v>
      </c>
      <c r="N2187" s="4" t="str" cm="1">
        <f t="array" ref="N2187">_xlfn.IFS(C2187&gt;35,"HIGH",C2187&gt;25,"MIDDLE",TRUE,"LOW")</f>
        <v>HIGH</v>
      </c>
      <c r="O2187" s="4" t="str">
        <f t="shared" si="103"/>
        <v>OTHERS</v>
      </c>
      <c r="P2187" s="4" t="str">
        <f t="shared" si="104"/>
        <v>PREMINUM MORNING</v>
      </c>
    </row>
    <row r="2188" spans="1:16" x14ac:dyDescent="0.3">
      <c r="A2188" s="4">
        <v>18</v>
      </c>
      <c r="B2188" t="s">
        <v>11</v>
      </c>
      <c r="C2188" s="4">
        <v>35.76</v>
      </c>
      <c r="D2188" t="s">
        <v>16</v>
      </c>
      <c r="E2188" t="s">
        <v>20</v>
      </c>
      <c r="F2188" s="4" t="s">
        <v>23</v>
      </c>
      <c r="G2188" s="4" t="s">
        <v>38</v>
      </c>
      <c r="H2188" s="4">
        <v>7</v>
      </c>
      <c r="I2188" s="4">
        <v>11</v>
      </c>
      <c r="J2188" s="1">
        <v>45606</v>
      </c>
      <c r="K2188" s="2">
        <v>9.7638888888888897E-3</v>
      </c>
      <c r="M2188" s="4" t="str">
        <f t="shared" si="102"/>
        <v>HIGH</v>
      </c>
      <c r="N2188" s="4" t="str" cm="1">
        <f t="array" ref="N2188">_xlfn.IFS(C2188&gt;35,"HIGH",C2188&gt;25,"MIDDLE",TRUE,"LOW")</f>
        <v>HIGH</v>
      </c>
      <c r="O2188" s="4" t="str">
        <f t="shared" si="103"/>
        <v>OTHERS</v>
      </c>
      <c r="P2188" s="4" t="str">
        <f t="shared" si="104"/>
        <v>PREMINUM MORNING</v>
      </c>
    </row>
    <row r="2189" spans="1:16" x14ac:dyDescent="0.3">
      <c r="A2189" s="4">
        <v>20</v>
      </c>
      <c r="B2189" t="s">
        <v>11</v>
      </c>
      <c r="C2189" s="4">
        <v>35.76</v>
      </c>
      <c r="D2189" t="s">
        <v>29</v>
      </c>
      <c r="E2189" t="s">
        <v>20</v>
      </c>
      <c r="F2189" s="4" t="s">
        <v>23</v>
      </c>
      <c r="G2189" s="4" t="s">
        <v>38</v>
      </c>
      <c r="H2189" s="4">
        <v>7</v>
      </c>
      <c r="I2189" s="4">
        <v>11</v>
      </c>
      <c r="J2189" s="1">
        <v>45606</v>
      </c>
      <c r="K2189" s="2">
        <v>2.6482638888888889E-2</v>
      </c>
      <c r="M2189" s="4" t="str">
        <f t="shared" si="102"/>
        <v>HIGH</v>
      </c>
      <c r="N2189" s="4" t="str" cm="1">
        <f t="array" ref="N2189">_xlfn.IFS(C2189&gt;35,"HIGH",C2189&gt;25,"MIDDLE",TRUE,"LOW")</f>
        <v>HIGH</v>
      </c>
      <c r="O2189" s="4" t="str">
        <f t="shared" si="103"/>
        <v>OTHERS</v>
      </c>
      <c r="P2189" s="4" t="str">
        <f t="shared" si="104"/>
        <v>PREMINUM MORNING</v>
      </c>
    </row>
    <row r="2190" spans="1:16" x14ac:dyDescent="0.3">
      <c r="A2190" s="4">
        <v>20</v>
      </c>
      <c r="B2190" t="s">
        <v>11</v>
      </c>
      <c r="C2190" s="4">
        <v>35.76</v>
      </c>
      <c r="D2190" t="s">
        <v>29</v>
      </c>
      <c r="E2190" t="s">
        <v>20</v>
      </c>
      <c r="F2190" s="4" t="s">
        <v>23</v>
      </c>
      <c r="G2190" s="4" t="s">
        <v>38</v>
      </c>
      <c r="H2190" s="4">
        <v>7</v>
      </c>
      <c r="I2190" s="4">
        <v>11</v>
      </c>
      <c r="J2190" s="1">
        <v>45606</v>
      </c>
      <c r="K2190" s="2">
        <v>2.716203703703704E-2</v>
      </c>
      <c r="M2190" s="4" t="str">
        <f t="shared" si="102"/>
        <v>HIGH</v>
      </c>
      <c r="N2190" s="4" t="str" cm="1">
        <f t="array" ref="N2190">_xlfn.IFS(C2190&gt;35,"HIGH",C2190&gt;25,"MIDDLE",TRUE,"LOW")</f>
        <v>HIGH</v>
      </c>
      <c r="O2190" s="4" t="str">
        <f t="shared" si="103"/>
        <v>OTHERS</v>
      </c>
      <c r="P2190" s="4" t="str">
        <f t="shared" si="104"/>
        <v>PREMINUM MORNING</v>
      </c>
    </row>
    <row r="2191" spans="1:16" x14ac:dyDescent="0.3">
      <c r="A2191" s="4">
        <v>7</v>
      </c>
      <c r="B2191" t="s">
        <v>11</v>
      </c>
      <c r="C2191" s="4">
        <v>35.76</v>
      </c>
      <c r="D2191" t="s">
        <v>29</v>
      </c>
      <c r="E2191" t="s">
        <v>13</v>
      </c>
      <c r="F2191" s="4" t="s">
        <v>25</v>
      </c>
      <c r="G2191" s="4" t="s">
        <v>38</v>
      </c>
      <c r="H2191" s="4">
        <v>1</v>
      </c>
      <c r="I2191" s="4">
        <v>11</v>
      </c>
      <c r="J2191" s="1">
        <v>45607</v>
      </c>
      <c r="K2191" s="2">
        <v>3.3643518518518524E-2</v>
      </c>
      <c r="M2191" s="4" t="str">
        <f t="shared" si="102"/>
        <v>HIGH</v>
      </c>
      <c r="N2191" s="4" t="str" cm="1">
        <f t="array" ref="N2191">_xlfn.IFS(C2191&gt;35,"HIGH",C2191&gt;25,"MIDDLE",TRUE,"LOW")</f>
        <v>HIGH</v>
      </c>
      <c r="O2191" s="4" t="str">
        <f t="shared" si="103"/>
        <v>PREMINUM MORNING</v>
      </c>
      <c r="P2191" s="4" t="str">
        <f t="shared" si="104"/>
        <v>PREMINUM MORNING</v>
      </c>
    </row>
    <row r="2192" spans="1:16" x14ac:dyDescent="0.3">
      <c r="A2192" s="4">
        <v>9</v>
      </c>
      <c r="B2192" t="s">
        <v>11</v>
      </c>
      <c r="C2192" s="4">
        <v>30.86</v>
      </c>
      <c r="D2192" t="s">
        <v>19</v>
      </c>
      <c r="E2192" t="s">
        <v>13</v>
      </c>
      <c r="F2192" s="4" t="s">
        <v>25</v>
      </c>
      <c r="G2192" s="4" t="s">
        <v>38</v>
      </c>
      <c r="H2192" s="4">
        <v>1</v>
      </c>
      <c r="I2192" s="4">
        <v>11</v>
      </c>
      <c r="J2192" s="1">
        <v>45607</v>
      </c>
      <c r="K2192" s="2">
        <v>3.6409722222222225E-2</v>
      </c>
      <c r="M2192" s="4" t="str">
        <f t="shared" si="102"/>
        <v>LOW</v>
      </c>
      <c r="N2192" s="4" t="str" cm="1">
        <f t="array" ref="N2192">_xlfn.IFS(C2192&gt;35,"HIGH",C2192&gt;25,"MIDDLE",TRUE,"LOW")</f>
        <v>MIDDLE</v>
      </c>
      <c r="O2192" s="4" t="str">
        <f t="shared" si="103"/>
        <v>OTHERS</v>
      </c>
      <c r="P2192" s="4" t="str">
        <f t="shared" si="104"/>
        <v>PREMINUM MORNING</v>
      </c>
    </row>
    <row r="2193" spans="1:16" x14ac:dyDescent="0.3">
      <c r="A2193" s="4">
        <v>10</v>
      </c>
      <c r="B2193" t="s">
        <v>11</v>
      </c>
      <c r="C2193" s="4">
        <v>25.96</v>
      </c>
      <c r="D2193" t="s">
        <v>24</v>
      </c>
      <c r="E2193" t="s">
        <v>13</v>
      </c>
      <c r="F2193" s="4" t="s">
        <v>25</v>
      </c>
      <c r="G2193" s="4" t="s">
        <v>38</v>
      </c>
      <c r="H2193" s="4">
        <v>1</v>
      </c>
      <c r="I2193" s="4">
        <v>11</v>
      </c>
      <c r="J2193" s="1">
        <v>45607</v>
      </c>
      <c r="K2193" s="2">
        <v>1.3304398148148149E-2</v>
      </c>
      <c r="M2193" s="4" t="str">
        <f t="shared" si="102"/>
        <v>LOW</v>
      </c>
      <c r="N2193" s="4" t="str" cm="1">
        <f t="array" ref="N2193">_xlfn.IFS(C2193&gt;35,"HIGH",C2193&gt;25,"MIDDLE",TRUE,"LOW")</f>
        <v>MIDDLE</v>
      </c>
      <c r="O2193" s="4" t="str">
        <f t="shared" si="103"/>
        <v>OTHERS</v>
      </c>
      <c r="P2193" s="4" t="str">
        <f t="shared" si="104"/>
        <v>PREMINUM MORNING</v>
      </c>
    </row>
    <row r="2194" spans="1:16" x14ac:dyDescent="0.3">
      <c r="A2194" s="4">
        <v>16</v>
      </c>
      <c r="B2194" t="s">
        <v>11</v>
      </c>
      <c r="C2194" s="4">
        <v>35.76</v>
      </c>
      <c r="D2194" t="s">
        <v>29</v>
      </c>
      <c r="E2194" t="s">
        <v>17</v>
      </c>
      <c r="F2194" s="4" t="s">
        <v>25</v>
      </c>
      <c r="G2194" s="4" t="s">
        <v>38</v>
      </c>
      <c r="H2194" s="4">
        <v>1</v>
      </c>
      <c r="I2194" s="4">
        <v>11</v>
      </c>
      <c r="J2194" s="1">
        <v>45607</v>
      </c>
      <c r="K2194" s="3">
        <v>0.67967592592592596</v>
      </c>
      <c r="M2194" s="4" t="str">
        <f t="shared" si="102"/>
        <v>HIGH</v>
      </c>
      <c r="N2194" s="4" t="str" cm="1">
        <f t="array" ref="N2194">_xlfn.IFS(C2194&gt;35,"HIGH",C2194&gt;25,"MIDDLE",TRUE,"LOW")</f>
        <v>HIGH</v>
      </c>
      <c r="O2194" s="4" t="str">
        <f t="shared" si="103"/>
        <v>OTHERS</v>
      </c>
      <c r="P2194" s="4" t="str">
        <f t="shared" si="104"/>
        <v>PREMINUM MORNING</v>
      </c>
    </row>
    <row r="2195" spans="1:16" x14ac:dyDescent="0.3">
      <c r="A2195" s="4">
        <v>16</v>
      </c>
      <c r="B2195" t="s">
        <v>11</v>
      </c>
      <c r="C2195" s="4">
        <v>35.76</v>
      </c>
      <c r="D2195" t="s">
        <v>16</v>
      </c>
      <c r="E2195" t="s">
        <v>17</v>
      </c>
      <c r="F2195" s="4" t="s">
        <v>25</v>
      </c>
      <c r="G2195" s="4" t="s">
        <v>38</v>
      </c>
      <c r="H2195" s="4">
        <v>1</v>
      </c>
      <c r="I2195" s="4">
        <v>11</v>
      </c>
      <c r="J2195" s="1">
        <v>45607</v>
      </c>
      <c r="K2195" s="2">
        <v>1.3804398148148149E-2</v>
      </c>
      <c r="M2195" s="4" t="str">
        <f t="shared" si="102"/>
        <v>HIGH</v>
      </c>
      <c r="N2195" s="4" t="str" cm="1">
        <f t="array" ref="N2195">_xlfn.IFS(C2195&gt;35,"HIGH",C2195&gt;25,"MIDDLE",TRUE,"LOW")</f>
        <v>HIGH</v>
      </c>
      <c r="O2195" s="4" t="str">
        <f t="shared" si="103"/>
        <v>OTHERS</v>
      </c>
      <c r="P2195" s="4" t="str">
        <f t="shared" si="104"/>
        <v>PREMINUM MORNING</v>
      </c>
    </row>
    <row r="2196" spans="1:16" x14ac:dyDescent="0.3">
      <c r="A2196" s="4">
        <v>17</v>
      </c>
      <c r="B2196" t="s">
        <v>11</v>
      </c>
      <c r="C2196" s="4">
        <v>35.76</v>
      </c>
      <c r="D2196" t="s">
        <v>29</v>
      </c>
      <c r="E2196" t="s">
        <v>20</v>
      </c>
      <c r="F2196" s="4" t="s">
        <v>25</v>
      </c>
      <c r="G2196" s="4" t="s">
        <v>38</v>
      </c>
      <c r="H2196" s="4">
        <v>1</v>
      </c>
      <c r="I2196" s="4">
        <v>11</v>
      </c>
      <c r="J2196" s="1">
        <v>45607</v>
      </c>
      <c r="K2196" s="2">
        <v>2.3288194444444445E-2</v>
      </c>
      <c r="M2196" s="4" t="str">
        <f t="shared" si="102"/>
        <v>HIGH</v>
      </c>
      <c r="N2196" s="4" t="str" cm="1">
        <f t="array" ref="N2196">_xlfn.IFS(C2196&gt;35,"HIGH",C2196&gt;25,"MIDDLE",TRUE,"LOW")</f>
        <v>HIGH</v>
      </c>
      <c r="O2196" s="4" t="str">
        <f t="shared" si="103"/>
        <v>OTHERS</v>
      </c>
      <c r="P2196" s="4" t="str">
        <f t="shared" si="104"/>
        <v>PREMINUM MORNING</v>
      </c>
    </row>
    <row r="2197" spans="1:16" x14ac:dyDescent="0.3">
      <c r="A2197" s="4">
        <v>19</v>
      </c>
      <c r="B2197" t="s">
        <v>11</v>
      </c>
      <c r="C2197" s="4">
        <v>35.76</v>
      </c>
      <c r="D2197" t="s">
        <v>12</v>
      </c>
      <c r="E2197" t="s">
        <v>20</v>
      </c>
      <c r="F2197" s="4" t="s">
        <v>25</v>
      </c>
      <c r="G2197" s="4" t="s">
        <v>38</v>
      </c>
      <c r="H2197" s="4">
        <v>1</v>
      </c>
      <c r="I2197" s="4">
        <v>11</v>
      </c>
      <c r="J2197" s="1">
        <v>45607</v>
      </c>
      <c r="K2197" s="2">
        <v>5.4282407407407404E-4</v>
      </c>
      <c r="M2197" s="4" t="str">
        <f t="shared" si="102"/>
        <v>HIGH</v>
      </c>
      <c r="N2197" s="4" t="str" cm="1">
        <f t="array" ref="N2197">_xlfn.IFS(C2197&gt;35,"HIGH",C2197&gt;25,"MIDDLE",TRUE,"LOW")</f>
        <v>HIGH</v>
      </c>
      <c r="O2197" s="4" t="str">
        <f t="shared" si="103"/>
        <v>OTHERS</v>
      </c>
      <c r="P2197" s="4" t="str">
        <f t="shared" si="104"/>
        <v>PREMINUM MORNING</v>
      </c>
    </row>
    <row r="2198" spans="1:16" x14ac:dyDescent="0.3">
      <c r="A2198" s="4">
        <v>19</v>
      </c>
      <c r="B2198" t="s">
        <v>11</v>
      </c>
      <c r="C2198" s="4">
        <v>35.76</v>
      </c>
      <c r="D2198" t="s">
        <v>16</v>
      </c>
      <c r="E2198" t="s">
        <v>20</v>
      </c>
      <c r="F2198" s="4" t="s">
        <v>25</v>
      </c>
      <c r="G2198" s="4" t="s">
        <v>38</v>
      </c>
      <c r="H2198" s="4">
        <v>1</v>
      </c>
      <c r="I2198" s="4">
        <v>11</v>
      </c>
      <c r="J2198" s="1">
        <v>45607</v>
      </c>
      <c r="K2198" s="2">
        <v>2.957175925925926E-3</v>
      </c>
      <c r="M2198" s="4" t="str">
        <f t="shared" si="102"/>
        <v>HIGH</v>
      </c>
      <c r="N2198" s="4" t="str" cm="1">
        <f t="array" ref="N2198">_xlfn.IFS(C2198&gt;35,"HIGH",C2198&gt;25,"MIDDLE",TRUE,"LOW")</f>
        <v>HIGH</v>
      </c>
      <c r="O2198" s="4" t="str">
        <f t="shared" si="103"/>
        <v>OTHERS</v>
      </c>
      <c r="P2198" s="4" t="str">
        <f t="shared" si="104"/>
        <v>PREMINUM MORNING</v>
      </c>
    </row>
    <row r="2199" spans="1:16" x14ac:dyDescent="0.3">
      <c r="A2199" s="4">
        <v>21</v>
      </c>
      <c r="B2199" t="s">
        <v>11</v>
      </c>
      <c r="C2199" s="4">
        <v>35.76</v>
      </c>
      <c r="D2199" t="s">
        <v>12</v>
      </c>
      <c r="E2199" t="s">
        <v>20</v>
      </c>
      <c r="F2199" s="4" t="s">
        <v>25</v>
      </c>
      <c r="G2199" s="4" t="s">
        <v>38</v>
      </c>
      <c r="H2199" s="4">
        <v>1</v>
      </c>
      <c r="I2199" s="4">
        <v>11</v>
      </c>
      <c r="J2199" s="1">
        <v>45607</v>
      </c>
      <c r="K2199" s="2">
        <v>5.9224537037037032E-3</v>
      </c>
      <c r="M2199" s="4" t="str">
        <f t="shared" si="102"/>
        <v>HIGH</v>
      </c>
      <c r="N2199" s="4" t="str" cm="1">
        <f t="array" ref="N2199">_xlfn.IFS(C2199&gt;35,"HIGH",C2199&gt;25,"MIDDLE",TRUE,"LOW")</f>
        <v>HIGH</v>
      </c>
      <c r="O2199" s="4" t="str">
        <f t="shared" si="103"/>
        <v>OTHERS</v>
      </c>
      <c r="P2199" s="4" t="str">
        <f t="shared" si="104"/>
        <v>PREMINUM MORNING</v>
      </c>
    </row>
    <row r="2200" spans="1:16" x14ac:dyDescent="0.3">
      <c r="A2200" s="4">
        <v>21</v>
      </c>
      <c r="B2200" t="s">
        <v>11</v>
      </c>
      <c r="C2200" s="4">
        <v>35.76</v>
      </c>
      <c r="D2200" t="s">
        <v>12</v>
      </c>
      <c r="E2200" t="s">
        <v>20</v>
      </c>
      <c r="F2200" s="4" t="s">
        <v>25</v>
      </c>
      <c r="G2200" s="4" t="s">
        <v>38</v>
      </c>
      <c r="H2200" s="4">
        <v>1</v>
      </c>
      <c r="I2200" s="4">
        <v>11</v>
      </c>
      <c r="J2200" s="1">
        <v>45607</v>
      </c>
      <c r="K2200" s="2">
        <v>6.7939814814814816E-3</v>
      </c>
      <c r="M2200" s="4" t="str">
        <f t="shared" si="102"/>
        <v>HIGH</v>
      </c>
      <c r="N2200" s="4" t="str" cm="1">
        <f t="array" ref="N2200">_xlfn.IFS(C2200&gt;35,"HIGH",C2200&gt;25,"MIDDLE",TRUE,"LOW")</f>
        <v>HIGH</v>
      </c>
      <c r="O2200" s="4" t="str">
        <f t="shared" si="103"/>
        <v>OTHERS</v>
      </c>
      <c r="P2200" s="4" t="str">
        <f t="shared" si="104"/>
        <v>PREMINUM MORNING</v>
      </c>
    </row>
    <row r="2201" spans="1:16" x14ac:dyDescent="0.3">
      <c r="A2201" s="4">
        <v>10</v>
      </c>
      <c r="B2201" t="s">
        <v>11</v>
      </c>
      <c r="C2201" s="4">
        <v>35.76</v>
      </c>
      <c r="D2201" t="s">
        <v>12</v>
      </c>
      <c r="E2201" t="s">
        <v>13</v>
      </c>
      <c r="F2201" s="4" t="s">
        <v>27</v>
      </c>
      <c r="G2201" s="4" t="s">
        <v>38</v>
      </c>
      <c r="H2201" s="4">
        <v>2</v>
      </c>
      <c r="I2201" s="4">
        <v>11</v>
      </c>
      <c r="J2201" s="1">
        <v>45608</v>
      </c>
      <c r="K2201" s="2">
        <v>2.1828703703703702E-3</v>
      </c>
      <c r="M2201" s="4" t="str">
        <f t="shared" si="102"/>
        <v>HIGH</v>
      </c>
      <c r="N2201" s="4" t="str" cm="1">
        <f t="array" ref="N2201">_xlfn.IFS(C2201&gt;35,"HIGH",C2201&gt;25,"MIDDLE",TRUE,"LOW")</f>
        <v>HIGH</v>
      </c>
      <c r="O2201" s="4" t="str">
        <f t="shared" si="103"/>
        <v>PREMINUM MORNING</v>
      </c>
      <c r="P2201" s="4" t="str">
        <f t="shared" si="104"/>
        <v>PREMINUM MORNING</v>
      </c>
    </row>
    <row r="2202" spans="1:16" x14ac:dyDescent="0.3">
      <c r="A2202" s="4">
        <v>13</v>
      </c>
      <c r="B2202" t="s">
        <v>11</v>
      </c>
      <c r="C2202" s="4">
        <v>35.76</v>
      </c>
      <c r="D2202" t="s">
        <v>12</v>
      </c>
      <c r="E2202" t="s">
        <v>17</v>
      </c>
      <c r="F2202" s="4" t="s">
        <v>27</v>
      </c>
      <c r="G2202" s="4" t="s">
        <v>38</v>
      </c>
      <c r="H2202" s="4">
        <v>2</v>
      </c>
      <c r="I2202" s="4">
        <v>11</v>
      </c>
      <c r="J2202" s="1">
        <v>45608</v>
      </c>
      <c r="K2202" s="2">
        <v>1.094212962962963E-2</v>
      </c>
      <c r="M2202" s="4" t="str">
        <f t="shared" si="102"/>
        <v>HIGH</v>
      </c>
      <c r="N2202" s="4" t="str" cm="1">
        <f t="array" ref="N2202">_xlfn.IFS(C2202&gt;35,"HIGH",C2202&gt;25,"MIDDLE",TRUE,"LOW")</f>
        <v>HIGH</v>
      </c>
      <c r="O2202" s="4" t="str">
        <f t="shared" si="103"/>
        <v>OTHERS</v>
      </c>
      <c r="P2202" s="4" t="str">
        <f t="shared" si="104"/>
        <v>PREMINUM MORNING</v>
      </c>
    </row>
    <row r="2203" spans="1:16" x14ac:dyDescent="0.3">
      <c r="A2203" s="4">
        <v>14</v>
      </c>
      <c r="B2203" t="s">
        <v>11</v>
      </c>
      <c r="C2203" s="4">
        <v>35.76</v>
      </c>
      <c r="D2203" t="s">
        <v>12</v>
      </c>
      <c r="E2203" t="s">
        <v>17</v>
      </c>
      <c r="F2203" s="4" t="s">
        <v>27</v>
      </c>
      <c r="G2203" s="4" t="s">
        <v>38</v>
      </c>
      <c r="H2203" s="4">
        <v>2</v>
      </c>
      <c r="I2203" s="4">
        <v>11</v>
      </c>
      <c r="J2203" s="1">
        <v>45608</v>
      </c>
      <c r="K2203" s="2">
        <v>2.7255787037037037E-2</v>
      </c>
      <c r="M2203" s="4" t="str">
        <f t="shared" si="102"/>
        <v>HIGH</v>
      </c>
      <c r="N2203" s="4" t="str" cm="1">
        <f t="array" ref="N2203">_xlfn.IFS(C2203&gt;35,"HIGH",C2203&gt;25,"MIDDLE",TRUE,"LOW")</f>
        <v>HIGH</v>
      </c>
      <c r="O2203" s="4" t="str">
        <f t="shared" si="103"/>
        <v>OTHERS</v>
      </c>
      <c r="P2203" s="4" t="str">
        <f t="shared" si="104"/>
        <v>PREMINUM MORNING</v>
      </c>
    </row>
    <row r="2204" spans="1:16" x14ac:dyDescent="0.3">
      <c r="A2204" s="4">
        <v>16</v>
      </c>
      <c r="B2204" t="s">
        <v>11</v>
      </c>
      <c r="C2204" s="4">
        <v>35.76</v>
      </c>
      <c r="D2204" t="s">
        <v>16</v>
      </c>
      <c r="E2204" t="s">
        <v>17</v>
      </c>
      <c r="F2204" s="4" t="s">
        <v>27</v>
      </c>
      <c r="G2204" s="4" t="s">
        <v>38</v>
      </c>
      <c r="H2204" s="4">
        <v>2</v>
      </c>
      <c r="I2204" s="4">
        <v>11</v>
      </c>
      <c r="J2204" s="1">
        <v>45608</v>
      </c>
      <c r="K2204" s="2">
        <v>3.280555555555556E-2</v>
      </c>
      <c r="M2204" s="4" t="str">
        <f t="shared" si="102"/>
        <v>HIGH</v>
      </c>
      <c r="N2204" s="4" t="str" cm="1">
        <f t="array" ref="N2204">_xlfn.IFS(C2204&gt;35,"HIGH",C2204&gt;25,"MIDDLE",TRUE,"LOW")</f>
        <v>HIGH</v>
      </c>
      <c r="O2204" s="4" t="str">
        <f t="shared" si="103"/>
        <v>OTHERS</v>
      </c>
      <c r="P2204" s="4" t="str">
        <f t="shared" si="104"/>
        <v>PREMINUM MORNING</v>
      </c>
    </row>
    <row r="2205" spans="1:16" x14ac:dyDescent="0.3">
      <c r="A2205" s="4">
        <v>16</v>
      </c>
      <c r="B2205" t="s">
        <v>11</v>
      </c>
      <c r="C2205" s="4">
        <v>35.76</v>
      </c>
      <c r="D2205" t="s">
        <v>16</v>
      </c>
      <c r="E2205" t="s">
        <v>17</v>
      </c>
      <c r="F2205" s="4" t="s">
        <v>27</v>
      </c>
      <c r="G2205" s="4" t="s">
        <v>38</v>
      </c>
      <c r="H2205" s="4">
        <v>2</v>
      </c>
      <c r="I2205" s="4">
        <v>11</v>
      </c>
      <c r="J2205" s="1">
        <v>45608</v>
      </c>
      <c r="K2205" s="2">
        <v>3.33900462962963E-2</v>
      </c>
      <c r="M2205" s="4" t="str">
        <f t="shared" si="102"/>
        <v>HIGH</v>
      </c>
      <c r="N2205" s="4" t="str" cm="1">
        <f t="array" ref="N2205">_xlfn.IFS(C2205&gt;35,"HIGH",C2205&gt;25,"MIDDLE",TRUE,"LOW")</f>
        <v>HIGH</v>
      </c>
      <c r="O2205" s="4" t="str">
        <f t="shared" si="103"/>
        <v>OTHERS</v>
      </c>
      <c r="P2205" s="4" t="str">
        <f t="shared" si="104"/>
        <v>PREMINUM MORNING</v>
      </c>
    </row>
    <row r="2206" spans="1:16" x14ac:dyDescent="0.3">
      <c r="A2206" s="4">
        <v>16</v>
      </c>
      <c r="B2206" t="s">
        <v>11</v>
      </c>
      <c r="C2206" s="4">
        <v>35.76</v>
      </c>
      <c r="D2206" t="s">
        <v>21</v>
      </c>
      <c r="E2206" t="s">
        <v>17</v>
      </c>
      <c r="F2206" s="4" t="s">
        <v>27</v>
      </c>
      <c r="G2206" s="4" t="s">
        <v>38</v>
      </c>
      <c r="H2206" s="4">
        <v>2</v>
      </c>
      <c r="I2206" s="4">
        <v>11</v>
      </c>
      <c r="J2206" s="1">
        <v>45608</v>
      </c>
      <c r="K2206" s="2">
        <v>3.4072916666666668E-2</v>
      </c>
      <c r="M2206" s="4" t="str">
        <f t="shared" si="102"/>
        <v>HIGH</v>
      </c>
      <c r="N2206" s="4" t="str" cm="1">
        <f t="array" ref="N2206">_xlfn.IFS(C2206&gt;35,"HIGH",C2206&gt;25,"MIDDLE",TRUE,"LOW")</f>
        <v>HIGH</v>
      </c>
      <c r="O2206" s="4" t="str">
        <f t="shared" si="103"/>
        <v>OTHERS</v>
      </c>
      <c r="P2206" s="4" t="str">
        <f t="shared" si="104"/>
        <v>PREMINUM MORNING</v>
      </c>
    </row>
    <row r="2207" spans="1:16" x14ac:dyDescent="0.3">
      <c r="A2207" s="4">
        <v>18</v>
      </c>
      <c r="B2207" t="s">
        <v>11</v>
      </c>
      <c r="C2207" s="4">
        <v>35.76</v>
      </c>
      <c r="D2207" t="s">
        <v>29</v>
      </c>
      <c r="E2207" t="s">
        <v>20</v>
      </c>
      <c r="F2207" s="4" t="s">
        <v>27</v>
      </c>
      <c r="G2207" s="4" t="s">
        <v>38</v>
      </c>
      <c r="H2207" s="4">
        <v>2</v>
      </c>
      <c r="I2207" s="4">
        <v>11</v>
      </c>
      <c r="J2207" s="1">
        <v>45608</v>
      </c>
      <c r="K2207" s="2">
        <v>3.1415509259259261E-2</v>
      </c>
      <c r="M2207" s="4" t="str">
        <f t="shared" si="102"/>
        <v>HIGH</v>
      </c>
      <c r="N2207" s="4" t="str" cm="1">
        <f t="array" ref="N2207">_xlfn.IFS(C2207&gt;35,"HIGH",C2207&gt;25,"MIDDLE",TRUE,"LOW")</f>
        <v>HIGH</v>
      </c>
      <c r="O2207" s="4" t="str">
        <f t="shared" si="103"/>
        <v>OTHERS</v>
      </c>
      <c r="P2207" s="4" t="str">
        <f t="shared" si="104"/>
        <v>PREMINUM MORNING</v>
      </c>
    </row>
    <row r="2208" spans="1:16" x14ac:dyDescent="0.3">
      <c r="A2208" s="4">
        <v>20</v>
      </c>
      <c r="B2208" t="s">
        <v>11</v>
      </c>
      <c r="C2208" s="4">
        <v>35.76</v>
      </c>
      <c r="D2208" t="s">
        <v>12</v>
      </c>
      <c r="E2208" t="s">
        <v>20</v>
      </c>
      <c r="F2208" s="4" t="s">
        <v>27</v>
      </c>
      <c r="G2208" s="4" t="s">
        <v>38</v>
      </c>
      <c r="H2208" s="4">
        <v>2</v>
      </c>
      <c r="I2208" s="4">
        <v>11</v>
      </c>
      <c r="J2208" s="1">
        <v>45608</v>
      </c>
      <c r="K2208" s="2">
        <v>5.5300925925925925E-3</v>
      </c>
      <c r="M2208" s="4" t="str">
        <f t="shared" si="102"/>
        <v>HIGH</v>
      </c>
      <c r="N2208" s="4" t="str" cm="1">
        <f t="array" ref="N2208">_xlfn.IFS(C2208&gt;35,"HIGH",C2208&gt;25,"MIDDLE",TRUE,"LOW")</f>
        <v>HIGH</v>
      </c>
      <c r="O2208" s="4" t="str">
        <f t="shared" si="103"/>
        <v>OTHERS</v>
      </c>
      <c r="P2208" s="4" t="str">
        <f t="shared" si="104"/>
        <v>PREMINUM MORNING</v>
      </c>
    </row>
    <row r="2209" spans="1:16" x14ac:dyDescent="0.3">
      <c r="A2209" s="4">
        <v>20</v>
      </c>
      <c r="B2209" t="s">
        <v>11</v>
      </c>
      <c r="C2209" s="4">
        <v>35.76</v>
      </c>
      <c r="D2209" t="s">
        <v>21</v>
      </c>
      <c r="E2209" t="s">
        <v>20</v>
      </c>
      <c r="F2209" s="4" t="s">
        <v>27</v>
      </c>
      <c r="G2209" s="4" t="s">
        <v>38</v>
      </c>
      <c r="H2209" s="4">
        <v>2</v>
      </c>
      <c r="I2209" s="4">
        <v>11</v>
      </c>
      <c r="J2209" s="1">
        <v>45608</v>
      </c>
      <c r="K2209" s="2">
        <v>6.5023148148148141E-3</v>
      </c>
      <c r="M2209" s="4" t="str">
        <f t="shared" si="102"/>
        <v>HIGH</v>
      </c>
      <c r="N2209" s="4" t="str" cm="1">
        <f t="array" ref="N2209">_xlfn.IFS(C2209&gt;35,"HIGH",C2209&gt;25,"MIDDLE",TRUE,"LOW")</f>
        <v>HIGH</v>
      </c>
      <c r="O2209" s="4" t="str">
        <f t="shared" si="103"/>
        <v>OTHERS</v>
      </c>
      <c r="P2209" s="4" t="str">
        <f t="shared" si="104"/>
        <v>PREMINUM MORNING</v>
      </c>
    </row>
    <row r="2210" spans="1:16" x14ac:dyDescent="0.3">
      <c r="A2210" s="4">
        <v>8</v>
      </c>
      <c r="B2210" t="s">
        <v>11</v>
      </c>
      <c r="C2210" s="4">
        <v>30.86</v>
      </c>
      <c r="D2210" t="s">
        <v>19</v>
      </c>
      <c r="E2210" t="s">
        <v>13</v>
      </c>
      <c r="F2210" s="4" t="s">
        <v>28</v>
      </c>
      <c r="G2210" s="4" t="s">
        <v>38</v>
      </c>
      <c r="H2210" s="4">
        <v>3</v>
      </c>
      <c r="I2210" s="4">
        <v>11</v>
      </c>
      <c r="J2210" s="1">
        <v>45609</v>
      </c>
      <c r="K2210" s="2">
        <v>6.3761574074074068E-3</v>
      </c>
      <c r="M2210" s="4" t="str">
        <f t="shared" si="102"/>
        <v>LOW</v>
      </c>
      <c r="N2210" s="4" t="str" cm="1">
        <f t="array" ref="N2210">_xlfn.IFS(C2210&gt;35,"HIGH",C2210&gt;25,"MIDDLE",TRUE,"LOW")</f>
        <v>MIDDLE</v>
      </c>
      <c r="O2210" s="4" t="str">
        <f t="shared" si="103"/>
        <v>OTHERS</v>
      </c>
      <c r="P2210" s="4" t="str">
        <f t="shared" si="104"/>
        <v>PREMINUM MORNING</v>
      </c>
    </row>
    <row r="2211" spans="1:16" x14ac:dyDescent="0.3">
      <c r="A2211" s="4">
        <v>10</v>
      </c>
      <c r="B2211" t="s">
        <v>11</v>
      </c>
      <c r="C2211" s="4">
        <v>35.76</v>
      </c>
      <c r="D2211" t="s">
        <v>12</v>
      </c>
      <c r="E2211" t="s">
        <v>13</v>
      </c>
      <c r="F2211" s="4" t="s">
        <v>28</v>
      </c>
      <c r="G2211" s="4" t="s">
        <v>38</v>
      </c>
      <c r="H2211" s="4">
        <v>3</v>
      </c>
      <c r="I2211" s="4">
        <v>11</v>
      </c>
      <c r="J2211" s="1">
        <v>45609</v>
      </c>
      <c r="K2211" s="2">
        <v>2.6195601851851855E-2</v>
      </c>
      <c r="M2211" s="4" t="str">
        <f t="shared" si="102"/>
        <v>HIGH</v>
      </c>
      <c r="N2211" s="4" t="str" cm="1">
        <f t="array" ref="N2211">_xlfn.IFS(C2211&gt;35,"HIGH",C2211&gt;25,"MIDDLE",TRUE,"LOW")</f>
        <v>HIGH</v>
      </c>
      <c r="O2211" s="4" t="str">
        <f t="shared" si="103"/>
        <v>PREMINUM MORNING</v>
      </c>
      <c r="P2211" s="4" t="str">
        <f t="shared" si="104"/>
        <v>PREMINUM MORNING</v>
      </c>
    </row>
    <row r="2212" spans="1:16" x14ac:dyDescent="0.3">
      <c r="A2212" s="4">
        <v>13</v>
      </c>
      <c r="B2212" t="s">
        <v>11</v>
      </c>
      <c r="C2212" s="4">
        <v>30.86</v>
      </c>
      <c r="D2212" t="s">
        <v>19</v>
      </c>
      <c r="E2212" t="s">
        <v>17</v>
      </c>
      <c r="F2212" s="4" t="s">
        <v>28</v>
      </c>
      <c r="G2212" s="4" t="s">
        <v>38</v>
      </c>
      <c r="H2212" s="4">
        <v>3</v>
      </c>
      <c r="I2212" s="4">
        <v>11</v>
      </c>
      <c r="J2212" s="1">
        <v>45609</v>
      </c>
      <c r="K2212" s="2">
        <v>1.3826388888888888E-2</v>
      </c>
      <c r="M2212" s="4" t="str">
        <f t="shared" si="102"/>
        <v>LOW</v>
      </c>
      <c r="N2212" s="4" t="str" cm="1">
        <f t="array" ref="N2212">_xlfn.IFS(C2212&gt;35,"HIGH",C2212&gt;25,"MIDDLE",TRUE,"LOW")</f>
        <v>MIDDLE</v>
      </c>
      <c r="O2212" s="4" t="str">
        <f t="shared" si="103"/>
        <v>OTHERS</v>
      </c>
      <c r="P2212" s="4" t="str">
        <f t="shared" si="104"/>
        <v>OTHERS</v>
      </c>
    </row>
    <row r="2213" spans="1:16" x14ac:dyDescent="0.3">
      <c r="A2213" s="4">
        <v>13</v>
      </c>
      <c r="B2213" t="s">
        <v>11</v>
      </c>
      <c r="C2213" s="4">
        <v>30.86</v>
      </c>
      <c r="D2213" t="s">
        <v>19</v>
      </c>
      <c r="E2213" t="s">
        <v>17</v>
      </c>
      <c r="F2213" s="4" t="s">
        <v>28</v>
      </c>
      <c r="G2213" s="4" t="s">
        <v>38</v>
      </c>
      <c r="H2213" s="4">
        <v>3</v>
      </c>
      <c r="I2213" s="4">
        <v>11</v>
      </c>
      <c r="J2213" s="1">
        <v>45609</v>
      </c>
      <c r="K2213" s="2">
        <v>1.4565972222222221E-2</v>
      </c>
      <c r="M2213" s="4" t="str">
        <f t="shared" si="102"/>
        <v>LOW</v>
      </c>
      <c r="N2213" s="4" t="str" cm="1">
        <f t="array" ref="N2213">_xlfn.IFS(C2213&gt;35,"HIGH",C2213&gt;25,"MIDDLE",TRUE,"LOW")</f>
        <v>MIDDLE</v>
      </c>
      <c r="O2213" s="4" t="str">
        <f t="shared" si="103"/>
        <v>OTHERS</v>
      </c>
      <c r="P2213" s="4" t="str">
        <f t="shared" si="104"/>
        <v>OTHERS</v>
      </c>
    </row>
    <row r="2214" spans="1:16" x14ac:dyDescent="0.3">
      <c r="A2214" s="4">
        <v>14</v>
      </c>
      <c r="B2214" t="s">
        <v>11</v>
      </c>
      <c r="C2214" s="4">
        <v>30.86</v>
      </c>
      <c r="D2214" t="s">
        <v>19</v>
      </c>
      <c r="E2214" t="s">
        <v>17</v>
      </c>
      <c r="F2214" s="4" t="s">
        <v>28</v>
      </c>
      <c r="G2214" s="4" t="s">
        <v>38</v>
      </c>
      <c r="H2214" s="4">
        <v>3</v>
      </c>
      <c r="I2214" s="4">
        <v>11</v>
      </c>
      <c r="J2214" s="1">
        <v>45609</v>
      </c>
      <c r="K2214" s="2">
        <v>1.2155092592592592E-2</v>
      </c>
      <c r="M2214" s="4" t="str">
        <f t="shared" si="102"/>
        <v>LOW</v>
      </c>
      <c r="N2214" s="4" t="str" cm="1">
        <f t="array" ref="N2214">_xlfn.IFS(C2214&gt;35,"HIGH",C2214&gt;25,"MIDDLE",TRUE,"LOW")</f>
        <v>MIDDLE</v>
      </c>
      <c r="O2214" s="4" t="str">
        <f t="shared" si="103"/>
        <v>OTHERS</v>
      </c>
      <c r="P2214" s="4" t="str">
        <f t="shared" si="104"/>
        <v>OTHERS</v>
      </c>
    </row>
    <row r="2215" spans="1:16" x14ac:dyDescent="0.3">
      <c r="A2215" s="4">
        <v>14</v>
      </c>
      <c r="B2215" t="s">
        <v>11</v>
      </c>
      <c r="C2215" s="4">
        <v>35.76</v>
      </c>
      <c r="D2215" t="s">
        <v>12</v>
      </c>
      <c r="E2215" t="s">
        <v>17</v>
      </c>
      <c r="F2215" s="4" t="s">
        <v>28</v>
      </c>
      <c r="G2215" s="4" t="s">
        <v>38</v>
      </c>
      <c r="H2215" s="4">
        <v>3</v>
      </c>
      <c r="I2215" s="4">
        <v>11</v>
      </c>
      <c r="J2215" s="1">
        <v>45609</v>
      </c>
      <c r="K2215" s="2">
        <v>3.2620370370370369E-2</v>
      </c>
      <c r="M2215" s="4" t="str">
        <f t="shared" si="102"/>
        <v>HIGH</v>
      </c>
      <c r="N2215" s="4" t="str" cm="1">
        <f t="array" ref="N2215">_xlfn.IFS(C2215&gt;35,"HIGH",C2215&gt;25,"MIDDLE",TRUE,"LOW")</f>
        <v>HIGH</v>
      </c>
      <c r="O2215" s="4" t="str">
        <f t="shared" si="103"/>
        <v>OTHERS</v>
      </c>
      <c r="P2215" s="4" t="str">
        <f t="shared" si="104"/>
        <v>PREMINUM MORNING</v>
      </c>
    </row>
    <row r="2216" spans="1:16" x14ac:dyDescent="0.3">
      <c r="A2216" s="4">
        <v>9</v>
      </c>
      <c r="B2216" t="s">
        <v>11</v>
      </c>
      <c r="C2216" s="4">
        <v>35.76</v>
      </c>
      <c r="D2216" t="s">
        <v>12</v>
      </c>
      <c r="E2216" t="s">
        <v>13</v>
      </c>
      <c r="F2216" s="4" t="s">
        <v>30</v>
      </c>
      <c r="G2216" s="4" t="s">
        <v>38</v>
      </c>
      <c r="H2216" s="4">
        <v>4</v>
      </c>
      <c r="I2216" s="4">
        <v>11</v>
      </c>
      <c r="J2216" s="1">
        <v>45610</v>
      </c>
      <c r="K2216" s="2">
        <v>2.5321759259259263E-2</v>
      </c>
      <c r="M2216" s="4" t="str">
        <f t="shared" si="102"/>
        <v>HIGH</v>
      </c>
      <c r="N2216" s="4" t="str" cm="1">
        <f t="array" ref="N2216">_xlfn.IFS(C2216&gt;35,"HIGH",C2216&gt;25,"MIDDLE",TRUE,"LOW")</f>
        <v>HIGH</v>
      </c>
      <c r="O2216" s="4" t="str">
        <f t="shared" si="103"/>
        <v>PREMINUM MORNING</v>
      </c>
      <c r="P2216" s="4" t="str">
        <f t="shared" si="104"/>
        <v>PREMINUM MORNING</v>
      </c>
    </row>
    <row r="2217" spans="1:16" x14ac:dyDescent="0.3">
      <c r="A2217" s="4">
        <v>10</v>
      </c>
      <c r="B2217" t="s">
        <v>11</v>
      </c>
      <c r="C2217" s="4">
        <v>25.96</v>
      </c>
      <c r="D2217" t="s">
        <v>18</v>
      </c>
      <c r="E2217" t="s">
        <v>13</v>
      </c>
      <c r="F2217" s="4" t="s">
        <v>30</v>
      </c>
      <c r="G2217" s="4" t="s">
        <v>38</v>
      </c>
      <c r="H2217" s="4">
        <v>4</v>
      </c>
      <c r="I2217" s="4">
        <v>11</v>
      </c>
      <c r="J2217" s="1">
        <v>45610</v>
      </c>
      <c r="K2217" s="2">
        <v>4.6608796296296294E-3</v>
      </c>
      <c r="M2217" s="4" t="str">
        <f t="shared" si="102"/>
        <v>LOW</v>
      </c>
      <c r="N2217" s="4" t="str" cm="1">
        <f t="array" ref="N2217">_xlfn.IFS(C2217&gt;35,"HIGH",C2217&gt;25,"MIDDLE",TRUE,"LOW")</f>
        <v>MIDDLE</v>
      </c>
      <c r="O2217" s="4" t="str">
        <f t="shared" si="103"/>
        <v>OTHERS</v>
      </c>
      <c r="P2217" s="4" t="str">
        <f t="shared" si="104"/>
        <v>PREMINUM MORNING</v>
      </c>
    </row>
    <row r="2218" spans="1:16" x14ac:dyDescent="0.3">
      <c r="A2218" s="4">
        <v>12</v>
      </c>
      <c r="B2218" t="s">
        <v>11</v>
      </c>
      <c r="C2218" s="4">
        <v>21.06</v>
      </c>
      <c r="D2218" t="s">
        <v>26</v>
      </c>
      <c r="E2218" t="s">
        <v>17</v>
      </c>
      <c r="F2218" s="4" t="s">
        <v>30</v>
      </c>
      <c r="G2218" s="4" t="s">
        <v>38</v>
      </c>
      <c r="H2218" s="4">
        <v>4</v>
      </c>
      <c r="I2218" s="4">
        <v>11</v>
      </c>
      <c r="J2218" s="1">
        <v>45610</v>
      </c>
      <c r="K2218" s="2">
        <v>3.3917824074074072E-2</v>
      </c>
      <c r="M2218" s="4" t="str">
        <f t="shared" si="102"/>
        <v>LOW</v>
      </c>
      <c r="N2218" s="4" t="str" cm="1">
        <f t="array" ref="N2218">_xlfn.IFS(C2218&gt;35,"HIGH",C2218&gt;25,"MIDDLE",TRUE,"LOW")</f>
        <v>LOW</v>
      </c>
      <c r="O2218" s="4" t="str">
        <f t="shared" si="103"/>
        <v>OTHERS</v>
      </c>
      <c r="P2218" s="4" t="str">
        <f t="shared" si="104"/>
        <v>OTHERS</v>
      </c>
    </row>
    <row r="2219" spans="1:16" x14ac:dyDescent="0.3">
      <c r="A2219" s="4">
        <v>15</v>
      </c>
      <c r="B2219" t="s">
        <v>11</v>
      </c>
      <c r="C2219" s="4">
        <v>35.76</v>
      </c>
      <c r="D2219" t="s">
        <v>29</v>
      </c>
      <c r="E2219" t="s">
        <v>17</v>
      </c>
      <c r="F2219" s="4" t="s">
        <v>30</v>
      </c>
      <c r="G2219" s="4" t="s">
        <v>38</v>
      </c>
      <c r="H2219" s="4">
        <v>4</v>
      </c>
      <c r="I2219" s="4">
        <v>11</v>
      </c>
      <c r="J2219" s="1">
        <v>45610</v>
      </c>
      <c r="K2219" s="2">
        <v>2.6087962962962966E-3</v>
      </c>
      <c r="M2219" s="4" t="str">
        <f t="shared" si="102"/>
        <v>HIGH</v>
      </c>
      <c r="N2219" s="4" t="str" cm="1">
        <f t="array" ref="N2219">_xlfn.IFS(C2219&gt;35,"HIGH",C2219&gt;25,"MIDDLE",TRUE,"LOW")</f>
        <v>HIGH</v>
      </c>
      <c r="O2219" s="4" t="str">
        <f t="shared" si="103"/>
        <v>OTHERS</v>
      </c>
      <c r="P2219" s="4" t="str">
        <f t="shared" si="104"/>
        <v>PREMINUM MORNING</v>
      </c>
    </row>
    <row r="2220" spans="1:16" x14ac:dyDescent="0.3">
      <c r="A2220" s="4">
        <v>15</v>
      </c>
      <c r="B2220" t="s">
        <v>11</v>
      </c>
      <c r="C2220" s="4">
        <v>35.76</v>
      </c>
      <c r="D2220" t="s">
        <v>12</v>
      </c>
      <c r="E2220" t="s">
        <v>17</v>
      </c>
      <c r="F2220" s="4" t="s">
        <v>30</v>
      </c>
      <c r="G2220" s="4" t="s">
        <v>38</v>
      </c>
      <c r="H2220" s="4">
        <v>4</v>
      </c>
      <c r="I2220" s="4">
        <v>11</v>
      </c>
      <c r="J2220" s="1">
        <v>45610</v>
      </c>
      <c r="K2220" s="2">
        <v>3.4340277777777776E-3</v>
      </c>
      <c r="M2220" s="4" t="str">
        <f t="shared" si="102"/>
        <v>HIGH</v>
      </c>
      <c r="N2220" s="4" t="str" cm="1">
        <f t="array" ref="N2220">_xlfn.IFS(C2220&gt;35,"HIGH",C2220&gt;25,"MIDDLE",TRUE,"LOW")</f>
        <v>HIGH</v>
      </c>
      <c r="O2220" s="4" t="str">
        <f t="shared" si="103"/>
        <v>OTHERS</v>
      </c>
      <c r="P2220" s="4" t="str">
        <f t="shared" si="104"/>
        <v>PREMINUM MORNING</v>
      </c>
    </row>
    <row r="2221" spans="1:16" x14ac:dyDescent="0.3">
      <c r="A2221" s="4">
        <v>15</v>
      </c>
      <c r="B2221" t="s">
        <v>11</v>
      </c>
      <c r="C2221" s="4">
        <v>35.76</v>
      </c>
      <c r="D2221" t="s">
        <v>29</v>
      </c>
      <c r="E2221" t="s">
        <v>17</v>
      </c>
      <c r="F2221" s="4" t="s">
        <v>30</v>
      </c>
      <c r="G2221" s="4" t="s">
        <v>38</v>
      </c>
      <c r="H2221" s="4">
        <v>4</v>
      </c>
      <c r="I2221" s="4">
        <v>11</v>
      </c>
      <c r="J2221" s="1">
        <v>45610</v>
      </c>
      <c r="K2221" s="2">
        <v>4.0486111111111113E-3</v>
      </c>
      <c r="M2221" s="4" t="str">
        <f t="shared" si="102"/>
        <v>HIGH</v>
      </c>
      <c r="N2221" s="4" t="str" cm="1">
        <f t="array" ref="N2221">_xlfn.IFS(C2221&gt;35,"HIGH",C2221&gt;25,"MIDDLE",TRUE,"LOW")</f>
        <v>HIGH</v>
      </c>
      <c r="O2221" s="4" t="str">
        <f t="shared" si="103"/>
        <v>OTHERS</v>
      </c>
      <c r="P2221" s="4" t="str">
        <f t="shared" si="104"/>
        <v>PREMINUM MORNING</v>
      </c>
    </row>
    <row r="2222" spans="1:16" x14ac:dyDescent="0.3">
      <c r="A2222" s="4">
        <v>16</v>
      </c>
      <c r="B2222" t="s">
        <v>11</v>
      </c>
      <c r="C2222" s="4">
        <v>30.86</v>
      </c>
      <c r="D2222" t="s">
        <v>19</v>
      </c>
      <c r="E2222" t="s">
        <v>17</v>
      </c>
      <c r="F2222" s="4" t="s">
        <v>30</v>
      </c>
      <c r="G2222" s="4" t="s">
        <v>38</v>
      </c>
      <c r="H2222" s="4">
        <v>4</v>
      </c>
      <c r="I2222" s="4">
        <v>11</v>
      </c>
      <c r="J2222" s="1">
        <v>45610</v>
      </c>
      <c r="K2222" s="2">
        <v>9.1238425925925914E-3</v>
      </c>
      <c r="M2222" s="4" t="str">
        <f t="shared" si="102"/>
        <v>LOW</v>
      </c>
      <c r="N2222" s="4" t="str" cm="1">
        <f t="array" ref="N2222">_xlfn.IFS(C2222&gt;35,"HIGH",C2222&gt;25,"MIDDLE",TRUE,"LOW")</f>
        <v>MIDDLE</v>
      </c>
      <c r="O2222" s="4" t="str">
        <f t="shared" si="103"/>
        <v>OTHERS</v>
      </c>
      <c r="P2222" s="4" t="str">
        <f t="shared" si="104"/>
        <v>OTHERS</v>
      </c>
    </row>
    <row r="2223" spans="1:16" x14ac:dyDescent="0.3">
      <c r="A2223" s="4">
        <v>16</v>
      </c>
      <c r="B2223" t="s">
        <v>11</v>
      </c>
      <c r="C2223" s="4">
        <v>35.76</v>
      </c>
      <c r="D2223" t="s">
        <v>29</v>
      </c>
      <c r="E2223" t="s">
        <v>17</v>
      </c>
      <c r="F2223" s="4" t="s">
        <v>30</v>
      </c>
      <c r="G2223" s="4" t="s">
        <v>38</v>
      </c>
      <c r="H2223" s="4">
        <v>4</v>
      </c>
      <c r="I2223" s="4">
        <v>11</v>
      </c>
      <c r="J2223" s="1">
        <v>45610</v>
      </c>
      <c r="K2223" s="2">
        <v>9.9722222222222226E-3</v>
      </c>
      <c r="M2223" s="4" t="str">
        <f t="shared" si="102"/>
        <v>HIGH</v>
      </c>
      <c r="N2223" s="4" t="str" cm="1">
        <f t="array" ref="N2223">_xlfn.IFS(C2223&gt;35,"HIGH",C2223&gt;25,"MIDDLE",TRUE,"LOW")</f>
        <v>HIGH</v>
      </c>
      <c r="O2223" s="4" t="str">
        <f t="shared" si="103"/>
        <v>OTHERS</v>
      </c>
      <c r="P2223" s="4" t="str">
        <f t="shared" si="104"/>
        <v>PREMINUM MORNING</v>
      </c>
    </row>
    <row r="2224" spans="1:16" x14ac:dyDescent="0.3">
      <c r="A2224" s="4">
        <v>19</v>
      </c>
      <c r="B2224" t="s">
        <v>11</v>
      </c>
      <c r="C2224" s="4">
        <v>35.76</v>
      </c>
      <c r="D2224" t="s">
        <v>16</v>
      </c>
      <c r="E2224" t="s">
        <v>20</v>
      </c>
      <c r="F2224" s="4" t="s">
        <v>30</v>
      </c>
      <c r="G2224" s="4" t="s">
        <v>38</v>
      </c>
      <c r="H2224" s="4">
        <v>4</v>
      </c>
      <c r="I2224" s="4">
        <v>11</v>
      </c>
      <c r="J2224" s="1">
        <v>45610</v>
      </c>
      <c r="K2224" s="2">
        <v>3.0167824074074073E-2</v>
      </c>
      <c r="M2224" s="4" t="str">
        <f t="shared" si="102"/>
        <v>HIGH</v>
      </c>
      <c r="N2224" s="4" t="str" cm="1">
        <f t="array" ref="N2224">_xlfn.IFS(C2224&gt;35,"HIGH",C2224&gt;25,"MIDDLE",TRUE,"LOW")</f>
        <v>HIGH</v>
      </c>
      <c r="O2224" s="4" t="str">
        <f t="shared" si="103"/>
        <v>OTHERS</v>
      </c>
      <c r="P2224" s="4" t="str">
        <f t="shared" si="104"/>
        <v>PREMINUM MORNING</v>
      </c>
    </row>
    <row r="2225" spans="1:16" x14ac:dyDescent="0.3">
      <c r="A2225" s="4">
        <v>19</v>
      </c>
      <c r="B2225" t="s">
        <v>11</v>
      </c>
      <c r="C2225" s="4">
        <v>35.76</v>
      </c>
      <c r="D2225" t="s">
        <v>16</v>
      </c>
      <c r="E2225" t="s">
        <v>20</v>
      </c>
      <c r="F2225" s="4" t="s">
        <v>30</v>
      </c>
      <c r="G2225" s="4" t="s">
        <v>38</v>
      </c>
      <c r="H2225" s="4">
        <v>4</v>
      </c>
      <c r="I2225" s="4">
        <v>11</v>
      </c>
      <c r="J2225" s="1">
        <v>45610</v>
      </c>
      <c r="K2225" s="2">
        <v>3.2373842592592593E-2</v>
      </c>
      <c r="M2225" s="4" t="str">
        <f t="shared" si="102"/>
        <v>HIGH</v>
      </c>
      <c r="N2225" s="4" t="str" cm="1">
        <f t="array" ref="N2225">_xlfn.IFS(C2225&gt;35,"HIGH",C2225&gt;25,"MIDDLE",TRUE,"LOW")</f>
        <v>HIGH</v>
      </c>
      <c r="O2225" s="4" t="str">
        <f t="shared" si="103"/>
        <v>OTHERS</v>
      </c>
      <c r="P2225" s="4" t="str">
        <f t="shared" si="104"/>
        <v>PREMINUM MORNING</v>
      </c>
    </row>
    <row r="2226" spans="1:16" x14ac:dyDescent="0.3">
      <c r="A2226" s="4">
        <v>20</v>
      </c>
      <c r="B2226" t="s">
        <v>11</v>
      </c>
      <c r="C2226" s="4">
        <v>35.76</v>
      </c>
      <c r="D2226" t="s">
        <v>21</v>
      </c>
      <c r="E2226" t="s">
        <v>20</v>
      </c>
      <c r="F2226" s="4" t="s">
        <v>30</v>
      </c>
      <c r="G2226" s="4" t="s">
        <v>38</v>
      </c>
      <c r="H2226" s="4">
        <v>4</v>
      </c>
      <c r="I2226" s="4">
        <v>11</v>
      </c>
      <c r="J2226" s="1">
        <v>45610</v>
      </c>
      <c r="K2226" s="2">
        <v>2.1874999999999999E-2</v>
      </c>
      <c r="M2226" s="4" t="str">
        <f t="shared" si="102"/>
        <v>HIGH</v>
      </c>
      <c r="N2226" s="4" t="str" cm="1">
        <f t="array" ref="N2226">_xlfn.IFS(C2226&gt;35,"HIGH",C2226&gt;25,"MIDDLE",TRUE,"LOW")</f>
        <v>HIGH</v>
      </c>
      <c r="O2226" s="4" t="str">
        <f t="shared" si="103"/>
        <v>OTHERS</v>
      </c>
      <c r="P2226" s="4" t="str">
        <f t="shared" si="104"/>
        <v>PREMINUM MORNING</v>
      </c>
    </row>
    <row r="2227" spans="1:16" x14ac:dyDescent="0.3">
      <c r="A2227" s="4">
        <v>20</v>
      </c>
      <c r="B2227" t="s">
        <v>11</v>
      </c>
      <c r="C2227" s="4">
        <v>35.76</v>
      </c>
      <c r="D2227" t="s">
        <v>16</v>
      </c>
      <c r="E2227" t="s">
        <v>20</v>
      </c>
      <c r="F2227" s="4" t="s">
        <v>30</v>
      </c>
      <c r="G2227" s="4" t="s">
        <v>38</v>
      </c>
      <c r="H2227" s="4">
        <v>4</v>
      </c>
      <c r="I2227" s="4">
        <v>11</v>
      </c>
      <c r="J2227" s="1">
        <v>45610</v>
      </c>
      <c r="K2227" s="2">
        <v>2.2576388888888889E-2</v>
      </c>
      <c r="M2227" s="4" t="str">
        <f t="shared" si="102"/>
        <v>HIGH</v>
      </c>
      <c r="N2227" s="4" t="str" cm="1">
        <f t="array" ref="N2227">_xlfn.IFS(C2227&gt;35,"HIGH",C2227&gt;25,"MIDDLE",TRUE,"LOW")</f>
        <v>HIGH</v>
      </c>
      <c r="O2227" s="4" t="str">
        <f t="shared" si="103"/>
        <v>OTHERS</v>
      </c>
      <c r="P2227" s="4" t="str">
        <f t="shared" si="104"/>
        <v>PREMINUM MORNING</v>
      </c>
    </row>
    <row r="2228" spans="1:16" x14ac:dyDescent="0.3">
      <c r="A2228" s="4">
        <v>21</v>
      </c>
      <c r="B2228" t="s">
        <v>11</v>
      </c>
      <c r="C2228" s="4">
        <v>35.76</v>
      </c>
      <c r="D2228" t="s">
        <v>12</v>
      </c>
      <c r="E2228" t="s">
        <v>20</v>
      </c>
      <c r="F2228" s="4" t="s">
        <v>30</v>
      </c>
      <c r="G2228" s="4" t="s">
        <v>38</v>
      </c>
      <c r="H2228" s="4">
        <v>4</v>
      </c>
      <c r="I2228" s="4">
        <v>11</v>
      </c>
      <c r="J2228" s="1">
        <v>45610</v>
      </c>
      <c r="K2228" s="2">
        <v>1.7032407407407406E-2</v>
      </c>
      <c r="M2228" s="4" t="str">
        <f t="shared" si="102"/>
        <v>HIGH</v>
      </c>
      <c r="N2228" s="4" t="str" cm="1">
        <f t="array" ref="N2228">_xlfn.IFS(C2228&gt;35,"HIGH",C2228&gt;25,"MIDDLE",TRUE,"LOW")</f>
        <v>HIGH</v>
      </c>
      <c r="O2228" s="4" t="str">
        <f t="shared" si="103"/>
        <v>OTHERS</v>
      </c>
      <c r="P2228" s="4" t="str">
        <f t="shared" si="104"/>
        <v>PREMINUM MORNING</v>
      </c>
    </row>
    <row r="2229" spans="1:16" x14ac:dyDescent="0.3">
      <c r="A2229" s="4">
        <v>22</v>
      </c>
      <c r="B2229" t="s">
        <v>11</v>
      </c>
      <c r="C2229" s="4">
        <v>35.76</v>
      </c>
      <c r="D2229" t="s">
        <v>12</v>
      </c>
      <c r="E2229" t="s">
        <v>20</v>
      </c>
      <c r="F2229" s="4" t="s">
        <v>30</v>
      </c>
      <c r="G2229" s="4" t="s">
        <v>38</v>
      </c>
      <c r="H2229" s="4">
        <v>4</v>
      </c>
      <c r="I2229" s="4">
        <v>11</v>
      </c>
      <c r="J2229" s="1">
        <v>45610</v>
      </c>
      <c r="K2229" s="2">
        <v>2.8267361111111115E-2</v>
      </c>
      <c r="M2229" s="4" t="str">
        <f t="shared" si="102"/>
        <v>HIGH</v>
      </c>
      <c r="N2229" s="4" t="str" cm="1">
        <f t="array" ref="N2229">_xlfn.IFS(C2229&gt;35,"HIGH",C2229&gt;25,"MIDDLE",TRUE,"LOW")</f>
        <v>HIGH</v>
      </c>
      <c r="O2229" s="4" t="str">
        <f t="shared" si="103"/>
        <v>OTHERS</v>
      </c>
      <c r="P2229" s="4" t="str">
        <f t="shared" si="104"/>
        <v>PREMINUM MORNING</v>
      </c>
    </row>
    <row r="2230" spans="1:16" x14ac:dyDescent="0.3">
      <c r="A2230" s="4">
        <v>8</v>
      </c>
      <c r="B2230" t="s">
        <v>11</v>
      </c>
      <c r="C2230" s="4">
        <v>30.86</v>
      </c>
      <c r="D2230" t="s">
        <v>19</v>
      </c>
      <c r="E2230" t="s">
        <v>13</v>
      </c>
      <c r="F2230" s="4" t="s">
        <v>14</v>
      </c>
      <c r="G2230" s="4" t="s">
        <v>38</v>
      </c>
      <c r="H2230" s="4">
        <v>5</v>
      </c>
      <c r="I2230" s="4">
        <v>11</v>
      </c>
      <c r="J2230" s="1">
        <v>45611</v>
      </c>
      <c r="K2230" s="2">
        <v>3.1841435185185181E-2</v>
      </c>
      <c r="M2230" s="4" t="str">
        <f t="shared" si="102"/>
        <v>LOW</v>
      </c>
      <c r="N2230" s="4" t="str" cm="1">
        <f t="array" ref="N2230">_xlfn.IFS(C2230&gt;35,"HIGH",C2230&gt;25,"MIDDLE",TRUE,"LOW")</f>
        <v>MIDDLE</v>
      </c>
      <c r="O2230" s="4" t="str">
        <f t="shared" si="103"/>
        <v>OTHERS</v>
      </c>
      <c r="P2230" s="4" t="str">
        <f t="shared" si="104"/>
        <v>PREMINUM MORNING</v>
      </c>
    </row>
    <row r="2231" spans="1:16" x14ac:dyDescent="0.3">
      <c r="A2231" s="4">
        <v>11</v>
      </c>
      <c r="B2231" t="s">
        <v>11</v>
      </c>
      <c r="C2231" s="4">
        <v>30.86</v>
      </c>
      <c r="D2231" t="s">
        <v>19</v>
      </c>
      <c r="E2231" t="s">
        <v>13</v>
      </c>
      <c r="F2231" s="4" t="s">
        <v>14</v>
      </c>
      <c r="G2231" s="4" t="s">
        <v>38</v>
      </c>
      <c r="H2231" s="4">
        <v>5</v>
      </c>
      <c r="I2231" s="4">
        <v>11</v>
      </c>
      <c r="J2231" s="1">
        <v>45611</v>
      </c>
      <c r="K2231" s="2">
        <v>4.0856481481481481E-3</v>
      </c>
      <c r="M2231" s="4" t="str">
        <f t="shared" si="102"/>
        <v>LOW</v>
      </c>
      <c r="N2231" s="4" t="str" cm="1">
        <f t="array" ref="N2231">_xlfn.IFS(C2231&gt;35,"HIGH",C2231&gt;25,"MIDDLE",TRUE,"LOW")</f>
        <v>MIDDLE</v>
      </c>
      <c r="O2231" s="4" t="str">
        <f t="shared" si="103"/>
        <v>OTHERS</v>
      </c>
      <c r="P2231" s="4" t="str">
        <f t="shared" si="104"/>
        <v>PREMINUM MORNING</v>
      </c>
    </row>
    <row r="2232" spans="1:16" x14ac:dyDescent="0.3">
      <c r="A2232" s="4">
        <v>12</v>
      </c>
      <c r="B2232" t="s">
        <v>11</v>
      </c>
      <c r="C2232" s="4">
        <v>35.76</v>
      </c>
      <c r="D2232" t="s">
        <v>21</v>
      </c>
      <c r="E2232" t="s">
        <v>17</v>
      </c>
      <c r="F2232" s="4" t="s">
        <v>14</v>
      </c>
      <c r="G2232" s="4" t="s">
        <v>38</v>
      </c>
      <c r="H2232" s="4">
        <v>5</v>
      </c>
      <c r="I2232" s="4">
        <v>11</v>
      </c>
      <c r="J2232" s="1">
        <v>45611</v>
      </c>
      <c r="K2232" s="2">
        <v>6.2557870370370371E-3</v>
      </c>
      <c r="M2232" s="4" t="str">
        <f t="shared" si="102"/>
        <v>HIGH</v>
      </c>
      <c r="N2232" s="4" t="str" cm="1">
        <f t="array" ref="N2232">_xlfn.IFS(C2232&gt;35,"HIGH",C2232&gt;25,"MIDDLE",TRUE,"LOW")</f>
        <v>HIGH</v>
      </c>
      <c r="O2232" s="4" t="str">
        <f t="shared" si="103"/>
        <v>OTHERS</v>
      </c>
      <c r="P2232" s="4" t="str">
        <f t="shared" si="104"/>
        <v>PREMINUM MORNING</v>
      </c>
    </row>
    <row r="2233" spans="1:16" x14ac:dyDescent="0.3">
      <c r="A2233" s="4">
        <v>12</v>
      </c>
      <c r="B2233" t="s">
        <v>11</v>
      </c>
      <c r="C2233" s="4">
        <v>35.76</v>
      </c>
      <c r="D2233" t="s">
        <v>21</v>
      </c>
      <c r="E2233" t="s">
        <v>17</v>
      </c>
      <c r="F2233" s="4" t="s">
        <v>14</v>
      </c>
      <c r="G2233" s="4" t="s">
        <v>38</v>
      </c>
      <c r="H2233" s="4">
        <v>5</v>
      </c>
      <c r="I2233" s="4">
        <v>11</v>
      </c>
      <c r="J2233" s="1">
        <v>45611</v>
      </c>
      <c r="K2233" s="2">
        <v>9.9375000000000002E-3</v>
      </c>
      <c r="M2233" s="4" t="str">
        <f t="shared" si="102"/>
        <v>HIGH</v>
      </c>
      <c r="N2233" s="4" t="str" cm="1">
        <f t="array" ref="N2233">_xlfn.IFS(C2233&gt;35,"HIGH",C2233&gt;25,"MIDDLE",TRUE,"LOW")</f>
        <v>HIGH</v>
      </c>
      <c r="O2233" s="4" t="str">
        <f t="shared" si="103"/>
        <v>OTHERS</v>
      </c>
      <c r="P2233" s="4" t="str">
        <f t="shared" si="104"/>
        <v>PREMINUM MORNING</v>
      </c>
    </row>
    <row r="2234" spans="1:16" x14ac:dyDescent="0.3">
      <c r="A2234" s="4">
        <v>13</v>
      </c>
      <c r="B2234" t="s">
        <v>11</v>
      </c>
      <c r="C2234" s="4">
        <v>35.76</v>
      </c>
      <c r="D2234" t="s">
        <v>12</v>
      </c>
      <c r="E2234" t="s">
        <v>17</v>
      </c>
      <c r="F2234" s="4" t="s">
        <v>14</v>
      </c>
      <c r="G2234" s="4" t="s">
        <v>38</v>
      </c>
      <c r="H2234" s="4">
        <v>5</v>
      </c>
      <c r="I2234" s="4">
        <v>11</v>
      </c>
      <c r="J2234" s="1">
        <v>45611</v>
      </c>
      <c r="K2234" s="2">
        <v>3.9975694444444446E-2</v>
      </c>
      <c r="M2234" s="4" t="str">
        <f t="shared" si="102"/>
        <v>HIGH</v>
      </c>
      <c r="N2234" s="4" t="str" cm="1">
        <f t="array" ref="N2234">_xlfn.IFS(C2234&gt;35,"HIGH",C2234&gt;25,"MIDDLE",TRUE,"LOW")</f>
        <v>HIGH</v>
      </c>
      <c r="O2234" s="4" t="str">
        <f t="shared" si="103"/>
        <v>OTHERS</v>
      </c>
      <c r="P2234" s="4" t="str">
        <f t="shared" si="104"/>
        <v>PREMINUM MORNING</v>
      </c>
    </row>
    <row r="2235" spans="1:16" x14ac:dyDescent="0.3">
      <c r="A2235" s="4">
        <v>15</v>
      </c>
      <c r="B2235" t="s">
        <v>11</v>
      </c>
      <c r="C2235" s="4">
        <v>25.96</v>
      </c>
      <c r="D2235" t="s">
        <v>18</v>
      </c>
      <c r="E2235" t="s">
        <v>17</v>
      </c>
      <c r="F2235" s="4" t="s">
        <v>14</v>
      </c>
      <c r="G2235" s="4" t="s">
        <v>38</v>
      </c>
      <c r="H2235" s="4">
        <v>5</v>
      </c>
      <c r="I2235" s="4">
        <v>11</v>
      </c>
      <c r="J2235" s="1">
        <v>45611</v>
      </c>
      <c r="K2235" s="2">
        <v>1.3780092592592592E-2</v>
      </c>
      <c r="M2235" s="4" t="str">
        <f t="shared" si="102"/>
        <v>LOW</v>
      </c>
      <c r="N2235" s="4" t="str" cm="1">
        <f t="array" ref="N2235">_xlfn.IFS(C2235&gt;35,"HIGH",C2235&gt;25,"MIDDLE",TRUE,"LOW")</f>
        <v>MIDDLE</v>
      </c>
      <c r="O2235" s="4" t="str">
        <f t="shared" si="103"/>
        <v>OTHERS</v>
      </c>
      <c r="P2235" s="4" t="str">
        <f t="shared" si="104"/>
        <v>OTHERS</v>
      </c>
    </row>
    <row r="2236" spans="1:16" x14ac:dyDescent="0.3">
      <c r="A2236" s="4">
        <v>17</v>
      </c>
      <c r="B2236" t="s">
        <v>11</v>
      </c>
      <c r="C2236" s="4">
        <v>30.86</v>
      </c>
      <c r="D2236" t="s">
        <v>19</v>
      </c>
      <c r="E2236" t="s">
        <v>20</v>
      </c>
      <c r="F2236" s="4" t="s">
        <v>14</v>
      </c>
      <c r="G2236" s="4" t="s">
        <v>38</v>
      </c>
      <c r="H2236" s="4">
        <v>5</v>
      </c>
      <c r="I2236" s="4">
        <v>11</v>
      </c>
      <c r="J2236" s="1">
        <v>45611</v>
      </c>
      <c r="K2236" s="2">
        <v>2.4781249999999998E-2</v>
      </c>
      <c r="M2236" s="4" t="str">
        <f t="shared" si="102"/>
        <v>LOW</v>
      </c>
      <c r="N2236" s="4" t="str" cm="1">
        <f t="array" ref="N2236">_xlfn.IFS(C2236&gt;35,"HIGH",C2236&gt;25,"MIDDLE",TRUE,"LOW")</f>
        <v>MIDDLE</v>
      </c>
      <c r="O2236" s="4" t="str">
        <f t="shared" si="103"/>
        <v>OTHERS</v>
      </c>
      <c r="P2236" s="4" t="str">
        <f t="shared" si="104"/>
        <v>OTHERS</v>
      </c>
    </row>
    <row r="2237" spans="1:16" x14ac:dyDescent="0.3">
      <c r="A2237" s="4">
        <v>17</v>
      </c>
      <c r="B2237" t="s">
        <v>11</v>
      </c>
      <c r="C2237" s="4">
        <v>35.76</v>
      </c>
      <c r="D2237" t="s">
        <v>12</v>
      </c>
      <c r="E2237" t="s">
        <v>20</v>
      </c>
      <c r="F2237" s="4" t="s">
        <v>14</v>
      </c>
      <c r="G2237" s="4" t="s">
        <v>38</v>
      </c>
      <c r="H2237" s="4">
        <v>5</v>
      </c>
      <c r="I2237" s="4">
        <v>11</v>
      </c>
      <c r="J2237" s="1">
        <v>45611</v>
      </c>
      <c r="K2237" s="2">
        <v>3.8211805555555554E-2</v>
      </c>
      <c r="M2237" s="4" t="str">
        <f t="shared" si="102"/>
        <v>HIGH</v>
      </c>
      <c r="N2237" s="4" t="str" cm="1">
        <f t="array" ref="N2237">_xlfn.IFS(C2237&gt;35,"HIGH",C2237&gt;25,"MIDDLE",TRUE,"LOW")</f>
        <v>HIGH</v>
      </c>
      <c r="O2237" s="4" t="str">
        <f t="shared" si="103"/>
        <v>OTHERS</v>
      </c>
      <c r="P2237" s="4" t="str">
        <f t="shared" si="104"/>
        <v>PREMINUM MORNING</v>
      </c>
    </row>
    <row r="2238" spans="1:16" x14ac:dyDescent="0.3">
      <c r="A2238" s="4">
        <v>18</v>
      </c>
      <c r="B2238" t="s">
        <v>11</v>
      </c>
      <c r="C2238" s="4">
        <v>35.76</v>
      </c>
      <c r="D2238" t="s">
        <v>16</v>
      </c>
      <c r="E2238" t="s">
        <v>20</v>
      </c>
      <c r="F2238" s="4" t="s">
        <v>14</v>
      </c>
      <c r="G2238" s="4" t="s">
        <v>38</v>
      </c>
      <c r="H2238" s="4">
        <v>5</v>
      </c>
      <c r="I2238" s="4">
        <v>11</v>
      </c>
      <c r="J2238" s="1">
        <v>45611</v>
      </c>
      <c r="K2238" s="2">
        <v>8.8530092592592584E-3</v>
      </c>
      <c r="M2238" s="4" t="str">
        <f t="shared" si="102"/>
        <v>HIGH</v>
      </c>
      <c r="N2238" s="4" t="str" cm="1">
        <f t="array" ref="N2238">_xlfn.IFS(C2238&gt;35,"HIGH",C2238&gt;25,"MIDDLE",TRUE,"LOW")</f>
        <v>HIGH</v>
      </c>
      <c r="O2238" s="4" t="str">
        <f t="shared" si="103"/>
        <v>OTHERS</v>
      </c>
      <c r="P2238" s="4" t="str">
        <f t="shared" si="104"/>
        <v>PREMINUM MORNING</v>
      </c>
    </row>
    <row r="2239" spans="1:16" x14ac:dyDescent="0.3">
      <c r="A2239" s="4">
        <v>18</v>
      </c>
      <c r="B2239" t="s">
        <v>11</v>
      </c>
      <c r="C2239" s="4">
        <v>30.86</v>
      </c>
      <c r="D2239" t="s">
        <v>19</v>
      </c>
      <c r="E2239" t="s">
        <v>20</v>
      </c>
      <c r="F2239" s="4" t="s">
        <v>14</v>
      </c>
      <c r="G2239" s="4" t="s">
        <v>38</v>
      </c>
      <c r="H2239" s="4">
        <v>5</v>
      </c>
      <c r="I2239" s="4">
        <v>11</v>
      </c>
      <c r="J2239" s="1">
        <v>45611</v>
      </c>
      <c r="K2239" s="2">
        <v>2.9420138888888892E-2</v>
      </c>
      <c r="M2239" s="4" t="str">
        <f t="shared" si="102"/>
        <v>LOW</v>
      </c>
      <c r="N2239" s="4" t="str" cm="1">
        <f t="array" ref="N2239">_xlfn.IFS(C2239&gt;35,"HIGH",C2239&gt;25,"MIDDLE",TRUE,"LOW")</f>
        <v>MIDDLE</v>
      </c>
      <c r="O2239" s="4" t="str">
        <f t="shared" si="103"/>
        <v>OTHERS</v>
      </c>
      <c r="P2239" s="4" t="str">
        <f t="shared" si="104"/>
        <v>OTHERS</v>
      </c>
    </row>
    <row r="2240" spans="1:16" x14ac:dyDescent="0.3">
      <c r="A2240" s="4">
        <v>18</v>
      </c>
      <c r="B2240" t="s">
        <v>11</v>
      </c>
      <c r="C2240" s="4">
        <v>30.86</v>
      </c>
      <c r="D2240" t="s">
        <v>19</v>
      </c>
      <c r="E2240" t="s">
        <v>20</v>
      </c>
      <c r="F2240" s="4" t="s">
        <v>14</v>
      </c>
      <c r="G2240" s="4" t="s">
        <v>38</v>
      </c>
      <c r="H2240" s="4">
        <v>5</v>
      </c>
      <c r="I2240" s="4">
        <v>11</v>
      </c>
      <c r="J2240" s="1">
        <v>45611</v>
      </c>
      <c r="K2240" s="2">
        <v>3.0106481481481481E-2</v>
      </c>
      <c r="M2240" s="4" t="str">
        <f t="shared" si="102"/>
        <v>LOW</v>
      </c>
      <c r="N2240" s="4" t="str" cm="1">
        <f t="array" ref="N2240">_xlfn.IFS(C2240&gt;35,"HIGH",C2240&gt;25,"MIDDLE",TRUE,"LOW")</f>
        <v>MIDDLE</v>
      </c>
      <c r="O2240" s="4" t="str">
        <f t="shared" si="103"/>
        <v>OTHERS</v>
      </c>
      <c r="P2240" s="4" t="str">
        <f t="shared" si="104"/>
        <v>OTHERS</v>
      </c>
    </row>
    <row r="2241" spans="1:16" x14ac:dyDescent="0.3">
      <c r="A2241" s="4">
        <v>10</v>
      </c>
      <c r="B2241" t="s">
        <v>11</v>
      </c>
      <c r="C2241" s="4">
        <v>25.96</v>
      </c>
      <c r="D2241" t="s">
        <v>24</v>
      </c>
      <c r="E2241" t="s">
        <v>13</v>
      </c>
      <c r="F2241" s="4" t="s">
        <v>22</v>
      </c>
      <c r="G2241" s="4" t="s">
        <v>38</v>
      </c>
      <c r="H2241" s="4">
        <v>6</v>
      </c>
      <c r="I2241" s="4">
        <v>11</v>
      </c>
      <c r="J2241" s="1">
        <v>45612</v>
      </c>
      <c r="K2241" s="2">
        <v>1.498726851851852E-2</v>
      </c>
      <c r="M2241" s="4" t="str">
        <f t="shared" si="102"/>
        <v>LOW</v>
      </c>
      <c r="N2241" s="4" t="str" cm="1">
        <f t="array" ref="N2241">_xlfn.IFS(C2241&gt;35,"HIGH",C2241&gt;25,"MIDDLE",TRUE,"LOW")</f>
        <v>MIDDLE</v>
      </c>
      <c r="O2241" s="4" t="str">
        <f t="shared" si="103"/>
        <v>OTHERS</v>
      </c>
      <c r="P2241" s="4" t="str">
        <f t="shared" si="104"/>
        <v>PREMINUM MORNING</v>
      </c>
    </row>
    <row r="2242" spans="1:16" x14ac:dyDescent="0.3">
      <c r="A2242" s="4">
        <v>10</v>
      </c>
      <c r="B2242" t="s">
        <v>11</v>
      </c>
      <c r="C2242" s="4">
        <v>25.96</v>
      </c>
      <c r="D2242" t="s">
        <v>24</v>
      </c>
      <c r="E2242" t="s">
        <v>13</v>
      </c>
      <c r="F2242" s="4" t="s">
        <v>22</v>
      </c>
      <c r="G2242" s="4" t="s">
        <v>38</v>
      </c>
      <c r="H2242" s="4">
        <v>6</v>
      </c>
      <c r="I2242" s="4">
        <v>11</v>
      </c>
      <c r="J2242" s="1">
        <v>45612</v>
      </c>
      <c r="K2242" s="2">
        <v>3.1844907407407405E-2</v>
      </c>
      <c r="M2242" s="4" t="str">
        <f t="shared" si="102"/>
        <v>LOW</v>
      </c>
      <c r="N2242" s="4" t="str" cm="1">
        <f t="array" ref="N2242">_xlfn.IFS(C2242&gt;35,"HIGH",C2242&gt;25,"MIDDLE",TRUE,"LOW")</f>
        <v>MIDDLE</v>
      </c>
      <c r="O2242" s="4" t="str">
        <f t="shared" si="103"/>
        <v>OTHERS</v>
      </c>
      <c r="P2242" s="4" t="str">
        <f t="shared" si="104"/>
        <v>PREMINUM MORNING</v>
      </c>
    </row>
    <row r="2243" spans="1:16" x14ac:dyDescent="0.3">
      <c r="A2243" s="4">
        <v>11</v>
      </c>
      <c r="B2243" t="s">
        <v>11</v>
      </c>
      <c r="C2243" s="4">
        <v>35.76</v>
      </c>
      <c r="D2243" t="s">
        <v>16</v>
      </c>
      <c r="E2243" t="s">
        <v>13</v>
      </c>
      <c r="F2243" s="4" t="s">
        <v>22</v>
      </c>
      <c r="G2243" s="4" t="s">
        <v>38</v>
      </c>
      <c r="H2243" s="4">
        <v>6</v>
      </c>
      <c r="I2243" s="4">
        <v>11</v>
      </c>
      <c r="J2243" s="1">
        <v>45612</v>
      </c>
      <c r="K2243" s="2">
        <v>1.3969907407407407E-3</v>
      </c>
      <c r="M2243" s="4" t="str">
        <f t="shared" ref="M2243:M2306" si="105">IF(C2243&gt;35,"HIGH","LOW")</f>
        <v>HIGH</v>
      </c>
      <c r="N2243" s="4" t="str" cm="1">
        <f t="array" ref="N2243">_xlfn.IFS(C2243&gt;35,"HIGH",C2243&gt;25,"MIDDLE",TRUE,"LOW")</f>
        <v>HIGH</v>
      </c>
      <c r="O2243" s="4" t="str">
        <f t="shared" ref="O2243:O2306" si="106">IF(AND(C2243&gt;35,E2243="MORNING"),"PREMINUM MORNING","OTHERS")</f>
        <v>PREMINUM MORNING</v>
      </c>
      <c r="P2243" s="4" t="str">
        <f t="shared" ref="P2243:P2306" si="107">IF(OR(C2243&gt;35,E2243="MORNING"),"PREMINUM MORNING","OTHERS")</f>
        <v>PREMINUM MORNING</v>
      </c>
    </row>
    <row r="2244" spans="1:16" x14ac:dyDescent="0.3">
      <c r="A2244" s="4">
        <v>11</v>
      </c>
      <c r="B2244" t="s">
        <v>11</v>
      </c>
      <c r="C2244" s="4">
        <v>35.76</v>
      </c>
      <c r="D2244" t="s">
        <v>12</v>
      </c>
      <c r="E2244" t="s">
        <v>13</v>
      </c>
      <c r="F2244" s="4" t="s">
        <v>22</v>
      </c>
      <c r="G2244" s="4" t="s">
        <v>38</v>
      </c>
      <c r="H2244" s="4">
        <v>6</v>
      </c>
      <c r="I2244" s="4">
        <v>11</v>
      </c>
      <c r="J2244" s="1">
        <v>45612</v>
      </c>
      <c r="K2244" s="2">
        <v>2.1597222222222222E-3</v>
      </c>
      <c r="M2244" s="4" t="str">
        <f t="shared" si="105"/>
        <v>HIGH</v>
      </c>
      <c r="N2244" s="4" t="str" cm="1">
        <f t="array" ref="N2244">_xlfn.IFS(C2244&gt;35,"HIGH",C2244&gt;25,"MIDDLE",TRUE,"LOW")</f>
        <v>HIGH</v>
      </c>
      <c r="O2244" s="4" t="str">
        <f t="shared" si="106"/>
        <v>PREMINUM MORNING</v>
      </c>
      <c r="P2244" s="4" t="str">
        <f t="shared" si="107"/>
        <v>PREMINUM MORNING</v>
      </c>
    </row>
    <row r="2245" spans="1:16" x14ac:dyDescent="0.3">
      <c r="A2245" s="4">
        <v>11</v>
      </c>
      <c r="B2245" t="s">
        <v>11</v>
      </c>
      <c r="C2245" s="4">
        <v>25.96</v>
      </c>
      <c r="D2245" t="s">
        <v>18</v>
      </c>
      <c r="E2245" t="s">
        <v>13</v>
      </c>
      <c r="F2245" s="4" t="s">
        <v>22</v>
      </c>
      <c r="G2245" s="4" t="s">
        <v>38</v>
      </c>
      <c r="H2245" s="4">
        <v>6</v>
      </c>
      <c r="I2245" s="4">
        <v>11</v>
      </c>
      <c r="J2245" s="1">
        <v>45612</v>
      </c>
      <c r="K2245" s="2">
        <v>2.7372685185185184E-2</v>
      </c>
      <c r="M2245" s="4" t="str">
        <f t="shared" si="105"/>
        <v>LOW</v>
      </c>
      <c r="N2245" s="4" t="str" cm="1">
        <f t="array" ref="N2245">_xlfn.IFS(C2245&gt;35,"HIGH",C2245&gt;25,"MIDDLE",TRUE,"LOW")</f>
        <v>MIDDLE</v>
      </c>
      <c r="O2245" s="4" t="str">
        <f t="shared" si="106"/>
        <v>OTHERS</v>
      </c>
      <c r="P2245" s="4" t="str">
        <f t="shared" si="107"/>
        <v>PREMINUM MORNING</v>
      </c>
    </row>
    <row r="2246" spans="1:16" x14ac:dyDescent="0.3">
      <c r="A2246" s="4">
        <v>12</v>
      </c>
      <c r="B2246" t="s">
        <v>11</v>
      </c>
      <c r="C2246" s="4">
        <v>35.76</v>
      </c>
      <c r="D2246" t="s">
        <v>29</v>
      </c>
      <c r="E2246" t="s">
        <v>17</v>
      </c>
      <c r="F2246" s="4" t="s">
        <v>22</v>
      </c>
      <c r="G2246" s="4" t="s">
        <v>38</v>
      </c>
      <c r="H2246" s="4">
        <v>6</v>
      </c>
      <c r="I2246" s="4">
        <v>11</v>
      </c>
      <c r="J2246" s="1">
        <v>45612</v>
      </c>
      <c r="K2246" s="2">
        <v>2.1006944444444446E-2</v>
      </c>
      <c r="M2246" s="4" t="str">
        <f t="shared" si="105"/>
        <v>HIGH</v>
      </c>
      <c r="N2246" s="4" t="str" cm="1">
        <f t="array" ref="N2246">_xlfn.IFS(C2246&gt;35,"HIGH",C2246&gt;25,"MIDDLE",TRUE,"LOW")</f>
        <v>HIGH</v>
      </c>
      <c r="O2246" s="4" t="str">
        <f t="shared" si="106"/>
        <v>OTHERS</v>
      </c>
      <c r="P2246" s="4" t="str">
        <f t="shared" si="107"/>
        <v>PREMINUM MORNING</v>
      </c>
    </row>
    <row r="2247" spans="1:16" x14ac:dyDescent="0.3">
      <c r="A2247" s="4">
        <v>12</v>
      </c>
      <c r="B2247" t="s">
        <v>11</v>
      </c>
      <c r="C2247" s="4">
        <v>30.86</v>
      </c>
      <c r="D2247" t="s">
        <v>19</v>
      </c>
      <c r="E2247" t="s">
        <v>17</v>
      </c>
      <c r="F2247" s="4" t="s">
        <v>22</v>
      </c>
      <c r="G2247" s="4" t="s">
        <v>38</v>
      </c>
      <c r="H2247" s="4">
        <v>6</v>
      </c>
      <c r="I2247" s="4">
        <v>11</v>
      </c>
      <c r="J2247" s="1">
        <v>45612</v>
      </c>
      <c r="K2247" s="2">
        <v>2.2113425925925925E-2</v>
      </c>
      <c r="M2247" s="4" t="str">
        <f t="shared" si="105"/>
        <v>LOW</v>
      </c>
      <c r="N2247" s="4" t="str" cm="1">
        <f t="array" ref="N2247">_xlfn.IFS(C2247&gt;35,"HIGH",C2247&gt;25,"MIDDLE",TRUE,"LOW")</f>
        <v>MIDDLE</v>
      </c>
      <c r="O2247" s="4" t="str">
        <f t="shared" si="106"/>
        <v>OTHERS</v>
      </c>
      <c r="P2247" s="4" t="str">
        <f t="shared" si="107"/>
        <v>OTHERS</v>
      </c>
    </row>
    <row r="2248" spans="1:16" x14ac:dyDescent="0.3">
      <c r="A2248" s="4">
        <v>12</v>
      </c>
      <c r="B2248" t="s">
        <v>11</v>
      </c>
      <c r="C2248" s="4">
        <v>35.76</v>
      </c>
      <c r="D2248" t="s">
        <v>12</v>
      </c>
      <c r="E2248" t="s">
        <v>17</v>
      </c>
      <c r="F2248" s="4" t="s">
        <v>22</v>
      </c>
      <c r="G2248" s="4" t="s">
        <v>38</v>
      </c>
      <c r="H2248" s="4">
        <v>6</v>
      </c>
      <c r="I2248" s="4">
        <v>11</v>
      </c>
      <c r="J2248" s="1">
        <v>45612</v>
      </c>
      <c r="K2248" s="2">
        <v>3.3747685185185186E-2</v>
      </c>
      <c r="M2248" s="4" t="str">
        <f t="shared" si="105"/>
        <v>HIGH</v>
      </c>
      <c r="N2248" s="4" t="str" cm="1">
        <f t="array" ref="N2248">_xlfn.IFS(C2248&gt;35,"HIGH",C2248&gt;25,"MIDDLE",TRUE,"LOW")</f>
        <v>HIGH</v>
      </c>
      <c r="O2248" s="4" t="str">
        <f t="shared" si="106"/>
        <v>OTHERS</v>
      </c>
      <c r="P2248" s="4" t="str">
        <f t="shared" si="107"/>
        <v>PREMINUM MORNING</v>
      </c>
    </row>
    <row r="2249" spans="1:16" x14ac:dyDescent="0.3">
      <c r="A2249" s="4">
        <v>12</v>
      </c>
      <c r="B2249" t="s">
        <v>11</v>
      </c>
      <c r="C2249" s="4">
        <v>35.76</v>
      </c>
      <c r="D2249" t="s">
        <v>12</v>
      </c>
      <c r="E2249" t="s">
        <v>17</v>
      </c>
      <c r="F2249" s="4" t="s">
        <v>22</v>
      </c>
      <c r="G2249" s="4" t="s">
        <v>38</v>
      </c>
      <c r="H2249" s="4">
        <v>6</v>
      </c>
      <c r="I2249" s="4">
        <v>11</v>
      </c>
      <c r="J2249" s="1">
        <v>45612</v>
      </c>
      <c r="K2249" s="2">
        <v>3.4434027777777779E-2</v>
      </c>
      <c r="M2249" s="4" t="str">
        <f t="shared" si="105"/>
        <v>HIGH</v>
      </c>
      <c r="N2249" s="4" t="str" cm="1">
        <f t="array" ref="N2249">_xlfn.IFS(C2249&gt;35,"HIGH",C2249&gt;25,"MIDDLE",TRUE,"LOW")</f>
        <v>HIGH</v>
      </c>
      <c r="O2249" s="4" t="str">
        <f t="shared" si="106"/>
        <v>OTHERS</v>
      </c>
      <c r="P2249" s="4" t="str">
        <f t="shared" si="107"/>
        <v>PREMINUM MORNING</v>
      </c>
    </row>
    <row r="2250" spans="1:16" x14ac:dyDescent="0.3">
      <c r="A2250" s="4">
        <v>13</v>
      </c>
      <c r="B2250" t="s">
        <v>11</v>
      </c>
      <c r="C2250" s="4">
        <v>30.86</v>
      </c>
      <c r="D2250" t="s">
        <v>19</v>
      </c>
      <c r="E2250" t="s">
        <v>17</v>
      </c>
      <c r="F2250" s="4" t="s">
        <v>22</v>
      </c>
      <c r="G2250" s="4" t="s">
        <v>38</v>
      </c>
      <c r="H2250" s="4">
        <v>6</v>
      </c>
      <c r="I2250" s="4">
        <v>11</v>
      </c>
      <c r="J2250" s="1">
        <v>45612</v>
      </c>
      <c r="K2250" s="2">
        <v>1.1753472222222222E-2</v>
      </c>
      <c r="M2250" s="4" t="str">
        <f t="shared" si="105"/>
        <v>LOW</v>
      </c>
      <c r="N2250" s="4" t="str" cm="1">
        <f t="array" ref="N2250">_xlfn.IFS(C2250&gt;35,"HIGH",C2250&gt;25,"MIDDLE",TRUE,"LOW")</f>
        <v>MIDDLE</v>
      </c>
      <c r="O2250" s="4" t="str">
        <f t="shared" si="106"/>
        <v>OTHERS</v>
      </c>
      <c r="P2250" s="4" t="str">
        <f t="shared" si="107"/>
        <v>OTHERS</v>
      </c>
    </row>
    <row r="2251" spans="1:16" x14ac:dyDescent="0.3">
      <c r="A2251" s="4">
        <v>13</v>
      </c>
      <c r="B2251" t="s">
        <v>11</v>
      </c>
      <c r="C2251" s="4">
        <v>35.76</v>
      </c>
      <c r="D2251" t="s">
        <v>12</v>
      </c>
      <c r="E2251" t="s">
        <v>17</v>
      </c>
      <c r="F2251" s="4" t="s">
        <v>22</v>
      </c>
      <c r="G2251" s="4" t="s">
        <v>38</v>
      </c>
      <c r="H2251" s="4">
        <v>6</v>
      </c>
      <c r="I2251" s="4">
        <v>11</v>
      </c>
      <c r="J2251" s="1">
        <v>45612</v>
      </c>
      <c r="K2251" s="2">
        <v>1.2505787037037037E-2</v>
      </c>
      <c r="M2251" s="4" t="str">
        <f t="shared" si="105"/>
        <v>HIGH</v>
      </c>
      <c r="N2251" s="4" t="str" cm="1">
        <f t="array" ref="N2251">_xlfn.IFS(C2251&gt;35,"HIGH",C2251&gt;25,"MIDDLE",TRUE,"LOW")</f>
        <v>HIGH</v>
      </c>
      <c r="O2251" s="4" t="str">
        <f t="shared" si="106"/>
        <v>OTHERS</v>
      </c>
      <c r="P2251" s="4" t="str">
        <f t="shared" si="107"/>
        <v>PREMINUM MORNING</v>
      </c>
    </row>
    <row r="2252" spans="1:16" x14ac:dyDescent="0.3">
      <c r="A2252" s="4">
        <v>13</v>
      </c>
      <c r="B2252" t="s">
        <v>11</v>
      </c>
      <c r="C2252" s="4">
        <v>35.76</v>
      </c>
      <c r="D2252" t="s">
        <v>12</v>
      </c>
      <c r="E2252" t="s">
        <v>17</v>
      </c>
      <c r="F2252" s="4" t="s">
        <v>22</v>
      </c>
      <c r="G2252" s="4" t="s">
        <v>38</v>
      </c>
      <c r="H2252" s="4">
        <v>6</v>
      </c>
      <c r="I2252" s="4">
        <v>11</v>
      </c>
      <c r="J2252" s="1">
        <v>45612</v>
      </c>
      <c r="K2252" s="2">
        <v>1.3298611111111112E-2</v>
      </c>
      <c r="M2252" s="4" t="str">
        <f t="shared" si="105"/>
        <v>HIGH</v>
      </c>
      <c r="N2252" s="4" t="str" cm="1">
        <f t="array" ref="N2252">_xlfn.IFS(C2252&gt;35,"HIGH",C2252&gt;25,"MIDDLE",TRUE,"LOW")</f>
        <v>HIGH</v>
      </c>
      <c r="O2252" s="4" t="str">
        <f t="shared" si="106"/>
        <v>OTHERS</v>
      </c>
      <c r="P2252" s="4" t="str">
        <f t="shared" si="107"/>
        <v>PREMINUM MORNING</v>
      </c>
    </row>
    <row r="2253" spans="1:16" x14ac:dyDescent="0.3">
      <c r="A2253" s="4">
        <v>14</v>
      </c>
      <c r="B2253" t="s">
        <v>11</v>
      </c>
      <c r="C2253" s="4">
        <v>30.86</v>
      </c>
      <c r="D2253" t="s">
        <v>19</v>
      </c>
      <c r="E2253" t="s">
        <v>17</v>
      </c>
      <c r="F2253" s="4" t="s">
        <v>22</v>
      </c>
      <c r="G2253" s="4" t="s">
        <v>38</v>
      </c>
      <c r="H2253" s="4">
        <v>6</v>
      </c>
      <c r="I2253" s="4">
        <v>11</v>
      </c>
      <c r="J2253" s="1">
        <v>45612</v>
      </c>
      <c r="K2253" s="2">
        <v>1.7909722222222223E-2</v>
      </c>
      <c r="M2253" s="4" t="str">
        <f t="shared" si="105"/>
        <v>LOW</v>
      </c>
      <c r="N2253" s="4" t="str" cm="1">
        <f t="array" ref="N2253">_xlfn.IFS(C2253&gt;35,"HIGH",C2253&gt;25,"MIDDLE",TRUE,"LOW")</f>
        <v>MIDDLE</v>
      </c>
      <c r="O2253" s="4" t="str">
        <f t="shared" si="106"/>
        <v>OTHERS</v>
      </c>
      <c r="P2253" s="4" t="str">
        <f t="shared" si="107"/>
        <v>OTHERS</v>
      </c>
    </row>
    <row r="2254" spans="1:16" x14ac:dyDescent="0.3">
      <c r="A2254" s="4">
        <v>10</v>
      </c>
      <c r="B2254" t="s">
        <v>11</v>
      </c>
      <c r="C2254" s="4">
        <v>30.86</v>
      </c>
      <c r="D2254" t="s">
        <v>19</v>
      </c>
      <c r="E2254" t="s">
        <v>13</v>
      </c>
      <c r="F2254" s="4" t="s">
        <v>23</v>
      </c>
      <c r="G2254" s="4" t="s">
        <v>38</v>
      </c>
      <c r="H2254" s="4">
        <v>7</v>
      </c>
      <c r="I2254" s="4">
        <v>11</v>
      </c>
      <c r="J2254" s="1">
        <v>45613</v>
      </c>
      <c r="K2254" s="2">
        <v>2.056712962962963E-2</v>
      </c>
      <c r="M2254" s="4" t="str">
        <f t="shared" si="105"/>
        <v>LOW</v>
      </c>
      <c r="N2254" s="4" t="str" cm="1">
        <f t="array" ref="N2254">_xlfn.IFS(C2254&gt;35,"HIGH",C2254&gt;25,"MIDDLE",TRUE,"LOW")</f>
        <v>MIDDLE</v>
      </c>
      <c r="O2254" s="4" t="str">
        <f t="shared" si="106"/>
        <v>OTHERS</v>
      </c>
      <c r="P2254" s="4" t="str">
        <f t="shared" si="107"/>
        <v>PREMINUM MORNING</v>
      </c>
    </row>
    <row r="2255" spans="1:16" x14ac:dyDescent="0.3">
      <c r="A2255" s="4">
        <v>13</v>
      </c>
      <c r="B2255" t="s">
        <v>11</v>
      </c>
      <c r="C2255" s="4">
        <v>30.86</v>
      </c>
      <c r="D2255" t="s">
        <v>19</v>
      </c>
      <c r="E2255" t="s">
        <v>17</v>
      </c>
      <c r="F2255" s="4" t="s">
        <v>23</v>
      </c>
      <c r="G2255" s="4" t="s">
        <v>38</v>
      </c>
      <c r="H2255" s="4">
        <v>7</v>
      </c>
      <c r="I2255" s="4">
        <v>11</v>
      </c>
      <c r="J2255" s="1">
        <v>45613</v>
      </c>
      <c r="K2255" s="2">
        <v>2.4533564814814814E-2</v>
      </c>
      <c r="M2255" s="4" t="str">
        <f t="shared" si="105"/>
        <v>LOW</v>
      </c>
      <c r="N2255" s="4" t="str" cm="1">
        <f t="array" ref="N2255">_xlfn.IFS(C2255&gt;35,"HIGH",C2255&gt;25,"MIDDLE",TRUE,"LOW")</f>
        <v>MIDDLE</v>
      </c>
      <c r="O2255" s="4" t="str">
        <f t="shared" si="106"/>
        <v>OTHERS</v>
      </c>
      <c r="P2255" s="4" t="str">
        <f t="shared" si="107"/>
        <v>OTHERS</v>
      </c>
    </row>
    <row r="2256" spans="1:16" x14ac:dyDescent="0.3">
      <c r="A2256" s="4">
        <v>14</v>
      </c>
      <c r="B2256" t="s">
        <v>11</v>
      </c>
      <c r="C2256" s="4">
        <v>25.96</v>
      </c>
      <c r="D2256" t="s">
        <v>18</v>
      </c>
      <c r="E2256" t="s">
        <v>17</v>
      </c>
      <c r="F2256" s="4" t="s">
        <v>23</v>
      </c>
      <c r="G2256" s="4" t="s">
        <v>38</v>
      </c>
      <c r="H2256" s="4">
        <v>7</v>
      </c>
      <c r="I2256" s="4">
        <v>11</v>
      </c>
      <c r="J2256" s="1">
        <v>45613</v>
      </c>
      <c r="K2256" s="2">
        <v>1.2983796296296295E-2</v>
      </c>
      <c r="M2256" s="4" t="str">
        <f t="shared" si="105"/>
        <v>LOW</v>
      </c>
      <c r="N2256" s="4" t="str" cm="1">
        <f t="array" ref="N2256">_xlfn.IFS(C2256&gt;35,"HIGH",C2256&gt;25,"MIDDLE",TRUE,"LOW")</f>
        <v>MIDDLE</v>
      </c>
      <c r="O2256" s="4" t="str">
        <f t="shared" si="106"/>
        <v>OTHERS</v>
      </c>
      <c r="P2256" s="4" t="str">
        <f t="shared" si="107"/>
        <v>OTHERS</v>
      </c>
    </row>
    <row r="2257" spans="1:16" x14ac:dyDescent="0.3">
      <c r="A2257" s="4">
        <v>14</v>
      </c>
      <c r="B2257" t="s">
        <v>11</v>
      </c>
      <c r="C2257" s="4">
        <v>30.86</v>
      </c>
      <c r="D2257" t="s">
        <v>19</v>
      </c>
      <c r="E2257" t="s">
        <v>17</v>
      </c>
      <c r="F2257" s="4" t="s">
        <v>23</v>
      </c>
      <c r="G2257" s="4" t="s">
        <v>38</v>
      </c>
      <c r="H2257" s="4">
        <v>7</v>
      </c>
      <c r="I2257" s="4">
        <v>11</v>
      </c>
      <c r="J2257" s="1">
        <v>45613</v>
      </c>
      <c r="K2257" s="2">
        <v>2.3381944444444445E-2</v>
      </c>
      <c r="M2257" s="4" t="str">
        <f t="shared" si="105"/>
        <v>LOW</v>
      </c>
      <c r="N2257" s="4" t="str" cm="1">
        <f t="array" ref="N2257">_xlfn.IFS(C2257&gt;35,"HIGH",C2257&gt;25,"MIDDLE",TRUE,"LOW")</f>
        <v>MIDDLE</v>
      </c>
      <c r="O2257" s="4" t="str">
        <f t="shared" si="106"/>
        <v>OTHERS</v>
      </c>
      <c r="P2257" s="4" t="str">
        <f t="shared" si="107"/>
        <v>OTHERS</v>
      </c>
    </row>
    <row r="2258" spans="1:16" x14ac:dyDescent="0.3">
      <c r="A2258" s="4">
        <v>16</v>
      </c>
      <c r="B2258" t="s">
        <v>11</v>
      </c>
      <c r="C2258" s="4">
        <v>35.76</v>
      </c>
      <c r="D2258" t="s">
        <v>12</v>
      </c>
      <c r="E2258" t="s">
        <v>17</v>
      </c>
      <c r="F2258" s="4" t="s">
        <v>23</v>
      </c>
      <c r="G2258" s="4" t="s">
        <v>38</v>
      </c>
      <c r="H2258" s="4">
        <v>7</v>
      </c>
      <c r="I2258" s="4">
        <v>11</v>
      </c>
      <c r="J2258" s="1">
        <v>45613</v>
      </c>
      <c r="K2258" s="2">
        <v>1.9053240740740742E-2</v>
      </c>
      <c r="M2258" s="4" t="str">
        <f t="shared" si="105"/>
        <v>HIGH</v>
      </c>
      <c r="N2258" s="4" t="str" cm="1">
        <f t="array" ref="N2258">_xlfn.IFS(C2258&gt;35,"HIGH",C2258&gt;25,"MIDDLE",TRUE,"LOW")</f>
        <v>HIGH</v>
      </c>
      <c r="O2258" s="4" t="str">
        <f t="shared" si="106"/>
        <v>OTHERS</v>
      </c>
      <c r="P2258" s="4" t="str">
        <f t="shared" si="107"/>
        <v>PREMINUM MORNING</v>
      </c>
    </row>
    <row r="2259" spans="1:16" x14ac:dyDescent="0.3">
      <c r="A2259" s="4">
        <v>16</v>
      </c>
      <c r="B2259" t="s">
        <v>11</v>
      </c>
      <c r="C2259" s="4">
        <v>35.76</v>
      </c>
      <c r="D2259" t="s">
        <v>12</v>
      </c>
      <c r="E2259" t="s">
        <v>17</v>
      </c>
      <c r="F2259" s="4" t="s">
        <v>23</v>
      </c>
      <c r="G2259" s="4" t="s">
        <v>38</v>
      </c>
      <c r="H2259" s="4">
        <v>7</v>
      </c>
      <c r="I2259" s="4">
        <v>11</v>
      </c>
      <c r="J2259" s="1">
        <v>45613</v>
      </c>
      <c r="K2259" s="2">
        <v>1.9858796296296295E-2</v>
      </c>
      <c r="M2259" s="4" t="str">
        <f t="shared" si="105"/>
        <v>HIGH</v>
      </c>
      <c r="N2259" s="4" t="str" cm="1">
        <f t="array" ref="N2259">_xlfn.IFS(C2259&gt;35,"HIGH",C2259&gt;25,"MIDDLE",TRUE,"LOW")</f>
        <v>HIGH</v>
      </c>
      <c r="O2259" s="4" t="str">
        <f t="shared" si="106"/>
        <v>OTHERS</v>
      </c>
      <c r="P2259" s="4" t="str">
        <f t="shared" si="107"/>
        <v>PREMINUM MORNING</v>
      </c>
    </row>
    <row r="2260" spans="1:16" x14ac:dyDescent="0.3">
      <c r="A2260" s="4">
        <v>18</v>
      </c>
      <c r="B2260" t="s">
        <v>11</v>
      </c>
      <c r="C2260" s="4">
        <v>35.76</v>
      </c>
      <c r="D2260" t="s">
        <v>16</v>
      </c>
      <c r="E2260" t="s">
        <v>20</v>
      </c>
      <c r="F2260" s="4" t="s">
        <v>23</v>
      </c>
      <c r="G2260" s="4" t="s">
        <v>38</v>
      </c>
      <c r="H2260" s="4">
        <v>7</v>
      </c>
      <c r="I2260" s="4">
        <v>11</v>
      </c>
      <c r="J2260" s="1">
        <v>45613</v>
      </c>
      <c r="K2260" s="2">
        <v>7.0208333333333338E-3</v>
      </c>
      <c r="M2260" s="4" t="str">
        <f t="shared" si="105"/>
        <v>HIGH</v>
      </c>
      <c r="N2260" s="4" t="str" cm="1">
        <f t="array" ref="N2260">_xlfn.IFS(C2260&gt;35,"HIGH",C2260&gt;25,"MIDDLE",TRUE,"LOW")</f>
        <v>HIGH</v>
      </c>
      <c r="O2260" s="4" t="str">
        <f t="shared" si="106"/>
        <v>OTHERS</v>
      </c>
      <c r="P2260" s="4" t="str">
        <f t="shared" si="107"/>
        <v>PREMINUM MORNING</v>
      </c>
    </row>
    <row r="2261" spans="1:16" x14ac:dyDescent="0.3">
      <c r="A2261" s="4">
        <v>19</v>
      </c>
      <c r="B2261" t="s">
        <v>11</v>
      </c>
      <c r="C2261" s="4">
        <v>35.76</v>
      </c>
      <c r="D2261" t="s">
        <v>16</v>
      </c>
      <c r="E2261" t="s">
        <v>20</v>
      </c>
      <c r="F2261" s="4" t="s">
        <v>23</v>
      </c>
      <c r="G2261" s="4" t="s">
        <v>38</v>
      </c>
      <c r="H2261" s="4">
        <v>7</v>
      </c>
      <c r="I2261" s="4">
        <v>11</v>
      </c>
      <c r="J2261" s="1">
        <v>45613</v>
      </c>
      <c r="K2261" s="2">
        <v>1.2202546296296296E-2</v>
      </c>
      <c r="M2261" s="4" t="str">
        <f t="shared" si="105"/>
        <v>HIGH</v>
      </c>
      <c r="N2261" s="4" t="str" cm="1">
        <f t="array" ref="N2261">_xlfn.IFS(C2261&gt;35,"HIGH",C2261&gt;25,"MIDDLE",TRUE,"LOW")</f>
        <v>HIGH</v>
      </c>
      <c r="O2261" s="4" t="str">
        <f t="shared" si="106"/>
        <v>OTHERS</v>
      </c>
      <c r="P2261" s="4" t="str">
        <f t="shared" si="107"/>
        <v>PREMINUM MORNING</v>
      </c>
    </row>
    <row r="2262" spans="1:16" x14ac:dyDescent="0.3">
      <c r="A2262" s="4">
        <v>19</v>
      </c>
      <c r="B2262" t="s">
        <v>11</v>
      </c>
      <c r="C2262" s="4">
        <v>35.76</v>
      </c>
      <c r="D2262" t="s">
        <v>16</v>
      </c>
      <c r="E2262" t="s">
        <v>20</v>
      </c>
      <c r="F2262" s="4" t="s">
        <v>23</v>
      </c>
      <c r="G2262" s="4" t="s">
        <v>38</v>
      </c>
      <c r="H2262" s="4">
        <v>7</v>
      </c>
      <c r="I2262" s="4">
        <v>11</v>
      </c>
      <c r="J2262" s="1">
        <v>45613</v>
      </c>
      <c r="K2262" s="2">
        <v>1.2818287037037038E-2</v>
      </c>
      <c r="M2262" s="4" t="str">
        <f t="shared" si="105"/>
        <v>HIGH</v>
      </c>
      <c r="N2262" s="4" t="str" cm="1">
        <f t="array" ref="N2262">_xlfn.IFS(C2262&gt;35,"HIGH",C2262&gt;25,"MIDDLE",TRUE,"LOW")</f>
        <v>HIGH</v>
      </c>
      <c r="O2262" s="4" t="str">
        <f t="shared" si="106"/>
        <v>OTHERS</v>
      </c>
      <c r="P2262" s="4" t="str">
        <f t="shared" si="107"/>
        <v>PREMINUM MORNING</v>
      </c>
    </row>
    <row r="2263" spans="1:16" x14ac:dyDescent="0.3">
      <c r="A2263" s="4">
        <v>7</v>
      </c>
      <c r="B2263" t="s">
        <v>11</v>
      </c>
      <c r="C2263" s="4">
        <v>30.86</v>
      </c>
      <c r="D2263" t="s">
        <v>19</v>
      </c>
      <c r="E2263" t="s">
        <v>13</v>
      </c>
      <c r="F2263" s="4" t="s">
        <v>25</v>
      </c>
      <c r="G2263" s="4" t="s">
        <v>38</v>
      </c>
      <c r="H2263" s="4">
        <v>1</v>
      </c>
      <c r="I2263" s="4">
        <v>11</v>
      </c>
      <c r="J2263" s="1">
        <v>45614</v>
      </c>
      <c r="K2263" s="2">
        <v>3.6337962962962961E-2</v>
      </c>
      <c r="M2263" s="4" t="str">
        <f t="shared" si="105"/>
        <v>LOW</v>
      </c>
      <c r="N2263" s="4" t="str" cm="1">
        <f t="array" ref="N2263">_xlfn.IFS(C2263&gt;35,"HIGH",C2263&gt;25,"MIDDLE",TRUE,"LOW")</f>
        <v>MIDDLE</v>
      </c>
      <c r="O2263" s="4" t="str">
        <f t="shared" si="106"/>
        <v>OTHERS</v>
      </c>
      <c r="P2263" s="4" t="str">
        <f t="shared" si="107"/>
        <v>PREMINUM MORNING</v>
      </c>
    </row>
    <row r="2264" spans="1:16" x14ac:dyDescent="0.3">
      <c r="A2264" s="4">
        <v>7</v>
      </c>
      <c r="B2264" t="s">
        <v>11</v>
      </c>
      <c r="C2264" s="4">
        <v>30.86</v>
      </c>
      <c r="D2264" t="s">
        <v>19</v>
      </c>
      <c r="E2264" t="s">
        <v>13</v>
      </c>
      <c r="F2264" s="4" t="s">
        <v>25</v>
      </c>
      <c r="G2264" s="4" t="s">
        <v>38</v>
      </c>
      <c r="H2264" s="4">
        <v>1</v>
      </c>
      <c r="I2264" s="4">
        <v>11</v>
      </c>
      <c r="J2264" s="1">
        <v>45614</v>
      </c>
      <c r="K2264" s="2">
        <v>3.6995370370370373E-2</v>
      </c>
      <c r="M2264" s="4" t="str">
        <f t="shared" si="105"/>
        <v>LOW</v>
      </c>
      <c r="N2264" s="4" t="str" cm="1">
        <f t="array" ref="N2264">_xlfn.IFS(C2264&gt;35,"HIGH",C2264&gt;25,"MIDDLE",TRUE,"LOW")</f>
        <v>MIDDLE</v>
      </c>
      <c r="O2264" s="4" t="str">
        <f t="shared" si="106"/>
        <v>OTHERS</v>
      </c>
      <c r="P2264" s="4" t="str">
        <f t="shared" si="107"/>
        <v>PREMINUM MORNING</v>
      </c>
    </row>
    <row r="2265" spans="1:16" x14ac:dyDescent="0.3">
      <c r="A2265" s="4">
        <v>7</v>
      </c>
      <c r="B2265" t="s">
        <v>11</v>
      </c>
      <c r="C2265" s="4">
        <v>35.76</v>
      </c>
      <c r="D2265" t="s">
        <v>12</v>
      </c>
      <c r="E2265" t="s">
        <v>13</v>
      </c>
      <c r="F2265" s="4" t="s">
        <v>25</v>
      </c>
      <c r="G2265" s="4" t="s">
        <v>38</v>
      </c>
      <c r="H2265" s="4">
        <v>1</v>
      </c>
      <c r="I2265" s="4">
        <v>11</v>
      </c>
      <c r="J2265" s="1">
        <v>45614</v>
      </c>
      <c r="K2265" s="2">
        <v>3.9840277777777773E-2</v>
      </c>
      <c r="M2265" s="4" t="str">
        <f t="shared" si="105"/>
        <v>HIGH</v>
      </c>
      <c r="N2265" s="4" t="str" cm="1">
        <f t="array" ref="N2265">_xlfn.IFS(C2265&gt;35,"HIGH",C2265&gt;25,"MIDDLE",TRUE,"LOW")</f>
        <v>HIGH</v>
      </c>
      <c r="O2265" s="4" t="str">
        <f t="shared" si="106"/>
        <v>PREMINUM MORNING</v>
      </c>
      <c r="P2265" s="4" t="str">
        <f t="shared" si="107"/>
        <v>PREMINUM MORNING</v>
      </c>
    </row>
    <row r="2266" spans="1:16" x14ac:dyDescent="0.3">
      <c r="A2266" s="4">
        <v>16</v>
      </c>
      <c r="B2266" t="s">
        <v>11</v>
      </c>
      <c r="C2266" s="4">
        <v>35.76</v>
      </c>
      <c r="D2266" t="s">
        <v>12</v>
      </c>
      <c r="E2266" t="s">
        <v>17</v>
      </c>
      <c r="F2266" s="4" t="s">
        <v>25</v>
      </c>
      <c r="G2266" s="4" t="s">
        <v>38</v>
      </c>
      <c r="H2266" s="4">
        <v>1</v>
      </c>
      <c r="I2266" s="4">
        <v>11</v>
      </c>
      <c r="J2266" s="1">
        <v>45614</v>
      </c>
      <c r="K2266" s="2">
        <v>3.1123842592592592E-2</v>
      </c>
      <c r="M2266" s="4" t="str">
        <f t="shared" si="105"/>
        <v>HIGH</v>
      </c>
      <c r="N2266" s="4" t="str" cm="1">
        <f t="array" ref="N2266">_xlfn.IFS(C2266&gt;35,"HIGH",C2266&gt;25,"MIDDLE",TRUE,"LOW")</f>
        <v>HIGH</v>
      </c>
      <c r="O2266" s="4" t="str">
        <f t="shared" si="106"/>
        <v>OTHERS</v>
      </c>
      <c r="P2266" s="4" t="str">
        <f t="shared" si="107"/>
        <v>PREMINUM MORNING</v>
      </c>
    </row>
    <row r="2267" spans="1:16" x14ac:dyDescent="0.3">
      <c r="A2267" s="4">
        <v>16</v>
      </c>
      <c r="B2267" t="s">
        <v>11</v>
      </c>
      <c r="C2267" s="4">
        <v>35.76</v>
      </c>
      <c r="D2267" t="s">
        <v>12</v>
      </c>
      <c r="E2267" t="s">
        <v>17</v>
      </c>
      <c r="F2267" s="4" t="s">
        <v>25</v>
      </c>
      <c r="G2267" s="4" t="s">
        <v>38</v>
      </c>
      <c r="H2267" s="4">
        <v>1</v>
      </c>
      <c r="I2267" s="4">
        <v>11</v>
      </c>
      <c r="J2267" s="1">
        <v>45614</v>
      </c>
      <c r="K2267" s="2">
        <v>3.2556712962962961E-2</v>
      </c>
      <c r="M2267" s="4" t="str">
        <f t="shared" si="105"/>
        <v>HIGH</v>
      </c>
      <c r="N2267" s="4" t="str" cm="1">
        <f t="array" ref="N2267">_xlfn.IFS(C2267&gt;35,"HIGH",C2267&gt;25,"MIDDLE",TRUE,"LOW")</f>
        <v>HIGH</v>
      </c>
      <c r="O2267" s="4" t="str">
        <f t="shared" si="106"/>
        <v>OTHERS</v>
      </c>
      <c r="P2267" s="4" t="str">
        <f t="shared" si="107"/>
        <v>PREMINUM MORNING</v>
      </c>
    </row>
    <row r="2268" spans="1:16" x14ac:dyDescent="0.3">
      <c r="A2268" s="4">
        <v>18</v>
      </c>
      <c r="B2268" t="s">
        <v>11</v>
      </c>
      <c r="C2268" s="4">
        <v>35.76</v>
      </c>
      <c r="D2268" t="s">
        <v>12</v>
      </c>
      <c r="E2268" t="s">
        <v>20</v>
      </c>
      <c r="F2268" s="4" t="s">
        <v>25</v>
      </c>
      <c r="G2268" s="4" t="s">
        <v>38</v>
      </c>
      <c r="H2268" s="4">
        <v>1</v>
      </c>
      <c r="I2268" s="4">
        <v>11</v>
      </c>
      <c r="J2268" s="1">
        <v>45614</v>
      </c>
      <c r="K2268" s="2">
        <v>3.5348379629629625E-2</v>
      </c>
      <c r="M2268" s="4" t="str">
        <f t="shared" si="105"/>
        <v>HIGH</v>
      </c>
      <c r="N2268" s="4" t="str" cm="1">
        <f t="array" ref="N2268">_xlfn.IFS(C2268&gt;35,"HIGH",C2268&gt;25,"MIDDLE",TRUE,"LOW")</f>
        <v>HIGH</v>
      </c>
      <c r="O2268" s="4" t="str">
        <f t="shared" si="106"/>
        <v>OTHERS</v>
      </c>
      <c r="P2268" s="4" t="str">
        <f t="shared" si="107"/>
        <v>PREMINUM MORNING</v>
      </c>
    </row>
    <row r="2269" spans="1:16" x14ac:dyDescent="0.3">
      <c r="A2269" s="4">
        <v>7</v>
      </c>
      <c r="B2269" t="s">
        <v>11</v>
      </c>
      <c r="C2269" s="4">
        <v>35.76</v>
      </c>
      <c r="D2269" t="s">
        <v>21</v>
      </c>
      <c r="E2269" t="s">
        <v>13</v>
      </c>
      <c r="F2269" s="4" t="s">
        <v>27</v>
      </c>
      <c r="G2269" s="4" t="s">
        <v>38</v>
      </c>
      <c r="H2269" s="4">
        <v>2</v>
      </c>
      <c r="I2269" s="4">
        <v>11</v>
      </c>
      <c r="J2269" s="1">
        <v>45615</v>
      </c>
      <c r="K2269" s="2">
        <v>3.4034722222222223E-2</v>
      </c>
      <c r="M2269" s="4" t="str">
        <f t="shared" si="105"/>
        <v>HIGH</v>
      </c>
      <c r="N2269" s="4" t="str" cm="1">
        <f t="array" ref="N2269">_xlfn.IFS(C2269&gt;35,"HIGH",C2269&gt;25,"MIDDLE",TRUE,"LOW")</f>
        <v>HIGH</v>
      </c>
      <c r="O2269" s="4" t="str">
        <f t="shared" si="106"/>
        <v>PREMINUM MORNING</v>
      </c>
      <c r="P2269" s="4" t="str">
        <f t="shared" si="107"/>
        <v>PREMINUM MORNING</v>
      </c>
    </row>
    <row r="2270" spans="1:16" x14ac:dyDescent="0.3">
      <c r="A2270" s="4">
        <v>7</v>
      </c>
      <c r="B2270" t="s">
        <v>11</v>
      </c>
      <c r="C2270" s="4">
        <v>30.86</v>
      </c>
      <c r="D2270" t="s">
        <v>19</v>
      </c>
      <c r="E2270" t="s">
        <v>13</v>
      </c>
      <c r="F2270" s="4" t="s">
        <v>27</v>
      </c>
      <c r="G2270" s="4" t="s">
        <v>38</v>
      </c>
      <c r="H2270" s="4">
        <v>2</v>
      </c>
      <c r="I2270" s="4">
        <v>11</v>
      </c>
      <c r="J2270" s="1">
        <v>45615</v>
      </c>
      <c r="K2270" s="2">
        <v>3.5575231481481479E-2</v>
      </c>
      <c r="M2270" s="4" t="str">
        <f t="shared" si="105"/>
        <v>LOW</v>
      </c>
      <c r="N2270" s="4" t="str" cm="1">
        <f t="array" ref="N2270">_xlfn.IFS(C2270&gt;35,"HIGH",C2270&gt;25,"MIDDLE",TRUE,"LOW")</f>
        <v>MIDDLE</v>
      </c>
      <c r="O2270" s="4" t="str">
        <f t="shared" si="106"/>
        <v>OTHERS</v>
      </c>
      <c r="P2270" s="4" t="str">
        <f t="shared" si="107"/>
        <v>PREMINUM MORNING</v>
      </c>
    </row>
    <row r="2271" spans="1:16" x14ac:dyDescent="0.3">
      <c r="A2271" s="4">
        <v>7</v>
      </c>
      <c r="B2271" t="s">
        <v>11</v>
      </c>
      <c r="C2271" s="4">
        <v>35.76</v>
      </c>
      <c r="D2271" t="s">
        <v>12</v>
      </c>
      <c r="E2271" t="s">
        <v>13</v>
      </c>
      <c r="F2271" s="4" t="s">
        <v>27</v>
      </c>
      <c r="G2271" s="4" t="s">
        <v>38</v>
      </c>
      <c r="H2271" s="4">
        <v>2</v>
      </c>
      <c r="I2271" s="4">
        <v>11</v>
      </c>
      <c r="J2271" s="1">
        <v>45615</v>
      </c>
      <c r="K2271" s="2">
        <v>3.6266203703703703E-2</v>
      </c>
      <c r="M2271" s="4" t="str">
        <f t="shared" si="105"/>
        <v>HIGH</v>
      </c>
      <c r="N2271" s="4" t="str" cm="1">
        <f t="array" ref="N2271">_xlfn.IFS(C2271&gt;35,"HIGH",C2271&gt;25,"MIDDLE",TRUE,"LOW")</f>
        <v>HIGH</v>
      </c>
      <c r="O2271" s="4" t="str">
        <f t="shared" si="106"/>
        <v>PREMINUM MORNING</v>
      </c>
      <c r="P2271" s="4" t="str">
        <f t="shared" si="107"/>
        <v>PREMINUM MORNING</v>
      </c>
    </row>
    <row r="2272" spans="1:16" x14ac:dyDescent="0.3">
      <c r="A2272" s="4">
        <v>7</v>
      </c>
      <c r="B2272" t="s">
        <v>11</v>
      </c>
      <c r="C2272" s="4">
        <v>21.06</v>
      </c>
      <c r="D2272" t="s">
        <v>26</v>
      </c>
      <c r="E2272" t="s">
        <v>13</v>
      </c>
      <c r="F2272" s="4" t="s">
        <v>27</v>
      </c>
      <c r="G2272" s="4" t="s">
        <v>38</v>
      </c>
      <c r="H2272" s="4">
        <v>2</v>
      </c>
      <c r="I2272" s="4">
        <v>11</v>
      </c>
      <c r="J2272" s="1">
        <v>45615</v>
      </c>
      <c r="K2272" s="2">
        <v>3.7249999999999998E-2</v>
      </c>
      <c r="M2272" s="4" t="str">
        <f t="shared" si="105"/>
        <v>LOW</v>
      </c>
      <c r="N2272" s="4" t="str" cm="1">
        <f t="array" ref="N2272">_xlfn.IFS(C2272&gt;35,"HIGH",C2272&gt;25,"MIDDLE",TRUE,"LOW")</f>
        <v>LOW</v>
      </c>
      <c r="O2272" s="4" t="str">
        <f t="shared" si="106"/>
        <v>OTHERS</v>
      </c>
      <c r="P2272" s="4" t="str">
        <f t="shared" si="107"/>
        <v>PREMINUM MORNING</v>
      </c>
    </row>
    <row r="2273" spans="1:16" x14ac:dyDescent="0.3">
      <c r="A2273" s="4">
        <v>7</v>
      </c>
      <c r="B2273" t="s">
        <v>11</v>
      </c>
      <c r="C2273" s="4">
        <v>35.76</v>
      </c>
      <c r="D2273" t="s">
        <v>12</v>
      </c>
      <c r="E2273" t="s">
        <v>13</v>
      </c>
      <c r="F2273" s="4" t="s">
        <v>27</v>
      </c>
      <c r="G2273" s="4" t="s">
        <v>38</v>
      </c>
      <c r="H2273" s="4">
        <v>2</v>
      </c>
      <c r="I2273" s="4">
        <v>11</v>
      </c>
      <c r="J2273" s="1">
        <v>45615</v>
      </c>
      <c r="K2273" s="2">
        <v>3.8042824074074076E-2</v>
      </c>
      <c r="M2273" s="4" t="str">
        <f t="shared" si="105"/>
        <v>HIGH</v>
      </c>
      <c r="N2273" s="4" t="str" cm="1">
        <f t="array" ref="N2273">_xlfn.IFS(C2273&gt;35,"HIGH",C2273&gt;25,"MIDDLE",TRUE,"LOW")</f>
        <v>HIGH</v>
      </c>
      <c r="O2273" s="4" t="str">
        <f t="shared" si="106"/>
        <v>PREMINUM MORNING</v>
      </c>
      <c r="P2273" s="4" t="str">
        <f t="shared" si="107"/>
        <v>PREMINUM MORNING</v>
      </c>
    </row>
    <row r="2274" spans="1:16" x14ac:dyDescent="0.3">
      <c r="A2274" s="4">
        <v>10</v>
      </c>
      <c r="B2274" t="s">
        <v>11</v>
      </c>
      <c r="C2274" s="4">
        <v>30.86</v>
      </c>
      <c r="D2274" t="s">
        <v>19</v>
      </c>
      <c r="E2274" t="s">
        <v>13</v>
      </c>
      <c r="F2274" s="4" t="s">
        <v>27</v>
      </c>
      <c r="G2274" s="4" t="s">
        <v>38</v>
      </c>
      <c r="H2274" s="4">
        <v>2</v>
      </c>
      <c r="I2274" s="4">
        <v>11</v>
      </c>
      <c r="J2274" s="1">
        <v>45615</v>
      </c>
      <c r="K2274" s="2">
        <v>2.0409722222222225E-2</v>
      </c>
      <c r="M2274" s="4" t="str">
        <f t="shared" si="105"/>
        <v>LOW</v>
      </c>
      <c r="N2274" s="4" t="str" cm="1">
        <f t="array" ref="N2274">_xlfn.IFS(C2274&gt;35,"HIGH",C2274&gt;25,"MIDDLE",TRUE,"LOW")</f>
        <v>MIDDLE</v>
      </c>
      <c r="O2274" s="4" t="str">
        <f t="shared" si="106"/>
        <v>OTHERS</v>
      </c>
      <c r="P2274" s="4" t="str">
        <f t="shared" si="107"/>
        <v>PREMINUM MORNING</v>
      </c>
    </row>
    <row r="2275" spans="1:16" x14ac:dyDescent="0.3">
      <c r="A2275" s="4">
        <v>11</v>
      </c>
      <c r="B2275" t="s">
        <v>11</v>
      </c>
      <c r="C2275" s="4">
        <v>35.76</v>
      </c>
      <c r="D2275" t="s">
        <v>12</v>
      </c>
      <c r="E2275" t="s">
        <v>13</v>
      </c>
      <c r="F2275" s="4" t="s">
        <v>27</v>
      </c>
      <c r="G2275" s="4" t="s">
        <v>38</v>
      </c>
      <c r="H2275" s="4">
        <v>2</v>
      </c>
      <c r="I2275" s="4">
        <v>11</v>
      </c>
      <c r="J2275" s="1">
        <v>45615</v>
      </c>
      <c r="K2275" s="2">
        <v>4.9652777777777777E-3</v>
      </c>
      <c r="M2275" s="4" t="str">
        <f t="shared" si="105"/>
        <v>HIGH</v>
      </c>
      <c r="N2275" s="4" t="str" cm="1">
        <f t="array" ref="N2275">_xlfn.IFS(C2275&gt;35,"HIGH",C2275&gt;25,"MIDDLE",TRUE,"LOW")</f>
        <v>HIGH</v>
      </c>
      <c r="O2275" s="4" t="str">
        <f t="shared" si="106"/>
        <v>PREMINUM MORNING</v>
      </c>
      <c r="P2275" s="4" t="str">
        <f t="shared" si="107"/>
        <v>PREMINUM MORNING</v>
      </c>
    </row>
    <row r="2276" spans="1:16" x14ac:dyDescent="0.3">
      <c r="A2276" s="4">
        <v>16</v>
      </c>
      <c r="B2276" t="s">
        <v>11</v>
      </c>
      <c r="C2276" s="4">
        <v>35.76</v>
      </c>
      <c r="D2276" t="s">
        <v>21</v>
      </c>
      <c r="E2276" t="s">
        <v>17</v>
      </c>
      <c r="F2276" s="4" t="s">
        <v>27</v>
      </c>
      <c r="G2276" s="4" t="s">
        <v>38</v>
      </c>
      <c r="H2276" s="4">
        <v>2</v>
      </c>
      <c r="I2276" s="4">
        <v>11</v>
      </c>
      <c r="J2276" s="1">
        <v>45615</v>
      </c>
      <c r="K2276" s="2">
        <v>1.5746527777777779E-2</v>
      </c>
      <c r="M2276" s="4" t="str">
        <f t="shared" si="105"/>
        <v>HIGH</v>
      </c>
      <c r="N2276" s="4" t="str" cm="1">
        <f t="array" ref="N2276">_xlfn.IFS(C2276&gt;35,"HIGH",C2276&gt;25,"MIDDLE",TRUE,"LOW")</f>
        <v>HIGH</v>
      </c>
      <c r="O2276" s="4" t="str">
        <f t="shared" si="106"/>
        <v>OTHERS</v>
      </c>
      <c r="P2276" s="4" t="str">
        <f t="shared" si="107"/>
        <v>PREMINUM MORNING</v>
      </c>
    </row>
    <row r="2277" spans="1:16" x14ac:dyDescent="0.3">
      <c r="A2277" s="4">
        <v>16</v>
      </c>
      <c r="B2277" t="s">
        <v>11</v>
      </c>
      <c r="C2277" s="4">
        <v>35.76</v>
      </c>
      <c r="D2277" t="s">
        <v>21</v>
      </c>
      <c r="E2277" t="s">
        <v>17</v>
      </c>
      <c r="F2277" s="4" t="s">
        <v>27</v>
      </c>
      <c r="G2277" s="4" t="s">
        <v>38</v>
      </c>
      <c r="H2277" s="4">
        <v>2</v>
      </c>
      <c r="I2277" s="4">
        <v>11</v>
      </c>
      <c r="J2277" s="1">
        <v>45615</v>
      </c>
      <c r="K2277" s="2">
        <v>1.6659722222222222E-2</v>
      </c>
      <c r="M2277" s="4" t="str">
        <f t="shared" si="105"/>
        <v>HIGH</v>
      </c>
      <c r="N2277" s="4" t="str" cm="1">
        <f t="array" ref="N2277">_xlfn.IFS(C2277&gt;35,"HIGH",C2277&gt;25,"MIDDLE",TRUE,"LOW")</f>
        <v>HIGH</v>
      </c>
      <c r="O2277" s="4" t="str">
        <f t="shared" si="106"/>
        <v>OTHERS</v>
      </c>
      <c r="P2277" s="4" t="str">
        <f t="shared" si="107"/>
        <v>PREMINUM MORNING</v>
      </c>
    </row>
    <row r="2278" spans="1:16" x14ac:dyDescent="0.3">
      <c r="A2278" s="4">
        <v>16</v>
      </c>
      <c r="B2278" t="s">
        <v>11</v>
      </c>
      <c r="C2278" s="4">
        <v>35.76</v>
      </c>
      <c r="D2278" t="s">
        <v>29</v>
      </c>
      <c r="E2278" t="s">
        <v>17</v>
      </c>
      <c r="F2278" s="4" t="s">
        <v>27</v>
      </c>
      <c r="G2278" s="4" t="s">
        <v>38</v>
      </c>
      <c r="H2278" s="4">
        <v>2</v>
      </c>
      <c r="I2278" s="4">
        <v>11</v>
      </c>
      <c r="J2278" s="1">
        <v>45615</v>
      </c>
      <c r="K2278" s="2">
        <v>2.8515046296296295E-2</v>
      </c>
      <c r="M2278" s="4" t="str">
        <f t="shared" si="105"/>
        <v>HIGH</v>
      </c>
      <c r="N2278" s="4" t="str" cm="1">
        <f t="array" ref="N2278">_xlfn.IFS(C2278&gt;35,"HIGH",C2278&gt;25,"MIDDLE",TRUE,"LOW")</f>
        <v>HIGH</v>
      </c>
      <c r="O2278" s="4" t="str">
        <f t="shared" si="106"/>
        <v>OTHERS</v>
      </c>
      <c r="P2278" s="4" t="str">
        <f t="shared" si="107"/>
        <v>PREMINUM MORNING</v>
      </c>
    </row>
    <row r="2279" spans="1:16" x14ac:dyDescent="0.3">
      <c r="A2279" s="4">
        <v>16</v>
      </c>
      <c r="B2279" t="s">
        <v>11</v>
      </c>
      <c r="C2279" s="4">
        <v>35.76</v>
      </c>
      <c r="D2279" t="s">
        <v>29</v>
      </c>
      <c r="E2279" t="s">
        <v>17</v>
      </c>
      <c r="F2279" s="4" t="s">
        <v>27</v>
      </c>
      <c r="G2279" s="4" t="s">
        <v>38</v>
      </c>
      <c r="H2279" s="4">
        <v>2</v>
      </c>
      <c r="I2279" s="4">
        <v>11</v>
      </c>
      <c r="J2279" s="1">
        <v>45615</v>
      </c>
      <c r="K2279" s="2">
        <v>3.3115740740740737E-2</v>
      </c>
      <c r="M2279" s="4" t="str">
        <f t="shared" si="105"/>
        <v>HIGH</v>
      </c>
      <c r="N2279" s="4" t="str" cm="1">
        <f t="array" ref="N2279">_xlfn.IFS(C2279&gt;35,"HIGH",C2279&gt;25,"MIDDLE",TRUE,"LOW")</f>
        <v>HIGH</v>
      </c>
      <c r="O2279" s="4" t="str">
        <f t="shared" si="106"/>
        <v>OTHERS</v>
      </c>
      <c r="P2279" s="4" t="str">
        <f t="shared" si="107"/>
        <v>PREMINUM MORNING</v>
      </c>
    </row>
    <row r="2280" spans="1:16" x14ac:dyDescent="0.3">
      <c r="A2280" s="4">
        <v>13</v>
      </c>
      <c r="B2280" t="s">
        <v>11</v>
      </c>
      <c r="C2280" s="4">
        <v>30.86</v>
      </c>
      <c r="D2280" t="s">
        <v>19</v>
      </c>
      <c r="E2280" t="s">
        <v>17</v>
      </c>
      <c r="F2280" s="4" t="s">
        <v>28</v>
      </c>
      <c r="G2280" s="4" t="s">
        <v>38</v>
      </c>
      <c r="H2280" s="4">
        <v>3</v>
      </c>
      <c r="I2280" s="4">
        <v>11</v>
      </c>
      <c r="J2280" s="1">
        <v>45616</v>
      </c>
      <c r="K2280" s="2">
        <v>2.0586805555555556E-2</v>
      </c>
      <c r="M2280" s="4" t="str">
        <f t="shared" si="105"/>
        <v>LOW</v>
      </c>
      <c r="N2280" s="4" t="str" cm="1">
        <f t="array" ref="N2280">_xlfn.IFS(C2280&gt;35,"HIGH",C2280&gt;25,"MIDDLE",TRUE,"LOW")</f>
        <v>MIDDLE</v>
      </c>
      <c r="O2280" s="4" t="str">
        <f t="shared" si="106"/>
        <v>OTHERS</v>
      </c>
      <c r="P2280" s="4" t="str">
        <f t="shared" si="107"/>
        <v>OTHERS</v>
      </c>
    </row>
    <row r="2281" spans="1:16" x14ac:dyDescent="0.3">
      <c r="A2281" s="4">
        <v>16</v>
      </c>
      <c r="B2281" t="s">
        <v>11</v>
      </c>
      <c r="C2281" s="4">
        <v>35.76</v>
      </c>
      <c r="D2281" t="s">
        <v>12</v>
      </c>
      <c r="E2281" t="s">
        <v>17</v>
      </c>
      <c r="F2281" s="4" t="s">
        <v>28</v>
      </c>
      <c r="G2281" s="4" t="s">
        <v>38</v>
      </c>
      <c r="H2281" s="4">
        <v>3</v>
      </c>
      <c r="I2281" s="4">
        <v>11</v>
      </c>
      <c r="J2281" s="1">
        <v>45616</v>
      </c>
      <c r="K2281" s="2">
        <v>2.4190972222222221E-2</v>
      </c>
      <c r="M2281" s="4" t="str">
        <f t="shared" si="105"/>
        <v>HIGH</v>
      </c>
      <c r="N2281" s="4" t="str" cm="1">
        <f t="array" ref="N2281">_xlfn.IFS(C2281&gt;35,"HIGH",C2281&gt;25,"MIDDLE",TRUE,"LOW")</f>
        <v>HIGH</v>
      </c>
      <c r="O2281" s="4" t="str">
        <f t="shared" si="106"/>
        <v>OTHERS</v>
      </c>
      <c r="P2281" s="4" t="str">
        <f t="shared" si="107"/>
        <v>PREMINUM MORNING</v>
      </c>
    </row>
    <row r="2282" spans="1:16" x14ac:dyDescent="0.3">
      <c r="A2282" s="4">
        <v>17</v>
      </c>
      <c r="B2282" t="s">
        <v>11</v>
      </c>
      <c r="C2282" s="4">
        <v>35.76</v>
      </c>
      <c r="D2282" t="s">
        <v>29</v>
      </c>
      <c r="E2282" t="s">
        <v>20</v>
      </c>
      <c r="F2282" s="4" t="s">
        <v>28</v>
      </c>
      <c r="G2282" s="4" t="s">
        <v>38</v>
      </c>
      <c r="H2282" s="4">
        <v>3</v>
      </c>
      <c r="I2282" s="4">
        <v>11</v>
      </c>
      <c r="J2282" s="1">
        <v>45616</v>
      </c>
      <c r="K2282" s="2">
        <v>3.4626157407407404E-2</v>
      </c>
      <c r="M2282" s="4" t="str">
        <f t="shared" si="105"/>
        <v>HIGH</v>
      </c>
      <c r="N2282" s="4" t="str" cm="1">
        <f t="array" ref="N2282">_xlfn.IFS(C2282&gt;35,"HIGH",C2282&gt;25,"MIDDLE",TRUE,"LOW")</f>
        <v>HIGH</v>
      </c>
      <c r="O2282" s="4" t="str">
        <f t="shared" si="106"/>
        <v>OTHERS</v>
      </c>
      <c r="P2282" s="4" t="str">
        <f t="shared" si="107"/>
        <v>PREMINUM MORNING</v>
      </c>
    </row>
    <row r="2283" spans="1:16" x14ac:dyDescent="0.3">
      <c r="A2283" s="4">
        <v>17</v>
      </c>
      <c r="B2283" t="s">
        <v>11</v>
      </c>
      <c r="C2283" s="4">
        <v>35.76</v>
      </c>
      <c r="D2283" t="s">
        <v>16</v>
      </c>
      <c r="E2283" t="s">
        <v>20</v>
      </c>
      <c r="F2283" s="4" t="s">
        <v>28</v>
      </c>
      <c r="G2283" s="4" t="s">
        <v>38</v>
      </c>
      <c r="H2283" s="4">
        <v>3</v>
      </c>
      <c r="I2283" s="4">
        <v>11</v>
      </c>
      <c r="J2283" s="1">
        <v>45616</v>
      </c>
      <c r="K2283" s="2">
        <v>3.5298611111111114E-2</v>
      </c>
      <c r="M2283" s="4" t="str">
        <f t="shared" si="105"/>
        <v>HIGH</v>
      </c>
      <c r="N2283" s="4" t="str" cm="1">
        <f t="array" ref="N2283">_xlfn.IFS(C2283&gt;35,"HIGH",C2283&gt;25,"MIDDLE",TRUE,"LOW")</f>
        <v>HIGH</v>
      </c>
      <c r="O2283" s="4" t="str">
        <f t="shared" si="106"/>
        <v>OTHERS</v>
      </c>
      <c r="P2283" s="4" t="str">
        <f t="shared" si="107"/>
        <v>PREMINUM MORNING</v>
      </c>
    </row>
    <row r="2284" spans="1:16" x14ac:dyDescent="0.3">
      <c r="A2284" s="4">
        <v>11</v>
      </c>
      <c r="B2284" t="s">
        <v>11</v>
      </c>
      <c r="C2284" s="4">
        <v>25.96</v>
      </c>
      <c r="D2284" t="s">
        <v>24</v>
      </c>
      <c r="E2284" t="s">
        <v>13</v>
      </c>
      <c r="F2284" s="4" t="s">
        <v>30</v>
      </c>
      <c r="G2284" s="4" t="s">
        <v>38</v>
      </c>
      <c r="H2284" s="4">
        <v>4</v>
      </c>
      <c r="I2284" s="4">
        <v>11</v>
      </c>
      <c r="J2284" s="1">
        <v>45617</v>
      </c>
      <c r="K2284" s="2">
        <v>4.2939814814814811E-3</v>
      </c>
      <c r="M2284" s="4" t="str">
        <f t="shared" si="105"/>
        <v>LOW</v>
      </c>
      <c r="N2284" s="4" t="str" cm="1">
        <f t="array" ref="N2284">_xlfn.IFS(C2284&gt;35,"HIGH",C2284&gt;25,"MIDDLE",TRUE,"LOW")</f>
        <v>MIDDLE</v>
      </c>
      <c r="O2284" s="4" t="str">
        <f t="shared" si="106"/>
        <v>OTHERS</v>
      </c>
      <c r="P2284" s="4" t="str">
        <f t="shared" si="107"/>
        <v>PREMINUM MORNING</v>
      </c>
    </row>
    <row r="2285" spans="1:16" x14ac:dyDescent="0.3">
      <c r="A2285" s="4">
        <v>12</v>
      </c>
      <c r="B2285" t="s">
        <v>11</v>
      </c>
      <c r="C2285" s="4">
        <v>35.76</v>
      </c>
      <c r="D2285" t="s">
        <v>12</v>
      </c>
      <c r="E2285" t="s">
        <v>17</v>
      </c>
      <c r="F2285" s="4" t="s">
        <v>30</v>
      </c>
      <c r="G2285" s="4" t="s">
        <v>38</v>
      </c>
      <c r="H2285" s="4">
        <v>4</v>
      </c>
      <c r="I2285" s="4">
        <v>11</v>
      </c>
      <c r="J2285" s="1">
        <v>45617</v>
      </c>
      <c r="K2285" s="2">
        <v>2.3334490740740739E-2</v>
      </c>
      <c r="M2285" s="4" t="str">
        <f t="shared" si="105"/>
        <v>HIGH</v>
      </c>
      <c r="N2285" s="4" t="str" cm="1">
        <f t="array" ref="N2285">_xlfn.IFS(C2285&gt;35,"HIGH",C2285&gt;25,"MIDDLE",TRUE,"LOW")</f>
        <v>HIGH</v>
      </c>
      <c r="O2285" s="4" t="str">
        <f t="shared" si="106"/>
        <v>OTHERS</v>
      </c>
      <c r="P2285" s="4" t="str">
        <f t="shared" si="107"/>
        <v>PREMINUM MORNING</v>
      </c>
    </row>
    <row r="2286" spans="1:16" x14ac:dyDescent="0.3">
      <c r="A2286" s="4">
        <v>12</v>
      </c>
      <c r="B2286" t="s">
        <v>11</v>
      </c>
      <c r="C2286" s="4">
        <v>35.76</v>
      </c>
      <c r="D2286" t="s">
        <v>21</v>
      </c>
      <c r="E2286" t="s">
        <v>17</v>
      </c>
      <c r="F2286" s="4" t="s">
        <v>30</v>
      </c>
      <c r="G2286" s="4" t="s">
        <v>38</v>
      </c>
      <c r="H2286" s="4">
        <v>4</v>
      </c>
      <c r="I2286" s="4">
        <v>11</v>
      </c>
      <c r="J2286" s="1">
        <v>45617</v>
      </c>
      <c r="K2286" s="2">
        <v>4.1496527777777778E-2</v>
      </c>
      <c r="M2286" s="4" t="str">
        <f t="shared" si="105"/>
        <v>HIGH</v>
      </c>
      <c r="N2286" s="4" t="str" cm="1">
        <f t="array" ref="N2286">_xlfn.IFS(C2286&gt;35,"HIGH",C2286&gt;25,"MIDDLE",TRUE,"LOW")</f>
        <v>HIGH</v>
      </c>
      <c r="O2286" s="4" t="str">
        <f t="shared" si="106"/>
        <v>OTHERS</v>
      </c>
      <c r="P2286" s="4" t="str">
        <f t="shared" si="107"/>
        <v>PREMINUM MORNING</v>
      </c>
    </row>
    <row r="2287" spans="1:16" x14ac:dyDescent="0.3">
      <c r="A2287" s="4">
        <v>13</v>
      </c>
      <c r="B2287" t="s">
        <v>11</v>
      </c>
      <c r="C2287" s="4">
        <v>35.76</v>
      </c>
      <c r="D2287" t="s">
        <v>21</v>
      </c>
      <c r="E2287" t="s">
        <v>17</v>
      </c>
      <c r="F2287" s="4" t="s">
        <v>30</v>
      </c>
      <c r="G2287" s="4" t="s">
        <v>38</v>
      </c>
      <c r="H2287" s="4">
        <v>4</v>
      </c>
      <c r="I2287" s="4">
        <v>11</v>
      </c>
      <c r="J2287" s="1">
        <v>45617</v>
      </c>
      <c r="K2287" s="2">
        <v>5.4861111111111104E-4</v>
      </c>
      <c r="M2287" s="4" t="str">
        <f t="shared" si="105"/>
        <v>HIGH</v>
      </c>
      <c r="N2287" s="4" t="str" cm="1">
        <f t="array" ref="N2287">_xlfn.IFS(C2287&gt;35,"HIGH",C2287&gt;25,"MIDDLE",TRUE,"LOW")</f>
        <v>HIGH</v>
      </c>
      <c r="O2287" s="4" t="str">
        <f t="shared" si="106"/>
        <v>OTHERS</v>
      </c>
      <c r="P2287" s="4" t="str">
        <f t="shared" si="107"/>
        <v>PREMINUM MORNING</v>
      </c>
    </row>
    <row r="2288" spans="1:16" x14ac:dyDescent="0.3">
      <c r="A2288" s="4">
        <v>16</v>
      </c>
      <c r="B2288" t="s">
        <v>11</v>
      </c>
      <c r="C2288" s="4">
        <v>35.76</v>
      </c>
      <c r="D2288" t="s">
        <v>12</v>
      </c>
      <c r="E2288" t="s">
        <v>17</v>
      </c>
      <c r="F2288" s="4" t="s">
        <v>30</v>
      </c>
      <c r="G2288" s="4" t="s">
        <v>38</v>
      </c>
      <c r="H2288" s="4">
        <v>4</v>
      </c>
      <c r="I2288" s="4">
        <v>11</v>
      </c>
      <c r="J2288" s="1">
        <v>45617</v>
      </c>
      <c r="K2288" s="2">
        <v>9.8796296296296306E-3</v>
      </c>
      <c r="M2288" s="4" t="str">
        <f t="shared" si="105"/>
        <v>HIGH</v>
      </c>
      <c r="N2288" s="4" t="str" cm="1">
        <f t="array" ref="N2288">_xlfn.IFS(C2288&gt;35,"HIGH",C2288&gt;25,"MIDDLE",TRUE,"LOW")</f>
        <v>HIGH</v>
      </c>
      <c r="O2288" s="4" t="str">
        <f t="shared" si="106"/>
        <v>OTHERS</v>
      </c>
      <c r="P2288" s="4" t="str">
        <f t="shared" si="107"/>
        <v>PREMINUM MORNING</v>
      </c>
    </row>
    <row r="2289" spans="1:16" x14ac:dyDescent="0.3">
      <c r="A2289" s="4">
        <v>17</v>
      </c>
      <c r="B2289" t="s">
        <v>11</v>
      </c>
      <c r="C2289" s="4">
        <v>30.86</v>
      </c>
      <c r="D2289" t="s">
        <v>19</v>
      </c>
      <c r="E2289" t="s">
        <v>20</v>
      </c>
      <c r="F2289" s="4" t="s">
        <v>30</v>
      </c>
      <c r="G2289" s="4" t="s">
        <v>38</v>
      </c>
      <c r="H2289" s="4">
        <v>4</v>
      </c>
      <c r="I2289" s="4">
        <v>11</v>
      </c>
      <c r="J2289" s="1">
        <v>45617</v>
      </c>
      <c r="K2289" s="2">
        <v>2.4622685185185185E-2</v>
      </c>
      <c r="M2289" s="4" t="str">
        <f t="shared" si="105"/>
        <v>LOW</v>
      </c>
      <c r="N2289" s="4" t="str" cm="1">
        <f t="array" ref="N2289">_xlfn.IFS(C2289&gt;35,"HIGH",C2289&gt;25,"MIDDLE",TRUE,"LOW")</f>
        <v>MIDDLE</v>
      </c>
      <c r="O2289" s="4" t="str">
        <f t="shared" si="106"/>
        <v>OTHERS</v>
      </c>
      <c r="P2289" s="4" t="str">
        <f t="shared" si="107"/>
        <v>OTHERS</v>
      </c>
    </row>
    <row r="2290" spans="1:16" x14ac:dyDescent="0.3">
      <c r="A2290" s="4">
        <v>17</v>
      </c>
      <c r="B2290" t="s">
        <v>11</v>
      </c>
      <c r="C2290" s="4">
        <v>25.96</v>
      </c>
      <c r="D2290" t="s">
        <v>24</v>
      </c>
      <c r="E2290" t="s">
        <v>20</v>
      </c>
      <c r="F2290" s="4" t="s">
        <v>30</v>
      </c>
      <c r="G2290" s="4" t="s">
        <v>38</v>
      </c>
      <c r="H2290" s="4">
        <v>4</v>
      </c>
      <c r="I2290" s="4">
        <v>11</v>
      </c>
      <c r="J2290" s="1">
        <v>45617</v>
      </c>
      <c r="K2290" s="2">
        <v>2.7349537037037037E-2</v>
      </c>
      <c r="M2290" s="4" t="str">
        <f t="shared" si="105"/>
        <v>LOW</v>
      </c>
      <c r="N2290" s="4" t="str" cm="1">
        <f t="array" ref="N2290">_xlfn.IFS(C2290&gt;35,"HIGH",C2290&gt;25,"MIDDLE",TRUE,"LOW")</f>
        <v>MIDDLE</v>
      </c>
      <c r="O2290" s="4" t="str">
        <f t="shared" si="106"/>
        <v>OTHERS</v>
      </c>
      <c r="P2290" s="4" t="str">
        <f t="shared" si="107"/>
        <v>OTHERS</v>
      </c>
    </row>
    <row r="2291" spans="1:16" x14ac:dyDescent="0.3">
      <c r="A2291" s="4">
        <v>19</v>
      </c>
      <c r="B2291" t="s">
        <v>11</v>
      </c>
      <c r="C2291" s="4">
        <v>35.76</v>
      </c>
      <c r="D2291" t="s">
        <v>16</v>
      </c>
      <c r="E2291" t="s">
        <v>20</v>
      </c>
      <c r="F2291" s="4" t="s">
        <v>30</v>
      </c>
      <c r="G2291" s="4" t="s">
        <v>38</v>
      </c>
      <c r="H2291" s="4">
        <v>4</v>
      </c>
      <c r="I2291" s="4">
        <v>11</v>
      </c>
      <c r="J2291" s="1">
        <v>45617</v>
      </c>
      <c r="K2291" s="2">
        <v>7.2800925925925919E-4</v>
      </c>
      <c r="M2291" s="4" t="str">
        <f t="shared" si="105"/>
        <v>HIGH</v>
      </c>
      <c r="N2291" s="4" t="str" cm="1">
        <f t="array" ref="N2291">_xlfn.IFS(C2291&gt;35,"HIGH",C2291&gt;25,"MIDDLE",TRUE,"LOW")</f>
        <v>HIGH</v>
      </c>
      <c r="O2291" s="4" t="str">
        <f t="shared" si="106"/>
        <v>OTHERS</v>
      </c>
      <c r="P2291" s="4" t="str">
        <f t="shared" si="107"/>
        <v>PREMINUM MORNING</v>
      </c>
    </row>
    <row r="2292" spans="1:16" x14ac:dyDescent="0.3">
      <c r="A2292" s="4">
        <v>7</v>
      </c>
      <c r="B2292" t="s">
        <v>11</v>
      </c>
      <c r="C2292" s="4">
        <v>35.76</v>
      </c>
      <c r="D2292" t="s">
        <v>12</v>
      </c>
      <c r="E2292" t="s">
        <v>13</v>
      </c>
      <c r="F2292" s="4" t="s">
        <v>14</v>
      </c>
      <c r="G2292" s="4" t="s">
        <v>38</v>
      </c>
      <c r="H2292" s="4">
        <v>5</v>
      </c>
      <c r="I2292" s="4">
        <v>11</v>
      </c>
      <c r="J2292" s="1">
        <v>45618</v>
      </c>
      <c r="K2292" s="2">
        <v>3.514236111111111E-2</v>
      </c>
      <c r="M2292" s="4" t="str">
        <f t="shared" si="105"/>
        <v>HIGH</v>
      </c>
      <c r="N2292" s="4" t="str" cm="1">
        <f t="array" ref="N2292">_xlfn.IFS(C2292&gt;35,"HIGH",C2292&gt;25,"MIDDLE",TRUE,"LOW")</f>
        <v>HIGH</v>
      </c>
      <c r="O2292" s="4" t="str">
        <f t="shared" si="106"/>
        <v>PREMINUM MORNING</v>
      </c>
      <c r="P2292" s="4" t="str">
        <f t="shared" si="107"/>
        <v>PREMINUM MORNING</v>
      </c>
    </row>
    <row r="2293" spans="1:16" x14ac:dyDescent="0.3">
      <c r="A2293" s="4">
        <v>10</v>
      </c>
      <c r="B2293" t="s">
        <v>11</v>
      </c>
      <c r="C2293" s="4">
        <v>35.76</v>
      </c>
      <c r="D2293" t="s">
        <v>29</v>
      </c>
      <c r="E2293" t="s">
        <v>13</v>
      </c>
      <c r="F2293" s="4" t="s">
        <v>14</v>
      </c>
      <c r="G2293" s="4" t="s">
        <v>38</v>
      </c>
      <c r="H2293" s="4">
        <v>5</v>
      </c>
      <c r="I2293" s="4">
        <v>11</v>
      </c>
      <c r="J2293" s="1">
        <v>45618</v>
      </c>
      <c r="K2293" s="2">
        <v>2.5752314814814813E-3</v>
      </c>
      <c r="M2293" s="4" t="str">
        <f t="shared" si="105"/>
        <v>HIGH</v>
      </c>
      <c r="N2293" s="4" t="str" cm="1">
        <f t="array" ref="N2293">_xlfn.IFS(C2293&gt;35,"HIGH",C2293&gt;25,"MIDDLE",TRUE,"LOW")</f>
        <v>HIGH</v>
      </c>
      <c r="O2293" s="4" t="str">
        <f t="shared" si="106"/>
        <v>PREMINUM MORNING</v>
      </c>
      <c r="P2293" s="4" t="str">
        <f t="shared" si="107"/>
        <v>PREMINUM MORNING</v>
      </c>
    </row>
    <row r="2294" spans="1:16" x14ac:dyDescent="0.3">
      <c r="A2294" s="4">
        <v>11</v>
      </c>
      <c r="B2294" t="s">
        <v>11</v>
      </c>
      <c r="C2294" s="4">
        <v>35.76</v>
      </c>
      <c r="D2294" t="s">
        <v>12</v>
      </c>
      <c r="E2294" t="s">
        <v>13</v>
      </c>
      <c r="F2294" s="4" t="s">
        <v>14</v>
      </c>
      <c r="G2294" s="4" t="s">
        <v>38</v>
      </c>
      <c r="H2294" s="4">
        <v>5</v>
      </c>
      <c r="I2294" s="4">
        <v>11</v>
      </c>
      <c r="J2294" s="1">
        <v>45618</v>
      </c>
      <c r="K2294" s="2">
        <v>1.7638888888888891E-3</v>
      </c>
      <c r="M2294" s="4" t="str">
        <f t="shared" si="105"/>
        <v>HIGH</v>
      </c>
      <c r="N2294" s="4" t="str" cm="1">
        <f t="array" ref="N2294">_xlfn.IFS(C2294&gt;35,"HIGH",C2294&gt;25,"MIDDLE",TRUE,"LOW")</f>
        <v>HIGH</v>
      </c>
      <c r="O2294" s="4" t="str">
        <f t="shared" si="106"/>
        <v>PREMINUM MORNING</v>
      </c>
      <c r="P2294" s="4" t="str">
        <f t="shared" si="107"/>
        <v>PREMINUM MORNING</v>
      </c>
    </row>
    <row r="2295" spans="1:16" x14ac:dyDescent="0.3">
      <c r="A2295" s="4">
        <v>11</v>
      </c>
      <c r="B2295" t="s">
        <v>11</v>
      </c>
      <c r="C2295" s="4">
        <v>35.76</v>
      </c>
      <c r="D2295" t="s">
        <v>21</v>
      </c>
      <c r="E2295" t="s">
        <v>13</v>
      </c>
      <c r="F2295" s="4" t="s">
        <v>14</v>
      </c>
      <c r="G2295" s="4" t="s">
        <v>38</v>
      </c>
      <c r="H2295" s="4">
        <v>5</v>
      </c>
      <c r="I2295" s="4">
        <v>11</v>
      </c>
      <c r="J2295" s="1">
        <v>45618</v>
      </c>
      <c r="K2295" s="2">
        <v>1.6972222222222222E-2</v>
      </c>
      <c r="M2295" s="4" t="str">
        <f t="shared" si="105"/>
        <v>HIGH</v>
      </c>
      <c r="N2295" s="4" t="str" cm="1">
        <f t="array" ref="N2295">_xlfn.IFS(C2295&gt;35,"HIGH",C2295&gt;25,"MIDDLE",TRUE,"LOW")</f>
        <v>HIGH</v>
      </c>
      <c r="O2295" s="4" t="str">
        <f t="shared" si="106"/>
        <v>PREMINUM MORNING</v>
      </c>
      <c r="P2295" s="4" t="str">
        <f t="shared" si="107"/>
        <v>PREMINUM MORNING</v>
      </c>
    </row>
    <row r="2296" spans="1:16" x14ac:dyDescent="0.3">
      <c r="A2296" s="4">
        <v>16</v>
      </c>
      <c r="B2296" t="s">
        <v>11</v>
      </c>
      <c r="C2296" s="4">
        <v>35.76</v>
      </c>
      <c r="D2296" t="s">
        <v>16</v>
      </c>
      <c r="E2296" t="s">
        <v>17</v>
      </c>
      <c r="F2296" s="4" t="s">
        <v>14</v>
      </c>
      <c r="G2296" s="4" t="s">
        <v>38</v>
      </c>
      <c r="H2296" s="4">
        <v>5</v>
      </c>
      <c r="I2296" s="4">
        <v>11</v>
      </c>
      <c r="J2296" s="1">
        <v>45618</v>
      </c>
      <c r="K2296" s="2">
        <v>2.2978009259259257E-2</v>
      </c>
      <c r="M2296" s="4" t="str">
        <f t="shared" si="105"/>
        <v>HIGH</v>
      </c>
      <c r="N2296" s="4" t="str" cm="1">
        <f t="array" ref="N2296">_xlfn.IFS(C2296&gt;35,"HIGH",C2296&gt;25,"MIDDLE",TRUE,"LOW")</f>
        <v>HIGH</v>
      </c>
      <c r="O2296" s="4" t="str">
        <f t="shared" si="106"/>
        <v>OTHERS</v>
      </c>
      <c r="P2296" s="4" t="str">
        <f t="shared" si="107"/>
        <v>PREMINUM MORNING</v>
      </c>
    </row>
    <row r="2297" spans="1:16" x14ac:dyDescent="0.3">
      <c r="A2297" s="4">
        <v>16</v>
      </c>
      <c r="B2297" t="s">
        <v>11</v>
      </c>
      <c r="C2297" s="4">
        <v>35.76</v>
      </c>
      <c r="D2297" t="s">
        <v>12</v>
      </c>
      <c r="E2297" t="s">
        <v>17</v>
      </c>
      <c r="F2297" s="4" t="s">
        <v>14</v>
      </c>
      <c r="G2297" s="4" t="s">
        <v>38</v>
      </c>
      <c r="H2297" s="4">
        <v>5</v>
      </c>
      <c r="I2297" s="4">
        <v>11</v>
      </c>
      <c r="J2297" s="1">
        <v>45618</v>
      </c>
      <c r="K2297" s="2">
        <v>2.3494212962962963E-2</v>
      </c>
      <c r="M2297" s="4" t="str">
        <f t="shared" si="105"/>
        <v>HIGH</v>
      </c>
      <c r="N2297" s="4" t="str" cm="1">
        <f t="array" ref="N2297">_xlfn.IFS(C2297&gt;35,"HIGH",C2297&gt;25,"MIDDLE",TRUE,"LOW")</f>
        <v>HIGH</v>
      </c>
      <c r="O2297" s="4" t="str">
        <f t="shared" si="106"/>
        <v>OTHERS</v>
      </c>
      <c r="P2297" s="4" t="str">
        <f t="shared" si="107"/>
        <v>PREMINUM MORNING</v>
      </c>
    </row>
    <row r="2298" spans="1:16" x14ac:dyDescent="0.3">
      <c r="A2298" s="4">
        <v>9</v>
      </c>
      <c r="B2298" t="s">
        <v>11</v>
      </c>
      <c r="C2298" s="4">
        <v>25.96</v>
      </c>
      <c r="D2298" t="s">
        <v>24</v>
      </c>
      <c r="E2298" t="s">
        <v>13</v>
      </c>
      <c r="F2298" s="4" t="s">
        <v>22</v>
      </c>
      <c r="G2298" s="4" t="s">
        <v>38</v>
      </c>
      <c r="H2298" s="4">
        <v>6</v>
      </c>
      <c r="I2298" s="4">
        <v>11</v>
      </c>
      <c r="J2298" s="1">
        <v>45619</v>
      </c>
      <c r="K2298" s="2">
        <v>7.4803240740740733E-3</v>
      </c>
      <c r="M2298" s="4" t="str">
        <f t="shared" si="105"/>
        <v>LOW</v>
      </c>
      <c r="N2298" s="4" t="str" cm="1">
        <f t="array" ref="N2298">_xlfn.IFS(C2298&gt;35,"HIGH",C2298&gt;25,"MIDDLE",TRUE,"LOW")</f>
        <v>MIDDLE</v>
      </c>
      <c r="O2298" s="4" t="str">
        <f t="shared" si="106"/>
        <v>OTHERS</v>
      </c>
      <c r="P2298" s="4" t="str">
        <f t="shared" si="107"/>
        <v>PREMINUM MORNING</v>
      </c>
    </row>
    <row r="2299" spans="1:16" x14ac:dyDescent="0.3">
      <c r="A2299" s="4">
        <v>9</v>
      </c>
      <c r="B2299" t="s">
        <v>11</v>
      </c>
      <c r="C2299" s="4">
        <v>25.96</v>
      </c>
      <c r="D2299" t="s">
        <v>24</v>
      </c>
      <c r="E2299" t="s">
        <v>13</v>
      </c>
      <c r="F2299" s="4" t="s">
        <v>22</v>
      </c>
      <c r="G2299" s="4" t="s">
        <v>38</v>
      </c>
      <c r="H2299" s="4">
        <v>6</v>
      </c>
      <c r="I2299" s="4">
        <v>11</v>
      </c>
      <c r="J2299" s="1">
        <v>45619</v>
      </c>
      <c r="K2299" s="2">
        <v>8.2060185185185187E-3</v>
      </c>
      <c r="M2299" s="4" t="str">
        <f t="shared" si="105"/>
        <v>LOW</v>
      </c>
      <c r="N2299" s="4" t="str" cm="1">
        <f t="array" ref="N2299">_xlfn.IFS(C2299&gt;35,"HIGH",C2299&gt;25,"MIDDLE",TRUE,"LOW")</f>
        <v>MIDDLE</v>
      </c>
      <c r="O2299" s="4" t="str">
        <f t="shared" si="106"/>
        <v>OTHERS</v>
      </c>
      <c r="P2299" s="4" t="str">
        <f t="shared" si="107"/>
        <v>PREMINUM MORNING</v>
      </c>
    </row>
    <row r="2300" spans="1:16" x14ac:dyDescent="0.3">
      <c r="A2300" s="4">
        <v>10</v>
      </c>
      <c r="B2300" t="s">
        <v>11</v>
      </c>
      <c r="C2300" s="4">
        <v>35.76</v>
      </c>
      <c r="D2300" t="s">
        <v>12</v>
      </c>
      <c r="E2300" t="s">
        <v>13</v>
      </c>
      <c r="F2300" s="4" t="s">
        <v>22</v>
      </c>
      <c r="G2300" s="4" t="s">
        <v>38</v>
      </c>
      <c r="H2300" s="4">
        <v>6</v>
      </c>
      <c r="I2300" s="4">
        <v>11</v>
      </c>
      <c r="J2300" s="1">
        <v>45619</v>
      </c>
      <c r="K2300" s="2">
        <v>3.6550925925925926E-3</v>
      </c>
      <c r="M2300" s="4" t="str">
        <f t="shared" si="105"/>
        <v>HIGH</v>
      </c>
      <c r="N2300" s="4" t="str" cm="1">
        <f t="array" ref="N2300">_xlfn.IFS(C2300&gt;35,"HIGH",C2300&gt;25,"MIDDLE",TRUE,"LOW")</f>
        <v>HIGH</v>
      </c>
      <c r="O2300" s="4" t="str">
        <f t="shared" si="106"/>
        <v>PREMINUM MORNING</v>
      </c>
      <c r="P2300" s="4" t="str">
        <f t="shared" si="107"/>
        <v>PREMINUM MORNING</v>
      </c>
    </row>
    <row r="2301" spans="1:16" x14ac:dyDescent="0.3">
      <c r="A2301" s="4">
        <v>11</v>
      </c>
      <c r="B2301" t="s">
        <v>11</v>
      </c>
      <c r="C2301" s="4">
        <v>35.76</v>
      </c>
      <c r="D2301" t="s">
        <v>29</v>
      </c>
      <c r="E2301" t="s">
        <v>13</v>
      </c>
      <c r="F2301" s="4" t="s">
        <v>22</v>
      </c>
      <c r="G2301" s="4" t="s">
        <v>38</v>
      </c>
      <c r="H2301" s="4">
        <v>6</v>
      </c>
      <c r="I2301" s="4">
        <v>11</v>
      </c>
      <c r="J2301" s="1">
        <v>45619</v>
      </c>
      <c r="K2301" s="2">
        <v>2.0787037037037037E-3</v>
      </c>
      <c r="M2301" s="4" t="str">
        <f t="shared" si="105"/>
        <v>HIGH</v>
      </c>
      <c r="N2301" s="4" t="str" cm="1">
        <f t="array" ref="N2301">_xlfn.IFS(C2301&gt;35,"HIGH",C2301&gt;25,"MIDDLE",TRUE,"LOW")</f>
        <v>HIGH</v>
      </c>
      <c r="O2301" s="4" t="str">
        <f t="shared" si="106"/>
        <v>PREMINUM MORNING</v>
      </c>
      <c r="P2301" s="4" t="str">
        <f t="shared" si="107"/>
        <v>PREMINUM MORNING</v>
      </c>
    </row>
    <row r="2302" spans="1:16" x14ac:dyDescent="0.3">
      <c r="A2302" s="4">
        <v>11</v>
      </c>
      <c r="B2302" t="s">
        <v>11</v>
      </c>
      <c r="C2302" s="4">
        <v>25.96</v>
      </c>
      <c r="D2302" t="s">
        <v>18</v>
      </c>
      <c r="E2302" t="s">
        <v>13</v>
      </c>
      <c r="F2302" s="4" t="s">
        <v>22</v>
      </c>
      <c r="G2302" s="4" t="s">
        <v>38</v>
      </c>
      <c r="H2302" s="4">
        <v>6</v>
      </c>
      <c r="I2302" s="4">
        <v>11</v>
      </c>
      <c r="J2302" s="1">
        <v>45619</v>
      </c>
      <c r="K2302" s="2">
        <v>6.5740740740740742E-3</v>
      </c>
      <c r="M2302" s="4" t="str">
        <f t="shared" si="105"/>
        <v>LOW</v>
      </c>
      <c r="N2302" s="4" t="str" cm="1">
        <f t="array" ref="N2302">_xlfn.IFS(C2302&gt;35,"HIGH",C2302&gt;25,"MIDDLE",TRUE,"LOW")</f>
        <v>MIDDLE</v>
      </c>
      <c r="O2302" s="4" t="str">
        <f t="shared" si="106"/>
        <v>OTHERS</v>
      </c>
      <c r="P2302" s="4" t="str">
        <f t="shared" si="107"/>
        <v>PREMINUM MORNING</v>
      </c>
    </row>
    <row r="2303" spans="1:16" x14ac:dyDescent="0.3">
      <c r="A2303" s="4">
        <v>11</v>
      </c>
      <c r="B2303" t="s">
        <v>11</v>
      </c>
      <c r="C2303" s="4">
        <v>25.96</v>
      </c>
      <c r="D2303" t="s">
        <v>18</v>
      </c>
      <c r="E2303" t="s">
        <v>13</v>
      </c>
      <c r="F2303" s="4" t="s">
        <v>22</v>
      </c>
      <c r="G2303" s="4" t="s">
        <v>38</v>
      </c>
      <c r="H2303" s="4">
        <v>6</v>
      </c>
      <c r="I2303" s="4">
        <v>11</v>
      </c>
      <c r="J2303" s="1">
        <v>45619</v>
      </c>
      <c r="K2303" s="2">
        <v>7.2430555555555547E-3</v>
      </c>
      <c r="M2303" s="4" t="str">
        <f t="shared" si="105"/>
        <v>LOW</v>
      </c>
      <c r="N2303" s="4" t="str" cm="1">
        <f t="array" ref="N2303">_xlfn.IFS(C2303&gt;35,"HIGH",C2303&gt;25,"MIDDLE",TRUE,"LOW")</f>
        <v>MIDDLE</v>
      </c>
      <c r="O2303" s="4" t="str">
        <f t="shared" si="106"/>
        <v>OTHERS</v>
      </c>
      <c r="P2303" s="4" t="str">
        <f t="shared" si="107"/>
        <v>PREMINUM MORNING</v>
      </c>
    </row>
    <row r="2304" spans="1:16" x14ac:dyDescent="0.3">
      <c r="A2304" s="4">
        <v>11</v>
      </c>
      <c r="B2304" t="s">
        <v>11</v>
      </c>
      <c r="C2304" s="4">
        <v>35.76</v>
      </c>
      <c r="D2304" t="s">
        <v>16</v>
      </c>
      <c r="E2304" t="s">
        <v>13</v>
      </c>
      <c r="F2304" s="4" t="s">
        <v>22</v>
      </c>
      <c r="G2304" s="4" t="s">
        <v>38</v>
      </c>
      <c r="H2304" s="4">
        <v>6</v>
      </c>
      <c r="I2304" s="4">
        <v>11</v>
      </c>
      <c r="J2304" s="1">
        <v>45619</v>
      </c>
      <c r="K2304" s="2">
        <v>2.8790509259259259E-2</v>
      </c>
      <c r="M2304" s="4" t="str">
        <f t="shared" si="105"/>
        <v>HIGH</v>
      </c>
      <c r="N2304" s="4" t="str" cm="1">
        <f t="array" ref="N2304">_xlfn.IFS(C2304&gt;35,"HIGH",C2304&gt;25,"MIDDLE",TRUE,"LOW")</f>
        <v>HIGH</v>
      </c>
      <c r="O2304" s="4" t="str">
        <f t="shared" si="106"/>
        <v>PREMINUM MORNING</v>
      </c>
      <c r="P2304" s="4" t="str">
        <f t="shared" si="107"/>
        <v>PREMINUM MORNING</v>
      </c>
    </row>
    <row r="2305" spans="1:16" x14ac:dyDescent="0.3">
      <c r="A2305" s="4">
        <v>22</v>
      </c>
      <c r="B2305" t="s">
        <v>11</v>
      </c>
      <c r="C2305" s="4">
        <v>35.76</v>
      </c>
      <c r="D2305" t="s">
        <v>12</v>
      </c>
      <c r="E2305" t="s">
        <v>20</v>
      </c>
      <c r="F2305" s="4" t="s">
        <v>22</v>
      </c>
      <c r="G2305" s="4" t="s">
        <v>38</v>
      </c>
      <c r="H2305" s="4">
        <v>6</v>
      </c>
      <c r="I2305" s="4">
        <v>11</v>
      </c>
      <c r="J2305" s="1">
        <v>45619</v>
      </c>
      <c r="K2305" s="2">
        <v>2.5743055555555554E-2</v>
      </c>
      <c r="M2305" s="4" t="str">
        <f t="shared" si="105"/>
        <v>HIGH</v>
      </c>
      <c r="N2305" s="4" t="str" cm="1">
        <f t="array" ref="N2305">_xlfn.IFS(C2305&gt;35,"HIGH",C2305&gt;25,"MIDDLE",TRUE,"LOW")</f>
        <v>HIGH</v>
      </c>
      <c r="O2305" s="4" t="str">
        <f t="shared" si="106"/>
        <v>OTHERS</v>
      </c>
      <c r="P2305" s="4" t="str">
        <f t="shared" si="107"/>
        <v>PREMINUM MORNING</v>
      </c>
    </row>
    <row r="2306" spans="1:16" x14ac:dyDescent="0.3">
      <c r="A2306" s="4">
        <v>8</v>
      </c>
      <c r="B2306" t="s">
        <v>11</v>
      </c>
      <c r="C2306" s="4">
        <v>35.76</v>
      </c>
      <c r="D2306" t="s">
        <v>12</v>
      </c>
      <c r="E2306" t="s">
        <v>13</v>
      </c>
      <c r="F2306" s="4" t="s">
        <v>23</v>
      </c>
      <c r="G2306" s="4" t="s">
        <v>38</v>
      </c>
      <c r="H2306" s="4">
        <v>7</v>
      </c>
      <c r="I2306" s="4">
        <v>11</v>
      </c>
      <c r="J2306" s="1">
        <v>45620</v>
      </c>
      <c r="K2306" s="2">
        <v>1.189236111111111E-2</v>
      </c>
      <c r="M2306" s="4" t="str">
        <f t="shared" si="105"/>
        <v>HIGH</v>
      </c>
      <c r="N2306" s="4" t="str" cm="1">
        <f t="array" ref="N2306">_xlfn.IFS(C2306&gt;35,"HIGH",C2306&gt;25,"MIDDLE",TRUE,"LOW")</f>
        <v>HIGH</v>
      </c>
      <c r="O2306" s="4" t="str">
        <f t="shared" si="106"/>
        <v>PREMINUM MORNING</v>
      </c>
      <c r="P2306" s="4" t="str">
        <f t="shared" si="107"/>
        <v>PREMINUM MORNING</v>
      </c>
    </row>
    <row r="2307" spans="1:16" x14ac:dyDescent="0.3">
      <c r="A2307" s="4">
        <v>7</v>
      </c>
      <c r="B2307" t="s">
        <v>11</v>
      </c>
      <c r="C2307" s="4">
        <v>35.76</v>
      </c>
      <c r="D2307" t="s">
        <v>29</v>
      </c>
      <c r="E2307" t="s">
        <v>13</v>
      </c>
      <c r="F2307" s="4" t="s">
        <v>25</v>
      </c>
      <c r="G2307" s="4" t="s">
        <v>38</v>
      </c>
      <c r="H2307" s="4">
        <v>1</v>
      </c>
      <c r="I2307" s="4">
        <v>11</v>
      </c>
      <c r="J2307" s="1">
        <v>45621</v>
      </c>
      <c r="K2307" s="2">
        <v>3.4236111111111113E-2</v>
      </c>
      <c r="M2307" s="4" t="str">
        <f t="shared" ref="M2307:M2370" si="108">IF(C2307&gt;35,"HIGH","LOW")</f>
        <v>HIGH</v>
      </c>
      <c r="N2307" s="4" t="str" cm="1">
        <f t="array" ref="N2307">_xlfn.IFS(C2307&gt;35,"HIGH",C2307&gt;25,"MIDDLE",TRUE,"LOW")</f>
        <v>HIGH</v>
      </c>
      <c r="O2307" s="4" t="str">
        <f t="shared" ref="O2307:O2370" si="109">IF(AND(C2307&gt;35,E2307="MORNING"),"PREMINUM MORNING","OTHERS")</f>
        <v>PREMINUM MORNING</v>
      </c>
      <c r="P2307" s="4" t="str">
        <f t="shared" ref="P2307:P2370" si="110">IF(OR(C2307&gt;35,E2307="MORNING"),"PREMINUM MORNING","OTHERS")</f>
        <v>PREMINUM MORNING</v>
      </c>
    </row>
    <row r="2308" spans="1:16" x14ac:dyDescent="0.3">
      <c r="A2308" s="4">
        <v>7</v>
      </c>
      <c r="B2308" t="s">
        <v>11</v>
      </c>
      <c r="C2308" s="4">
        <v>35.76</v>
      </c>
      <c r="D2308" t="s">
        <v>12</v>
      </c>
      <c r="E2308" t="s">
        <v>13</v>
      </c>
      <c r="F2308" s="4" t="s">
        <v>25</v>
      </c>
      <c r="G2308" s="4" t="s">
        <v>38</v>
      </c>
      <c r="H2308" s="4">
        <v>1</v>
      </c>
      <c r="I2308" s="4">
        <v>11</v>
      </c>
      <c r="J2308" s="1">
        <v>45621</v>
      </c>
      <c r="K2308" s="2">
        <v>3.7771990740740738E-2</v>
      </c>
      <c r="M2308" s="4" t="str">
        <f t="shared" si="108"/>
        <v>HIGH</v>
      </c>
      <c r="N2308" s="4" t="str" cm="1">
        <f t="array" ref="N2308">_xlfn.IFS(C2308&gt;35,"HIGH",C2308&gt;25,"MIDDLE",TRUE,"LOW")</f>
        <v>HIGH</v>
      </c>
      <c r="O2308" s="4" t="str">
        <f t="shared" si="109"/>
        <v>PREMINUM MORNING</v>
      </c>
      <c r="P2308" s="4" t="str">
        <f t="shared" si="110"/>
        <v>PREMINUM MORNING</v>
      </c>
    </row>
    <row r="2309" spans="1:16" x14ac:dyDescent="0.3">
      <c r="A2309" s="4">
        <v>9</v>
      </c>
      <c r="B2309" t="s">
        <v>11</v>
      </c>
      <c r="C2309" s="4">
        <v>30.86</v>
      </c>
      <c r="D2309" t="s">
        <v>19</v>
      </c>
      <c r="E2309" t="s">
        <v>13</v>
      </c>
      <c r="F2309" s="4" t="s">
        <v>25</v>
      </c>
      <c r="G2309" s="4" t="s">
        <v>38</v>
      </c>
      <c r="H2309" s="4">
        <v>1</v>
      </c>
      <c r="I2309" s="4">
        <v>11</v>
      </c>
      <c r="J2309" s="1">
        <v>45621</v>
      </c>
      <c r="K2309" s="2">
        <v>8.5763888888888886E-3</v>
      </c>
      <c r="M2309" s="4" t="str">
        <f t="shared" si="108"/>
        <v>LOW</v>
      </c>
      <c r="N2309" s="4" t="str" cm="1">
        <f t="array" ref="N2309">_xlfn.IFS(C2309&gt;35,"HIGH",C2309&gt;25,"MIDDLE",TRUE,"LOW")</f>
        <v>MIDDLE</v>
      </c>
      <c r="O2309" s="4" t="str">
        <f t="shared" si="109"/>
        <v>OTHERS</v>
      </c>
      <c r="P2309" s="4" t="str">
        <f t="shared" si="110"/>
        <v>PREMINUM MORNING</v>
      </c>
    </row>
    <row r="2310" spans="1:16" x14ac:dyDescent="0.3">
      <c r="A2310" s="4">
        <v>10</v>
      </c>
      <c r="B2310" t="s">
        <v>11</v>
      </c>
      <c r="C2310" s="4">
        <v>25.96</v>
      </c>
      <c r="D2310" t="s">
        <v>24</v>
      </c>
      <c r="E2310" t="s">
        <v>13</v>
      </c>
      <c r="F2310" s="4" t="s">
        <v>25</v>
      </c>
      <c r="G2310" s="4" t="s">
        <v>38</v>
      </c>
      <c r="H2310" s="4">
        <v>1</v>
      </c>
      <c r="I2310" s="4">
        <v>11</v>
      </c>
      <c r="J2310" s="1">
        <v>45621</v>
      </c>
      <c r="K2310" s="2">
        <v>2.6481481481481481E-2</v>
      </c>
      <c r="M2310" s="4" t="str">
        <f t="shared" si="108"/>
        <v>LOW</v>
      </c>
      <c r="N2310" s="4" t="str" cm="1">
        <f t="array" ref="N2310">_xlfn.IFS(C2310&gt;35,"HIGH",C2310&gt;25,"MIDDLE",TRUE,"LOW")</f>
        <v>MIDDLE</v>
      </c>
      <c r="O2310" s="4" t="str">
        <f t="shared" si="109"/>
        <v>OTHERS</v>
      </c>
      <c r="P2310" s="4" t="str">
        <f t="shared" si="110"/>
        <v>PREMINUM MORNING</v>
      </c>
    </row>
    <row r="2311" spans="1:16" x14ac:dyDescent="0.3">
      <c r="A2311" s="4">
        <v>12</v>
      </c>
      <c r="B2311" t="s">
        <v>11</v>
      </c>
      <c r="C2311" s="4">
        <v>35.76</v>
      </c>
      <c r="D2311" t="s">
        <v>12</v>
      </c>
      <c r="E2311" t="s">
        <v>17</v>
      </c>
      <c r="F2311" s="4" t="s">
        <v>25</v>
      </c>
      <c r="G2311" s="4" t="s">
        <v>38</v>
      </c>
      <c r="H2311" s="4">
        <v>1</v>
      </c>
      <c r="I2311" s="4">
        <v>11</v>
      </c>
      <c r="J2311" s="1">
        <v>45621</v>
      </c>
      <c r="K2311" s="2">
        <v>3.5395833333333328E-2</v>
      </c>
      <c r="M2311" s="4" t="str">
        <f t="shared" si="108"/>
        <v>HIGH</v>
      </c>
      <c r="N2311" s="4" t="str" cm="1">
        <f t="array" ref="N2311">_xlfn.IFS(C2311&gt;35,"HIGH",C2311&gt;25,"MIDDLE",TRUE,"LOW")</f>
        <v>HIGH</v>
      </c>
      <c r="O2311" s="4" t="str">
        <f t="shared" si="109"/>
        <v>OTHERS</v>
      </c>
      <c r="P2311" s="4" t="str">
        <f t="shared" si="110"/>
        <v>PREMINUM MORNING</v>
      </c>
    </row>
    <row r="2312" spans="1:16" x14ac:dyDescent="0.3">
      <c r="A2312" s="4">
        <v>12</v>
      </c>
      <c r="B2312" t="s">
        <v>11</v>
      </c>
      <c r="C2312" s="4">
        <v>35.76</v>
      </c>
      <c r="D2312" t="s">
        <v>12</v>
      </c>
      <c r="E2312" t="s">
        <v>17</v>
      </c>
      <c r="F2312" s="4" t="s">
        <v>25</v>
      </c>
      <c r="G2312" s="4" t="s">
        <v>38</v>
      </c>
      <c r="H2312" s="4">
        <v>1</v>
      </c>
      <c r="I2312" s="4">
        <v>11</v>
      </c>
      <c r="J2312" s="1">
        <v>45621</v>
      </c>
      <c r="K2312" s="2">
        <v>3.6586805555555553E-2</v>
      </c>
      <c r="M2312" s="4" t="str">
        <f t="shared" si="108"/>
        <v>HIGH</v>
      </c>
      <c r="N2312" s="4" t="str" cm="1">
        <f t="array" ref="N2312">_xlfn.IFS(C2312&gt;35,"HIGH",C2312&gt;25,"MIDDLE",TRUE,"LOW")</f>
        <v>HIGH</v>
      </c>
      <c r="O2312" s="4" t="str">
        <f t="shared" si="109"/>
        <v>OTHERS</v>
      </c>
      <c r="P2312" s="4" t="str">
        <f t="shared" si="110"/>
        <v>PREMINUM MORNING</v>
      </c>
    </row>
    <row r="2313" spans="1:16" x14ac:dyDescent="0.3">
      <c r="A2313" s="4">
        <v>16</v>
      </c>
      <c r="B2313" t="s">
        <v>11</v>
      </c>
      <c r="C2313" s="4">
        <v>35.76</v>
      </c>
      <c r="D2313" t="s">
        <v>16</v>
      </c>
      <c r="E2313" t="s">
        <v>17</v>
      </c>
      <c r="F2313" s="4" t="s">
        <v>25</v>
      </c>
      <c r="G2313" s="4" t="s">
        <v>38</v>
      </c>
      <c r="H2313" s="4">
        <v>1</v>
      </c>
      <c r="I2313" s="4">
        <v>11</v>
      </c>
      <c r="J2313" s="1">
        <v>45621</v>
      </c>
      <c r="K2313" s="2">
        <v>2.148726851851852E-2</v>
      </c>
      <c r="M2313" s="4" t="str">
        <f t="shared" si="108"/>
        <v>HIGH</v>
      </c>
      <c r="N2313" s="4" t="str" cm="1">
        <f t="array" ref="N2313">_xlfn.IFS(C2313&gt;35,"HIGH",C2313&gt;25,"MIDDLE",TRUE,"LOW")</f>
        <v>HIGH</v>
      </c>
      <c r="O2313" s="4" t="str">
        <f t="shared" si="109"/>
        <v>OTHERS</v>
      </c>
      <c r="P2313" s="4" t="str">
        <f t="shared" si="110"/>
        <v>PREMINUM MORNING</v>
      </c>
    </row>
    <row r="2314" spans="1:16" x14ac:dyDescent="0.3">
      <c r="A2314" s="4">
        <v>19</v>
      </c>
      <c r="B2314" t="s">
        <v>11</v>
      </c>
      <c r="C2314" s="4">
        <v>30.86</v>
      </c>
      <c r="D2314" t="s">
        <v>19</v>
      </c>
      <c r="E2314" t="s">
        <v>20</v>
      </c>
      <c r="F2314" s="4" t="s">
        <v>25</v>
      </c>
      <c r="G2314" s="4" t="s">
        <v>38</v>
      </c>
      <c r="H2314" s="4">
        <v>1</v>
      </c>
      <c r="I2314" s="4">
        <v>11</v>
      </c>
      <c r="J2314" s="1">
        <v>45621</v>
      </c>
      <c r="K2314" s="2">
        <v>1.3784722222222221E-3</v>
      </c>
      <c r="M2314" s="4" t="str">
        <f t="shared" si="108"/>
        <v>LOW</v>
      </c>
      <c r="N2314" s="4" t="str" cm="1">
        <f t="array" ref="N2314">_xlfn.IFS(C2314&gt;35,"HIGH",C2314&gt;25,"MIDDLE",TRUE,"LOW")</f>
        <v>MIDDLE</v>
      </c>
      <c r="O2314" s="4" t="str">
        <f t="shared" si="109"/>
        <v>OTHERS</v>
      </c>
      <c r="P2314" s="4" t="str">
        <f t="shared" si="110"/>
        <v>OTHERS</v>
      </c>
    </row>
    <row r="2315" spans="1:16" x14ac:dyDescent="0.3">
      <c r="A2315" s="4">
        <v>19</v>
      </c>
      <c r="B2315" t="s">
        <v>11</v>
      </c>
      <c r="C2315" s="4">
        <v>35.76</v>
      </c>
      <c r="D2315" t="s">
        <v>16</v>
      </c>
      <c r="E2315" t="s">
        <v>20</v>
      </c>
      <c r="F2315" s="4" t="s">
        <v>25</v>
      </c>
      <c r="G2315" s="4" t="s">
        <v>38</v>
      </c>
      <c r="H2315" s="4">
        <v>1</v>
      </c>
      <c r="I2315" s="4">
        <v>11</v>
      </c>
      <c r="J2315" s="1">
        <v>45621</v>
      </c>
      <c r="K2315" s="2">
        <v>2.6371527777777778E-2</v>
      </c>
      <c r="M2315" s="4" t="str">
        <f t="shared" si="108"/>
        <v>HIGH</v>
      </c>
      <c r="N2315" s="4" t="str" cm="1">
        <f t="array" ref="N2315">_xlfn.IFS(C2315&gt;35,"HIGH",C2315&gt;25,"MIDDLE",TRUE,"LOW")</f>
        <v>HIGH</v>
      </c>
      <c r="O2315" s="4" t="str">
        <f t="shared" si="109"/>
        <v>OTHERS</v>
      </c>
      <c r="P2315" s="4" t="str">
        <f t="shared" si="110"/>
        <v>PREMINUM MORNING</v>
      </c>
    </row>
    <row r="2316" spans="1:16" x14ac:dyDescent="0.3">
      <c r="A2316" s="4">
        <v>21</v>
      </c>
      <c r="B2316" t="s">
        <v>11</v>
      </c>
      <c r="C2316" s="4">
        <v>35.76</v>
      </c>
      <c r="D2316" t="s">
        <v>16</v>
      </c>
      <c r="E2316" t="s">
        <v>20</v>
      </c>
      <c r="F2316" s="4" t="s">
        <v>25</v>
      </c>
      <c r="G2316" s="4" t="s">
        <v>38</v>
      </c>
      <c r="H2316" s="4">
        <v>1</v>
      </c>
      <c r="I2316" s="4">
        <v>11</v>
      </c>
      <c r="J2316" s="1">
        <v>45621</v>
      </c>
      <c r="K2316" s="2">
        <v>2.934259259259259E-2</v>
      </c>
      <c r="M2316" s="4" t="str">
        <f t="shared" si="108"/>
        <v>HIGH</v>
      </c>
      <c r="N2316" s="4" t="str" cm="1">
        <f t="array" ref="N2316">_xlfn.IFS(C2316&gt;35,"HIGH",C2316&gt;25,"MIDDLE",TRUE,"LOW")</f>
        <v>HIGH</v>
      </c>
      <c r="O2316" s="4" t="str">
        <f t="shared" si="109"/>
        <v>OTHERS</v>
      </c>
      <c r="P2316" s="4" t="str">
        <f t="shared" si="110"/>
        <v>PREMINUM MORNING</v>
      </c>
    </row>
    <row r="2317" spans="1:16" x14ac:dyDescent="0.3">
      <c r="A2317" s="4">
        <v>21</v>
      </c>
      <c r="B2317" t="s">
        <v>11</v>
      </c>
      <c r="C2317" s="4">
        <v>35.76</v>
      </c>
      <c r="D2317" t="s">
        <v>29</v>
      </c>
      <c r="E2317" t="s">
        <v>20</v>
      </c>
      <c r="F2317" s="4" t="s">
        <v>25</v>
      </c>
      <c r="G2317" s="4" t="s">
        <v>38</v>
      </c>
      <c r="H2317" s="4">
        <v>1</v>
      </c>
      <c r="I2317" s="4">
        <v>11</v>
      </c>
      <c r="J2317" s="1">
        <v>45621</v>
      </c>
      <c r="K2317" s="2">
        <v>2.9866898148148149E-2</v>
      </c>
      <c r="M2317" s="4" t="str">
        <f t="shared" si="108"/>
        <v>HIGH</v>
      </c>
      <c r="N2317" s="4" t="str" cm="1">
        <f t="array" ref="N2317">_xlfn.IFS(C2317&gt;35,"HIGH",C2317&gt;25,"MIDDLE",TRUE,"LOW")</f>
        <v>HIGH</v>
      </c>
      <c r="O2317" s="4" t="str">
        <f t="shared" si="109"/>
        <v>OTHERS</v>
      </c>
      <c r="P2317" s="4" t="str">
        <f t="shared" si="110"/>
        <v>PREMINUM MORNING</v>
      </c>
    </row>
    <row r="2318" spans="1:16" x14ac:dyDescent="0.3">
      <c r="A2318" s="4">
        <v>7</v>
      </c>
      <c r="B2318" t="s">
        <v>11</v>
      </c>
      <c r="C2318" s="4">
        <v>35.76</v>
      </c>
      <c r="D2318" t="s">
        <v>12</v>
      </c>
      <c r="E2318" t="s">
        <v>13</v>
      </c>
      <c r="F2318" s="4" t="s">
        <v>27</v>
      </c>
      <c r="G2318" s="4" t="s">
        <v>38</v>
      </c>
      <c r="H2318" s="4">
        <v>2</v>
      </c>
      <c r="I2318" s="4">
        <v>11</v>
      </c>
      <c r="J2318" s="1">
        <v>45622</v>
      </c>
      <c r="K2318" s="2">
        <v>3.7938657407407407E-2</v>
      </c>
      <c r="M2318" s="4" t="str">
        <f t="shared" si="108"/>
        <v>HIGH</v>
      </c>
      <c r="N2318" s="4" t="str" cm="1">
        <f t="array" ref="N2318">_xlfn.IFS(C2318&gt;35,"HIGH",C2318&gt;25,"MIDDLE",TRUE,"LOW")</f>
        <v>HIGH</v>
      </c>
      <c r="O2318" s="4" t="str">
        <f t="shared" si="109"/>
        <v>PREMINUM MORNING</v>
      </c>
      <c r="P2318" s="4" t="str">
        <f t="shared" si="110"/>
        <v>PREMINUM MORNING</v>
      </c>
    </row>
    <row r="2319" spans="1:16" x14ac:dyDescent="0.3">
      <c r="A2319" s="4">
        <v>11</v>
      </c>
      <c r="B2319" t="s">
        <v>11</v>
      </c>
      <c r="C2319" s="4">
        <v>35.76</v>
      </c>
      <c r="D2319" t="s">
        <v>21</v>
      </c>
      <c r="E2319" t="s">
        <v>13</v>
      </c>
      <c r="F2319" s="4" t="s">
        <v>27</v>
      </c>
      <c r="G2319" s="4" t="s">
        <v>38</v>
      </c>
      <c r="H2319" s="4">
        <v>2</v>
      </c>
      <c r="I2319" s="4">
        <v>11</v>
      </c>
      <c r="J2319" s="1">
        <v>45622</v>
      </c>
      <c r="K2319" s="2">
        <v>2.0405092592592593E-3</v>
      </c>
      <c r="M2319" s="4" t="str">
        <f t="shared" si="108"/>
        <v>HIGH</v>
      </c>
      <c r="N2319" s="4" t="str" cm="1">
        <f t="array" ref="N2319">_xlfn.IFS(C2319&gt;35,"HIGH",C2319&gt;25,"MIDDLE",TRUE,"LOW")</f>
        <v>HIGH</v>
      </c>
      <c r="O2319" s="4" t="str">
        <f t="shared" si="109"/>
        <v>PREMINUM MORNING</v>
      </c>
      <c r="P2319" s="4" t="str">
        <f t="shared" si="110"/>
        <v>PREMINUM MORNING</v>
      </c>
    </row>
    <row r="2320" spans="1:16" x14ac:dyDescent="0.3">
      <c r="A2320" s="4">
        <v>11</v>
      </c>
      <c r="B2320" t="s">
        <v>11</v>
      </c>
      <c r="C2320" s="4">
        <v>25.96</v>
      </c>
      <c r="D2320" t="s">
        <v>18</v>
      </c>
      <c r="E2320" t="s">
        <v>13</v>
      </c>
      <c r="F2320" s="4" t="s">
        <v>27</v>
      </c>
      <c r="G2320" s="4" t="s">
        <v>38</v>
      </c>
      <c r="H2320" s="4">
        <v>2</v>
      </c>
      <c r="I2320" s="4">
        <v>11</v>
      </c>
      <c r="J2320" s="1">
        <v>45622</v>
      </c>
      <c r="K2320" s="2">
        <v>2.6307870370370374E-3</v>
      </c>
      <c r="M2320" s="4" t="str">
        <f t="shared" si="108"/>
        <v>LOW</v>
      </c>
      <c r="N2320" s="4" t="str" cm="1">
        <f t="array" ref="N2320">_xlfn.IFS(C2320&gt;35,"HIGH",C2320&gt;25,"MIDDLE",TRUE,"LOW")</f>
        <v>MIDDLE</v>
      </c>
      <c r="O2320" s="4" t="str">
        <f t="shared" si="109"/>
        <v>OTHERS</v>
      </c>
      <c r="P2320" s="4" t="str">
        <f t="shared" si="110"/>
        <v>PREMINUM MORNING</v>
      </c>
    </row>
    <row r="2321" spans="1:16" x14ac:dyDescent="0.3">
      <c r="A2321" s="4">
        <v>11</v>
      </c>
      <c r="B2321" t="s">
        <v>11</v>
      </c>
      <c r="C2321" s="4">
        <v>35.76</v>
      </c>
      <c r="D2321" t="s">
        <v>21</v>
      </c>
      <c r="E2321" t="s">
        <v>13</v>
      </c>
      <c r="F2321" s="4" t="s">
        <v>27</v>
      </c>
      <c r="G2321" s="4" t="s">
        <v>38</v>
      </c>
      <c r="H2321" s="4">
        <v>2</v>
      </c>
      <c r="I2321" s="4">
        <v>11</v>
      </c>
      <c r="J2321" s="1">
        <v>45622</v>
      </c>
      <c r="K2321" s="2">
        <v>4.2719907407407411E-3</v>
      </c>
      <c r="M2321" s="4" t="str">
        <f t="shared" si="108"/>
        <v>HIGH</v>
      </c>
      <c r="N2321" s="4" t="str" cm="1">
        <f t="array" ref="N2321">_xlfn.IFS(C2321&gt;35,"HIGH",C2321&gt;25,"MIDDLE",TRUE,"LOW")</f>
        <v>HIGH</v>
      </c>
      <c r="O2321" s="4" t="str">
        <f t="shared" si="109"/>
        <v>PREMINUM MORNING</v>
      </c>
      <c r="P2321" s="4" t="str">
        <f t="shared" si="110"/>
        <v>PREMINUM MORNING</v>
      </c>
    </row>
    <row r="2322" spans="1:16" x14ac:dyDescent="0.3">
      <c r="A2322" s="4">
        <v>11</v>
      </c>
      <c r="B2322" t="s">
        <v>11</v>
      </c>
      <c r="C2322" s="4">
        <v>35.76</v>
      </c>
      <c r="D2322" t="s">
        <v>21</v>
      </c>
      <c r="E2322" t="s">
        <v>13</v>
      </c>
      <c r="F2322" s="4" t="s">
        <v>27</v>
      </c>
      <c r="G2322" s="4" t="s">
        <v>38</v>
      </c>
      <c r="H2322" s="4">
        <v>2</v>
      </c>
      <c r="I2322" s="4">
        <v>11</v>
      </c>
      <c r="J2322" s="1">
        <v>45622</v>
      </c>
      <c r="K2322" s="2">
        <v>4.9768518518518521E-3</v>
      </c>
      <c r="M2322" s="4" t="str">
        <f t="shared" si="108"/>
        <v>HIGH</v>
      </c>
      <c r="N2322" s="4" t="str" cm="1">
        <f t="array" ref="N2322">_xlfn.IFS(C2322&gt;35,"HIGH",C2322&gt;25,"MIDDLE",TRUE,"LOW")</f>
        <v>HIGH</v>
      </c>
      <c r="O2322" s="4" t="str">
        <f t="shared" si="109"/>
        <v>PREMINUM MORNING</v>
      </c>
      <c r="P2322" s="4" t="str">
        <f t="shared" si="110"/>
        <v>PREMINUM MORNING</v>
      </c>
    </row>
    <row r="2323" spans="1:16" x14ac:dyDescent="0.3">
      <c r="A2323" s="4">
        <v>16</v>
      </c>
      <c r="B2323" t="s">
        <v>11</v>
      </c>
      <c r="C2323" s="4">
        <v>35.76</v>
      </c>
      <c r="D2323" t="s">
        <v>12</v>
      </c>
      <c r="E2323" t="s">
        <v>17</v>
      </c>
      <c r="F2323" s="4" t="s">
        <v>27</v>
      </c>
      <c r="G2323" s="4" t="s">
        <v>38</v>
      </c>
      <c r="H2323" s="4">
        <v>2</v>
      </c>
      <c r="I2323" s="4">
        <v>11</v>
      </c>
      <c r="J2323" s="1">
        <v>45622</v>
      </c>
      <c r="K2323" s="2">
        <v>2.7118055555555558E-3</v>
      </c>
      <c r="M2323" s="4" t="str">
        <f t="shared" si="108"/>
        <v>HIGH</v>
      </c>
      <c r="N2323" s="4" t="str" cm="1">
        <f t="array" ref="N2323">_xlfn.IFS(C2323&gt;35,"HIGH",C2323&gt;25,"MIDDLE",TRUE,"LOW")</f>
        <v>HIGH</v>
      </c>
      <c r="O2323" s="4" t="str">
        <f t="shared" si="109"/>
        <v>OTHERS</v>
      </c>
      <c r="P2323" s="4" t="str">
        <f t="shared" si="110"/>
        <v>PREMINUM MORNING</v>
      </c>
    </row>
    <row r="2324" spans="1:16" x14ac:dyDescent="0.3">
      <c r="A2324" s="4">
        <v>16</v>
      </c>
      <c r="B2324" t="s">
        <v>11</v>
      </c>
      <c r="C2324" s="4">
        <v>35.76</v>
      </c>
      <c r="D2324" t="s">
        <v>12</v>
      </c>
      <c r="E2324" t="s">
        <v>17</v>
      </c>
      <c r="F2324" s="4" t="s">
        <v>27</v>
      </c>
      <c r="G2324" s="4" t="s">
        <v>38</v>
      </c>
      <c r="H2324" s="4">
        <v>2</v>
      </c>
      <c r="I2324" s="4">
        <v>11</v>
      </c>
      <c r="J2324" s="1">
        <v>45622</v>
      </c>
      <c r="K2324" s="2">
        <v>3.4791666666666669E-3</v>
      </c>
      <c r="M2324" s="4" t="str">
        <f t="shared" si="108"/>
        <v>HIGH</v>
      </c>
      <c r="N2324" s="4" t="str" cm="1">
        <f t="array" ref="N2324">_xlfn.IFS(C2324&gt;35,"HIGH",C2324&gt;25,"MIDDLE",TRUE,"LOW")</f>
        <v>HIGH</v>
      </c>
      <c r="O2324" s="4" t="str">
        <f t="shared" si="109"/>
        <v>OTHERS</v>
      </c>
      <c r="P2324" s="4" t="str">
        <f t="shared" si="110"/>
        <v>PREMINUM MORNING</v>
      </c>
    </row>
    <row r="2325" spans="1:16" x14ac:dyDescent="0.3">
      <c r="A2325" s="4">
        <v>17</v>
      </c>
      <c r="B2325" t="s">
        <v>11</v>
      </c>
      <c r="C2325" s="4">
        <v>25.96</v>
      </c>
      <c r="D2325" t="s">
        <v>18</v>
      </c>
      <c r="E2325" t="s">
        <v>20</v>
      </c>
      <c r="F2325" s="4" t="s">
        <v>27</v>
      </c>
      <c r="G2325" s="4" t="s">
        <v>38</v>
      </c>
      <c r="H2325" s="4">
        <v>2</v>
      </c>
      <c r="I2325" s="4">
        <v>11</v>
      </c>
      <c r="J2325" s="1">
        <v>45622</v>
      </c>
      <c r="K2325" s="2">
        <v>8.0752314814814818E-3</v>
      </c>
      <c r="M2325" s="4" t="str">
        <f t="shared" si="108"/>
        <v>LOW</v>
      </c>
      <c r="N2325" s="4" t="str" cm="1">
        <f t="array" ref="N2325">_xlfn.IFS(C2325&gt;35,"HIGH",C2325&gt;25,"MIDDLE",TRUE,"LOW")</f>
        <v>MIDDLE</v>
      </c>
      <c r="O2325" s="4" t="str">
        <f t="shared" si="109"/>
        <v>OTHERS</v>
      </c>
      <c r="P2325" s="4" t="str">
        <f t="shared" si="110"/>
        <v>OTHERS</v>
      </c>
    </row>
    <row r="2326" spans="1:16" x14ac:dyDescent="0.3">
      <c r="A2326" s="4">
        <v>17</v>
      </c>
      <c r="B2326" t="s">
        <v>11</v>
      </c>
      <c r="C2326" s="4">
        <v>30.86</v>
      </c>
      <c r="D2326" t="s">
        <v>19</v>
      </c>
      <c r="E2326" t="s">
        <v>20</v>
      </c>
      <c r="F2326" s="4" t="s">
        <v>27</v>
      </c>
      <c r="G2326" s="4" t="s">
        <v>38</v>
      </c>
      <c r="H2326" s="4">
        <v>2</v>
      </c>
      <c r="I2326" s="4">
        <v>11</v>
      </c>
      <c r="J2326" s="1">
        <v>45622</v>
      </c>
      <c r="K2326" s="2">
        <v>8.7314814814814807E-3</v>
      </c>
      <c r="M2326" s="4" t="str">
        <f t="shared" si="108"/>
        <v>LOW</v>
      </c>
      <c r="N2326" s="4" t="str" cm="1">
        <f t="array" ref="N2326">_xlfn.IFS(C2326&gt;35,"HIGH",C2326&gt;25,"MIDDLE",TRUE,"LOW")</f>
        <v>MIDDLE</v>
      </c>
      <c r="O2326" s="4" t="str">
        <f t="shared" si="109"/>
        <v>OTHERS</v>
      </c>
      <c r="P2326" s="4" t="str">
        <f t="shared" si="110"/>
        <v>OTHERS</v>
      </c>
    </row>
    <row r="2327" spans="1:16" x14ac:dyDescent="0.3">
      <c r="A2327" s="4">
        <v>19</v>
      </c>
      <c r="B2327" t="s">
        <v>11</v>
      </c>
      <c r="C2327" s="4">
        <v>35.76</v>
      </c>
      <c r="D2327" t="s">
        <v>21</v>
      </c>
      <c r="E2327" t="s">
        <v>20</v>
      </c>
      <c r="F2327" s="4" t="s">
        <v>27</v>
      </c>
      <c r="G2327" s="4" t="s">
        <v>38</v>
      </c>
      <c r="H2327" s="4">
        <v>2</v>
      </c>
      <c r="I2327" s="4">
        <v>11</v>
      </c>
      <c r="J2327" s="1">
        <v>45622</v>
      </c>
      <c r="K2327" s="2">
        <v>3.292476851851852E-2</v>
      </c>
      <c r="M2327" s="4" t="str">
        <f t="shared" si="108"/>
        <v>HIGH</v>
      </c>
      <c r="N2327" s="4" t="str" cm="1">
        <f t="array" ref="N2327">_xlfn.IFS(C2327&gt;35,"HIGH",C2327&gt;25,"MIDDLE",TRUE,"LOW")</f>
        <v>HIGH</v>
      </c>
      <c r="O2327" s="4" t="str">
        <f t="shared" si="109"/>
        <v>OTHERS</v>
      </c>
      <c r="P2327" s="4" t="str">
        <f t="shared" si="110"/>
        <v>PREMINUM MORNING</v>
      </c>
    </row>
    <row r="2328" spans="1:16" x14ac:dyDescent="0.3">
      <c r="A2328" s="4">
        <v>8</v>
      </c>
      <c r="B2328" t="s">
        <v>11</v>
      </c>
      <c r="C2328" s="4">
        <v>35.76</v>
      </c>
      <c r="D2328" t="s">
        <v>29</v>
      </c>
      <c r="E2328" t="s">
        <v>13</v>
      </c>
      <c r="F2328" s="4" t="s">
        <v>30</v>
      </c>
      <c r="G2328" s="4" t="s">
        <v>38</v>
      </c>
      <c r="H2328" s="4">
        <v>4</v>
      </c>
      <c r="I2328" s="4">
        <v>11</v>
      </c>
      <c r="J2328" s="1">
        <v>45624</v>
      </c>
      <c r="K2328" s="2">
        <v>2.8667824074074075E-2</v>
      </c>
      <c r="M2328" s="4" t="str">
        <f t="shared" si="108"/>
        <v>HIGH</v>
      </c>
      <c r="N2328" s="4" t="str" cm="1">
        <f t="array" ref="N2328">_xlfn.IFS(C2328&gt;35,"HIGH",C2328&gt;25,"MIDDLE",TRUE,"LOW")</f>
        <v>HIGH</v>
      </c>
      <c r="O2328" s="4" t="str">
        <f t="shared" si="109"/>
        <v>PREMINUM MORNING</v>
      </c>
      <c r="P2328" s="4" t="str">
        <f t="shared" si="110"/>
        <v>PREMINUM MORNING</v>
      </c>
    </row>
    <row r="2329" spans="1:16" x14ac:dyDescent="0.3">
      <c r="A2329" s="4">
        <v>9</v>
      </c>
      <c r="B2329" t="s">
        <v>11</v>
      </c>
      <c r="C2329" s="4">
        <v>30.86</v>
      </c>
      <c r="D2329" t="s">
        <v>19</v>
      </c>
      <c r="E2329" t="s">
        <v>13</v>
      </c>
      <c r="F2329" s="4" t="s">
        <v>30</v>
      </c>
      <c r="G2329" s="4" t="s">
        <v>38</v>
      </c>
      <c r="H2329" s="4">
        <v>4</v>
      </c>
      <c r="I2329" s="4">
        <v>11</v>
      </c>
      <c r="J2329" s="1">
        <v>45624</v>
      </c>
      <c r="K2329" s="2">
        <v>9.7326388888888879E-3</v>
      </c>
      <c r="M2329" s="4" t="str">
        <f t="shared" si="108"/>
        <v>LOW</v>
      </c>
      <c r="N2329" s="4" t="str" cm="1">
        <f t="array" ref="N2329">_xlfn.IFS(C2329&gt;35,"HIGH",C2329&gt;25,"MIDDLE",TRUE,"LOW")</f>
        <v>MIDDLE</v>
      </c>
      <c r="O2329" s="4" t="str">
        <f t="shared" si="109"/>
        <v>OTHERS</v>
      </c>
      <c r="P2329" s="4" t="str">
        <f t="shared" si="110"/>
        <v>PREMINUM MORNING</v>
      </c>
    </row>
    <row r="2330" spans="1:16" x14ac:dyDescent="0.3">
      <c r="A2330" s="4">
        <v>20</v>
      </c>
      <c r="B2330" t="s">
        <v>11</v>
      </c>
      <c r="C2330" s="4">
        <v>30.86</v>
      </c>
      <c r="D2330" t="s">
        <v>19</v>
      </c>
      <c r="E2330" t="s">
        <v>20</v>
      </c>
      <c r="F2330" s="4" t="s">
        <v>30</v>
      </c>
      <c r="G2330" s="4" t="s">
        <v>38</v>
      </c>
      <c r="H2330" s="4">
        <v>4</v>
      </c>
      <c r="I2330" s="4">
        <v>11</v>
      </c>
      <c r="J2330" s="1">
        <v>45624</v>
      </c>
      <c r="K2330" s="2">
        <v>1.7152777777777777E-2</v>
      </c>
      <c r="M2330" s="4" t="str">
        <f t="shared" si="108"/>
        <v>LOW</v>
      </c>
      <c r="N2330" s="4" t="str" cm="1">
        <f t="array" ref="N2330">_xlfn.IFS(C2330&gt;35,"HIGH",C2330&gt;25,"MIDDLE",TRUE,"LOW")</f>
        <v>MIDDLE</v>
      </c>
      <c r="O2330" s="4" t="str">
        <f t="shared" si="109"/>
        <v>OTHERS</v>
      </c>
      <c r="P2330" s="4" t="str">
        <f t="shared" si="110"/>
        <v>OTHERS</v>
      </c>
    </row>
    <row r="2331" spans="1:16" x14ac:dyDescent="0.3">
      <c r="A2331" s="4">
        <v>20</v>
      </c>
      <c r="B2331" t="s">
        <v>11</v>
      </c>
      <c r="C2331" s="4">
        <v>35.76</v>
      </c>
      <c r="D2331" t="s">
        <v>12</v>
      </c>
      <c r="E2331" t="s">
        <v>20</v>
      </c>
      <c r="F2331" s="4" t="s">
        <v>30</v>
      </c>
      <c r="G2331" s="4" t="s">
        <v>38</v>
      </c>
      <c r="H2331" s="4">
        <v>4</v>
      </c>
      <c r="I2331" s="4">
        <v>11</v>
      </c>
      <c r="J2331" s="1">
        <v>45624</v>
      </c>
      <c r="K2331" s="2">
        <v>1.788773148148148E-2</v>
      </c>
      <c r="M2331" s="4" t="str">
        <f t="shared" si="108"/>
        <v>HIGH</v>
      </c>
      <c r="N2331" s="4" t="str" cm="1">
        <f t="array" ref="N2331">_xlfn.IFS(C2331&gt;35,"HIGH",C2331&gt;25,"MIDDLE",TRUE,"LOW")</f>
        <v>HIGH</v>
      </c>
      <c r="O2331" s="4" t="str">
        <f t="shared" si="109"/>
        <v>OTHERS</v>
      </c>
      <c r="P2331" s="4" t="str">
        <f t="shared" si="110"/>
        <v>PREMINUM MORNING</v>
      </c>
    </row>
    <row r="2332" spans="1:16" x14ac:dyDescent="0.3">
      <c r="A2332" s="4">
        <v>20</v>
      </c>
      <c r="B2332" t="s">
        <v>11</v>
      </c>
      <c r="C2332" s="4">
        <v>35.76</v>
      </c>
      <c r="D2332" t="s">
        <v>12</v>
      </c>
      <c r="E2332" t="s">
        <v>20</v>
      </c>
      <c r="F2332" s="4" t="s">
        <v>30</v>
      </c>
      <c r="G2332" s="4" t="s">
        <v>38</v>
      </c>
      <c r="H2332" s="4">
        <v>4</v>
      </c>
      <c r="I2332" s="4">
        <v>11</v>
      </c>
      <c r="J2332" s="1">
        <v>45624</v>
      </c>
      <c r="K2332" s="2">
        <v>3.8190972222222223E-2</v>
      </c>
      <c r="M2332" s="4" t="str">
        <f t="shared" si="108"/>
        <v>HIGH</v>
      </c>
      <c r="N2332" s="4" t="str" cm="1">
        <f t="array" ref="N2332">_xlfn.IFS(C2332&gt;35,"HIGH",C2332&gt;25,"MIDDLE",TRUE,"LOW")</f>
        <v>HIGH</v>
      </c>
      <c r="O2332" s="4" t="str">
        <f t="shared" si="109"/>
        <v>OTHERS</v>
      </c>
      <c r="P2332" s="4" t="str">
        <f t="shared" si="110"/>
        <v>PREMINUM MORNING</v>
      </c>
    </row>
    <row r="2333" spans="1:16" x14ac:dyDescent="0.3">
      <c r="A2333" s="4">
        <v>22</v>
      </c>
      <c r="B2333" t="s">
        <v>11</v>
      </c>
      <c r="C2333" s="4">
        <v>35.76</v>
      </c>
      <c r="D2333" t="s">
        <v>29</v>
      </c>
      <c r="E2333" t="s">
        <v>20</v>
      </c>
      <c r="F2333" s="4" t="s">
        <v>30</v>
      </c>
      <c r="G2333" s="4" t="s">
        <v>38</v>
      </c>
      <c r="H2333" s="4">
        <v>4</v>
      </c>
      <c r="I2333" s="4">
        <v>11</v>
      </c>
      <c r="J2333" s="1">
        <v>45624</v>
      </c>
      <c r="K2333" s="2">
        <v>1.8171296296296295E-4</v>
      </c>
      <c r="M2333" s="4" t="str">
        <f t="shared" si="108"/>
        <v>HIGH</v>
      </c>
      <c r="N2333" s="4" t="str" cm="1">
        <f t="array" ref="N2333">_xlfn.IFS(C2333&gt;35,"HIGH",C2333&gt;25,"MIDDLE",TRUE,"LOW")</f>
        <v>HIGH</v>
      </c>
      <c r="O2333" s="4" t="str">
        <f t="shared" si="109"/>
        <v>OTHERS</v>
      </c>
      <c r="P2333" s="4" t="str">
        <f t="shared" si="110"/>
        <v>PREMINUM MORNING</v>
      </c>
    </row>
    <row r="2334" spans="1:16" x14ac:dyDescent="0.3">
      <c r="A2334" s="4">
        <v>7</v>
      </c>
      <c r="B2334" t="s">
        <v>11</v>
      </c>
      <c r="C2334" s="4">
        <v>35.76</v>
      </c>
      <c r="D2334" t="s">
        <v>21</v>
      </c>
      <c r="E2334" t="s">
        <v>13</v>
      </c>
      <c r="F2334" s="4" t="s">
        <v>14</v>
      </c>
      <c r="G2334" s="4" t="s">
        <v>38</v>
      </c>
      <c r="H2334" s="4">
        <v>5</v>
      </c>
      <c r="I2334" s="4">
        <v>11</v>
      </c>
      <c r="J2334" s="1">
        <v>45625</v>
      </c>
      <c r="K2334" s="2">
        <v>3.6988425925925925E-2</v>
      </c>
      <c r="M2334" s="4" t="str">
        <f t="shared" si="108"/>
        <v>HIGH</v>
      </c>
      <c r="N2334" s="4" t="str" cm="1">
        <f t="array" ref="N2334">_xlfn.IFS(C2334&gt;35,"HIGH",C2334&gt;25,"MIDDLE",TRUE,"LOW")</f>
        <v>HIGH</v>
      </c>
      <c r="O2334" s="4" t="str">
        <f t="shared" si="109"/>
        <v>PREMINUM MORNING</v>
      </c>
      <c r="P2334" s="4" t="str">
        <f t="shared" si="110"/>
        <v>PREMINUM MORNING</v>
      </c>
    </row>
    <row r="2335" spans="1:16" x14ac:dyDescent="0.3">
      <c r="A2335" s="4">
        <v>7</v>
      </c>
      <c r="B2335" t="s">
        <v>11</v>
      </c>
      <c r="C2335" s="4">
        <v>35.76</v>
      </c>
      <c r="D2335" t="s">
        <v>12</v>
      </c>
      <c r="E2335" t="s">
        <v>13</v>
      </c>
      <c r="F2335" s="4" t="s">
        <v>14</v>
      </c>
      <c r="G2335" s="4" t="s">
        <v>38</v>
      </c>
      <c r="H2335" s="4">
        <v>5</v>
      </c>
      <c r="I2335" s="4">
        <v>11</v>
      </c>
      <c r="J2335" s="1">
        <v>45625</v>
      </c>
      <c r="K2335" s="2">
        <v>4.0071759259259258E-2</v>
      </c>
      <c r="M2335" s="4" t="str">
        <f t="shared" si="108"/>
        <v>HIGH</v>
      </c>
      <c r="N2335" s="4" t="str" cm="1">
        <f t="array" ref="N2335">_xlfn.IFS(C2335&gt;35,"HIGH",C2335&gt;25,"MIDDLE",TRUE,"LOW")</f>
        <v>HIGH</v>
      </c>
      <c r="O2335" s="4" t="str">
        <f t="shared" si="109"/>
        <v>PREMINUM MORNING</v>
      </c>
      <c r="P2335" s="4" t="str">
        <f t="shared" si="110"/>
        <v>PREMINUM MORNING</v>
      </c>
    </row>
    <row r="2336" spans="1:16" x14ac:dyDescent="0.3">
      <c r="A2336" s="4">
        <v>9</v>
      </c>
      <c r="B2336" t="s">
        <v>11</v>
      </c>
      <c r="C2336" s="4">
        <v>30.86</v>
      </c>
      <c r="D2336" t="s">
        <v>19</v>
      </c>
      <c r="E2336" t="s">
        <v>13</v>
      </c>
      <c r="F2336" s="4" t="s">
        <v>14</v>
      </c>
      <c r="G2336" s="4" t="s">
        <v>38</v>
      </c>
      <c r="H2336" s="4">
        <v>5</v>
      </c>
      <c r="I2336" s="4">
        <v>11</v>
      </c>
      <c r="J2336" s="1">
        <v>45625</v>
      </c>
      <c r="K2336" s="2">
        <v>5.2256944444444443E-3</v>
      </c>
      <c r="M2336" s="4" t="str">
        <f t="shared" si="108"/>
        <v>LOW</v>
      </c>
      <c r="N2336" s="4" t="str" cm="1">
        <f t="array" ref="N2336">_xlfn.IFS(C2336&gt;35,"HIGH",C2336&gt;25,"MIDDLE",TRUE,"LOW")</f>
        <v>MIDDLE</v>
      </c>
      <c r="O2336" s="4" t="str">
        <f t="shared" si="109"/>
        <v>OTHERS</v>
      </c>
      <c r="P2336" s="4" t="str">
        <f t="shared" si="110"/>
        <v>PREMINUM MORNING</v>
      </c>
    </row>
    <row r="2337" spans="1:16" x14ac:dyDescent="0.3">
      <c r="A2337" s="4">
        <v>9</v>
      </c>
      <c r="B2337" t="s">
        <v>11</v>
      </c>
      <c r="C2337" s="4">
        <v>30.86</v>
      </c>
      <c r="D2337" t="s">
        <v>19</v>
      </c>
      <c r="E2337" t="s">
        <v>13</v>
      </c>
      <c r="F2337" s="4" t="s">
        <v>14</v>
      </c>
      <c r="G2337" s="4" t="s">
        <v>38</v>
      </c>
      <c r="H2337" s="4">
        <v>5</v>
      </c>
      <c r="I2337" s="4">
        <v>11</v>
      </c>
      <c r="J2337" s="1">
        <v>45625</v>
      </c>
      <c r="K2337" s="2">
        <v>5.9050925925925929E-3</v>
      </c>
      <c r="M2337" s="4" t="str">
        <f t="shared" si="108"/>
        <v>LOW</v>
      </c>
      <c r="N2337" s="4" t="str" cm="1">
        <f t="array" ref="N2337">_xlfn.IFS(C2337&gt;35,"HIGH",C2337&gt;25,"MIDDLE",TRUE,"LOW")</f>
        <v>MIDDLE</v>
      </c>
      <c r="O2337" s="4" t="str">
        <f t="shared" si="109"/>
        <v>OTHERS</v>
      </c>
      <c r="P2337" s="4" t="str">
        <f t="shared" si="110"/>
        <v>PREMINUM MORNING</v>
      </c>
    </row>
    <row r="2338" spans="1:16" x14ac:dyDescent="0.3">
      <c r="A2338" s="4">
        <v>15</v>
      </c>
      <c r="B2338" t="s">
        <v>11</v>
      </c>
      <c r="C2338" s="4">
        <v>30.86</v>
      </c>
      <c r="D2338" t="s">
        <v>19</v>
      </c>
      <c r="E2338" t="s">
        <v>17</v>
      </c>
      <c r="F2338" s="4" t="s">
        <v>14</v>
      </c>
      <c r="G2338" s="4" t="s">
        <v>38</v>
      </c>
      <c r="H2338" s="4">
        <v>5</v>
      </c>
      <c r="I2338" s="4">
        <v>11</v>
      </c>
      <c r="J2338" s="1">
        <v>45625</v>
      </c>
      <c r="K2338" s="2">
        <v>1.2579861111111113E-2</v>
      </c>
      <c r="M2338" s="4" t="str">
        <f t="shared" si="108"/>
        <v>LOW</v>
      </c>
      <c r="N2338" s="4" t="str" cm="1">
        <f t="array" ref="N2338">_xlfn.IFS(C2338&gt;35,"HIGH",C2338&gt;25,"MIDDLE",TRUE,"LOW")</f>
        <v>MIDDLE</v>
      </c>
      <c r="O2338" s="4" t="str">
        <f t="shared" si="109"/>
        <v>OTHERS</v>
      </c>
      <c r="P2338" s="4" t="str">
        <f t="shared" si="110"/>
        <v>OTHERS</v>
      </c>
    </row>
    <row r="2339" spans="1:16" x14ac:dyDescent="0.3">
      <c r="A2339" s="4">
        <v>15</v>
      </c>
      <c r="B2339" t="s">
        <v>11</v>
      </c>
      <c r="C2339" s="4">
        <v>35.76</v>
      </c>
      <c r="D2339" t="s">
        <v>12</v>
      </c>
      <c r="E2339" t="s">
        <v>17</v>
      </c>
      <c r="F2339" s="4" t="s">
        <v>14</v>
      </c>
      <c r="G2339" s="4" t="s">
        <v>38</v>
      </c>
      <c r="H2339" s="4">
        <v>5</v>
      </c>
      <c r="I2339" s="4">
        <v>11</v>
      </c>
      <c r="J2339" s="1">
        <v>45625</v>
      </c>
      <c r="K2339" s="2">
        <v>1.3429398148148147E-2</v>
      </c>
      <c r="M2339" s="4" t="str">
        <f t="shared" si="108"/>
        <v>HIGH</v>
      </c>
      <c r="N2339" s="4" t="str" cm="1">
        <f t="array" ref="N2339">_xlfn.IFS(C2339&gt;35,"HIGH",C2339&gt;25,"MIDDLE",TRUE,"LOW")</f>
        <v>HIGH</v>
      </c>
      <c r="O2339" s="4" t="str">
        <f t="shared" si="109"/>
        <v>OTHERS</v>
      </c>
      <c r="P2339" s="4" t="str">
        <f t="shared" si="110"/>
        <v>PREMINUM MORNING</v>
      </c>
    </row>
    <row r="2340" spans="1:16" x14ac:dyDescent="0.3">
      <c r="A2340" s="4">
        <v>20</v>
      </c>
      <c r="B2340" t="s">
        <v>11</v>
      </c>
      <c r="C2340" s="4">
        <v>35.76</v>
      </c>
      <c r="D2340" t="s">
        <v>21</v>
      </c>
      <c r="E2340" t="s">
        <v>20</v>
      </c>
      <c r="F2340" s="4" t="s">
        <v>14</v>
      </c>
      <c r="G2340" s="4" t="s">
        <v>38</v>
      </c>
      <c r="H2340" s="4">
        <v>5</v>
      </c>
      <c r="I2340" s="4">
        <v>11</v>
      </c>
      <c r="J2340" s="1">
        <v>45625</v>
      </c>
      <c r="K2340" s="2">
        <v>4.0216435185185181E-2</v>
      </c>
      <c r="M2340" s="4" t="str">
        <f t="shared" si="108"/>
        <v>HIGH</v>
      </c>
      <c r="N2340" s="4" t="str" cm="1">
        <f t="array" ref="N2340">_xlfn.IFS(C2340&gt;35,"HIGH",C2340&gt;25,"MIDDLE",TRUE,"LOW")</f>
        <v>HIGH</v>
      </c>
      <c r="O2340" s="4" t="str">
        <f t="shared" si="109"/>
        <v>OTHERS</v>
      </c>
      <c r="P2340" s="4" t="str">
        <f t="shared" si="110"/>
        <v>PREMINUM MORNING</v>
      </c>
    </row>
    <row r="2341" spans="1:16" x14ac:dyDescent="0.3">
      <c r="A2341" s="4">
        <v>12</v>
      </c>
      <c r="B2341" t="s">
        <v>11</v>
      </c>
      <c r="C2341" s="4">
        <v>35.76</v>
      </c>
      <c r="D2341" t="s">
        <v>21</v>
      </c>
      <c r="E2341" t="s">
        <v>17</v>
      </c>
      <c r="F2341" s="4" t="s">
        <v>22</v>
      </c>
      <c r="G2341" s="4" t="s">
        <v>38</v>
      </c>
      <c r="H2341" s="4">
        <v>6</v>
      </c>
      <c r="I2341" s="4">
        <v>11</v>
      </c>
      <c r="J2341" s="1">
        <v>45626</v>
      </c>
      <c r="K2341" s="2">
        <v>4.0417824074074071E-2</v>
      </c>
      <c r="M2341" s="4" t="str">
        <f t="shared" si="108"/>
        <v>HIGH</v>
      </c>
      <c r="N2341" s="4" t="str" cm="1">
        <f t="array" ref="N2341">_xlfn.IFS(C2341&gt;35,"HIGH",C2341&gt;25,"MIDDLE",TRUE,"LOW")</f>
        <v>HIGH</v>
      </c>
      <c r="O2341" s="4" t="str">
        <f t="shared" si="109"/>
        <v>OTHERS</v>
      </c>
      <c r="P2341" s="4" t="str">
        <f t="shared" si="110"/>
        <v>PREMINUM MORNING</v>
      </c>
    </row>
    <row r="2342" spans="1:16" x14ac:dyDescent="0.3">
      <c r="A2342" s="4">
        <v>14</v>
      </c>
      <c r="B2342" t="s">
        <v>11</v>
      </c>
      <c r="C2342" s="4">
        <v>25.96</v>
      </c>
      <c r="D2342" t="s">
        <v>18</v>
      </c>
      <c r="E2342" t="s">
        <v>17</v>
      </c>
      <c r="F2342" s="4" t="s">
        <v>22</v>
      </c>
      <c r="G2342" s="4" t="s">
        <v>38</v>
      </c>
      <c r="H2342" s="4">
        <v>6</v>
      </c>
      <c r="I2342" s="4">
        <v>11</v>
      </c>
      <c r="J2342" s="1">
        <v>45626</v>
      </c>
      <c r="K2342" s="2">
        <v>3.4236111111111112E-3</v>
      </c>
      <c r="M2342" s="4" t="str">
        <f t="shared" si="108"/>
        <v>LOW</v>
      </c>
      <c r="N2342" s="4" t="str" cm="1">
        <f t="array" ref="N2342">_xlfn.IFS(C2342&gt;35,"HIGH",C2342&gt;25,"MIDDLE",TRUE,"LOW")</f>
        <v>MIDDLE</v>
      </c>
      <c r="O2342" s="4" t="str">
        <f t="shared" si="109"/>
        <v>OTHERS</v>
      </c>
      <c r="P2342" s="4" t="str">
        <f t="shared" si="110"/>
        <v>OTHERS</v>
      </c>
    </row>
    <row r="2343" spans="1:16" x14ac:dyDescent="0.3">
      <c r="A2343" s="4">
        <v>14</v>
      </c>
      <c r="B2343" t="s">
        <v>11</v>
      </c>
      <c r="C2343" s="4">
        <v>35.76</v>
      </c>
      <c r="D2343" t="s">
        <v>16</v>
      </c>
      <c r="E2343" t="s">
        <v>17</v>
      </c>
      <c r="F2343" s="4" t="s">
        <v>22</v>
      </c>
      <c r="G2343" s="4" t="s">
        <v>38</v>
      </c>
      <c r="H2343" s="4">
        <v>6</v>
      </c>
      <c r="I2343" s="4">
        <v>11</v>
      </c>
      <c r="J2343" s="1">
        <v>45626</v>
      </c>
      <c r="K2343" s="2">
        <v>4.1446759259259258E-3</v>
      </c>
      <c r="M2343" s="4" t="str">
        <f t="shared" si="108"/>
        <v>HIGH</v>
      </c>
      <c r="N2343" s="4" t="str" cm="1">
        <f t="array" ref="N2343">_xlfn.IFS(C2343&gt;35,"HIGH",C2343&gt;25,"MIDDLE",TRUE,"LOW")</f>
        <v>HIGH</v>
      </c>
      <c r="O2343" s="4" t="str">
        <f t="shared" si="109"/>
        <v>OTHERS</v>
      </c>
      <c r="P2343" s="4" t="str">
        <f t="shared" si="110"/>
        <v>PREMINUM MORNING</v>
      </c>
    </row>
    <row r="2344" spans="1:16" x14ac:dyDescent="0.3">
      <c r="A2344" s="4">
        <v>14</v>
      </c>
      <c r="B2344" t="s">
        <v>11</v>
      </c>
      <c r="C2344" s="4">
        <v>35.76</v>
      </c>
      <c r="D2344" t="s">
        <v>21</v>
      </c>
      <c r="E2344" t="s">
        <v>17</v>
      </c>
      <c r="F2344" s="4" t="s">
        <v>22</v>
      </c>
      <c r="G2344" s="4" t="s">
        <v>38</v>
      </c>
      <c r="H2344" s="4">
        <v>6</v>
      </c>
      <c r="I2344" s="4">
        <v>11</v>
      </c>
      <c r="J2344" s="1">
        <v>45626</v>
      </c>
      <c r="K2344" s="2">
        <v>1.1712962962962963E-2</v>
      </c>
      <c r="M2344" s="4" t="str">
        <f t="shared" si="108"/>
        <v>HIGH</v>
      </c>
      <c r="N2344" s="4" t="str" cm="1">
        <f t="array" ref="N2344">_xlfn.IFS(C2344&gt;35,"HIGH",C2344&gt;25,"MIDDLE",TRUE,"LOW")</f>
        <v>HIGH</v>
      </c>
      <c r="O2344" s="4" t="str">
        <f t="shared" si="109"/>
        <v>OTHERS</v>
      </c>
      <c r="P2344" s="4" t="str">
        <f t="shared" si="110"/>
        <v>PREMINUM MORNING</v>
      </c>
    </row>
    <row r="2345" spans="1:16" x14ac:dyDescent="0.3">
      <c r="A2345" s="4">
        <v>15</v>
      </c>
      <c r="B2345" t="s">
        <v>11</v>
      </c>
      <c r="C2345" s="4">
        <v>30.86</v>
      </c>
      <c r="D2345" t="s">
        <v>19</v>
      </c>
      <c r="E2345" t="s">
        <v>17</v>
      </c>
      <c r="F2345" s="4" t="s">
        <v>22</v>
      </c>
      <c r="G2345" s="4" t="s">
        <v>38</v>
      </c>
      <c r="H2345" s="4">
        <v>6</v>
      </c>
      <c r="I2345" s="4">
        <v>11</v>
      </c>
      <c r="J2345" s="1">
        <v>45626</v>
      </c>
      <c r="K2345" s="2">
        <v>2.3429398148148147E-2</v>
      </c>
      <c r="M2345" s="4" t="str">
        <f t="shared" si="108"/>
        <v>LOW</v>
      </c>
      <c r="N2345" s="4" t="str" cm="1">
        <f t="array" ref="N2345">_xlfn.IFS(C2345&gt;35,"HIGH",C2345&gt;25,"MIDDLE",TRUE,"LOW")</f>
        <v>MIDDLE</v>
      </c>
      <c r="O2345" s="4" t="str">
        <f t="shared" si="109"/>
        <v>OTHERS</v>
      </c>
      <c r="P2345" s="4" t="str">
        <f t="shared" si="110"/>
        <v>OTHERS</v>
      </c>
    </row>
    <row r="2346" spans="1:16" x14ac:dyDescent="0.3">
      <c r="A2346" s="4">
        <v>22</v>
      </c>
      <c r="B2346" t="s">
        <v>11</v>
      </c>
      <c r="C2346" s="4">
        <v>30.86</v>
      </c>
      <c r="D2346" t="s">
        <v>19</v>
      </c>
      <c r="E2346" t="s">
        <v>20</v>
      </c>
      <c r="F2346" s="4" t="s">
        <v>22</v>
      </c>
      <c r="G2346" s="4" t="s">
        <v>38</v>
      </c>
      <c r="H2346" s="4">
        <v>6</v>
      </c>
      <c r="I2346" s="4">
        <v>11</v>
      </c>
      <c r="J2346" s="1">
        <v>45626</v>
      </c>
      <c r="K2346" s="2">
        <v>2.6446759259259258E-3</v>
      </c>
      <c r="M2346" s="4" t="str">
        <f t="shared" si="108"/>
        <v>LOW</v>
      </c>
      <c r="N2346" s="4" t="str" cm="1">
        <f t="array" ref="N2346">_xlfn.IFS(C2346&gt;35,"HIGH",C2346&gt;25,"MIDDLE",TRUE,"LOW")</f>
        <v>MIDDLE</v>
      </c>
      <c r="O2346" s="4" t="str">
        <f t="shared" si="109"/>
        <v>OTHERS</v>
      </c>
      <c r="P2346" s="4" t="str">
        <f t="shared" si="110"/>
        <v>OTHERS</v>
      </c>
    </row>
    <row r="2347" spans="1:16" x14ac:dyDescent="0.3">
      <c r="A2347" s="4">
        <v>10</v>
      </c>
      <c r="B2347" t="s">
        <v>11</v>
      </c>
      <c r="C2347" s="4">
        <v>30.86</v>
      </c>
      <c r="D2347" t="s">
        <v>19</v>
      </c>
      <c r="E2347" t="s">
        <v>13</v>
      </c>
      <c r="F2347" s="4" t="s">
        <v>23</v>
      </c>
      <c r="G2347" s="4" t="s">
        <v>39</v>
      </c>
      <c r="H2347" s="4">
        <v>7</v>
      </c>
      <c r="I2347" s="4">
        <v>12</v>
      </c>
      <c r="J2347" s="1">
        <v>45627</v>
      </c>
      <c r="K2347" s="2">
        <v>1.0783564814814815E-2</v>
      </c>
      <c r="M2347" s="4" t="str">
        <f t="shared" si="108"/>
        <v>LOW</v>
      </c>
      <c r="N2347" s="4" t="str" cm="1">
        <f t="array" ref="N2347">_xlfn.IFS(C2347&gt;35,"HIGH",C2347&gt;25,"MIDDLE",TRUE,"LOW")</f>
        <v>MIDDLE</v>
      </c>
      <c r="O2347" s="4" t="str">
        <f t="shared" si="109"/>
        <v>OTHERS</v>
      </c>
      <c r="P2347" s="4" t="str">
        <f t="shared" si="110"/>
        <v>PREMINUM MORNING</v>
      </c>
    </row>
    <row r="2348" spans="1:16" x14ac:dyDescent="0.3">
      <c r="A2348" s="4">
        <v>10</v>
      </c>
      <c r="B2348" t="s">
        <v>11</v>
      </c>
      <c r="C2348" s="4">
        <v>30.86</v>
      </c>
      <c r="D2348" t="s">
        <v>19</v>
      </c>
      <c r="E2348" t="s">
        <v>13</v>
      </c>
      <c r="F2348" s="4" t="s">
        <v>23</v>
      </c>
      <c r="G2348" s="4" t="s">
        <v>39</v>
      </c>
      <c r="H2348" s="4">
        <v>7</v>
      </c>
      <c r="I2348" s="4">
        <v>12</v>
      </c>
      <c r="J2348" s="1">
        <v>45627</v>
      </c>
      <c r="K2348" s="2">
        <v>1.1480324074074073E-2</v>
      </c>
      <c r="M2348" s="4" t="str">
        <f t="shared" si="108"/>
        <v>LOW</v>
      </c>
      <c r="N2348" s="4" t="str" cm="1">
        <f t="array" ref="N2348">_xlfn.IFS(C2348&gt;35,"HIGH",C2348&gt;25,"MIDDLE",TRUE,"LOW")</f>
        <v>MIDDLE</v>
      </c>
      <c r="O2348" s="4" t="str">
        <f t="shared" si="109"/>
        <v>OTHERS</v>
      </c>
      <c r="P2348" s="4" t="str">
        <f t="shared" si="110"/>
        <v>PREMINUM MORNING</v>
      </c>
    </row>
    <row r="2349" spans="1:16" x14ac:dyDescent="0.3">
      <c r="A2349" s="4">
        <v>10</v>
      </c>
      <c r="B2349" t="s">
        <v>11</v>
      </c>
      <c r="C2349" s="4">
        <v>30.86</v>
      </c>
      <c r="D2349" t="s">
        <v>19</v>
      </c>
      <c r="E2349" t="s">
        <v>13</v>
      </c>
      <c r="F2349" s="4" t="s">
        <v>23</v>
      </c>
      <c r="G2349" s="4" t="s">
        <v>39</v>
      </c>
      <c r="H2349" s="4">
        <v>7</v>
      </c>
      <c r="I2349" s="4">
        <v>12</v>
      </c>
      <c r="J2349" s="1">
        <v>45627</v>
      </c>
      <c r="K2349" s="2">
        <v>1.5817129629629629E-2</v>
      </c>
      <c r="M2349" s="4" t="str">
        <f t="shared" si="108"/>
        <v>LOW</v>
      </c>
      <c r="N2349" s="4" t="str" cm="1">
        <f t="array" ref="N2349">_xlfn.IFS(C2349&gt;35,"HIGH",C2349&gt;25,"MIDDLE",TRUE,"LOW")</f>
        <v>MIDDLE</v>
      </c>
      <c r="O2349" s="4" t="str">
        <f t="shared" si="109"/>
        <v>OTHERS</v>
      </c>
      <c r="P2349" s="4" t="str">
        <f t="shared" si="110"/>
        <v>PREMINUM MORNING</v>
      </c>
    </row>
    <row r="2350" spans="1:16" x14ac:dyDescent="0.3">
      <c r="A2350" s="4">
        <v>14</v>
      </c>
      <c r="B2350" t="s">
        <v>11</v>
      </c>
      <c r="C2350" s="4">
        <v>30.86</v>
      </c>
      <c r="D2350" t="s">
        <v>19</v>
      </c>
      <c r="E2350" t="s">
        <v>17</v>
      </c>
      <c r="F2350" s="4" t="s">
        <v>23</v>
      </c>
      <c r="G2350" s="4" t="s">
        <v>39</v>
      </c>
      <c r="H2350" s="4">
        <v>7</v>
      </c>
      <c r="I2350" s="4">
        <v>12</v>
      </c>
      <c r="J2350" s="1">
        <v>45627</v>
      </c>
      <c r="K2350" s="2">
        <v>2.3876157407407408E-2</v>
      </c>
      <c r="M2350" s="4" t="str">
        <f t="shared" si="108"/>
        <v>LOW</v>
      </c>
      <c r="N2350" s="4" t="str" cm="1">
        <f t="array" ref="N2350">_xlfn.IFS(C2350&gt;35,"HIGH",C2350&gt;25,"MIDDLE",TRUE,"LOW")</f>
        <v>MIDDLE</v>
      </c>
      <c r="O2350" s="4" t="str">
        <f t="shared" si="109"/>
        <v>OTHERS</v>
      </c>
      <c r="P2350" s="4" t="str">
        <f t="shared" si="110"/>
        <v>OTHERS</v>
      </c>
    </row>
    <row r="2351" spans="1:16" x14ac:dyDescent="0.3">
      <c r="A2351" s="4">
        <v>15</v>
      </c>
      <c r="B2351" t="s">
        <v>11</v>
      </c>
      <c r="C2351" s="4">
        <v>35.76</v>
      </c>
      <c r="D2351" t="s">
        <v>21</v>
      </c>
      <c r="E2351" t="s">
        <v>17</v>
      </c>
      <c r="F2351" s="4" t="s">
        <v>23</v>
      </c>
      <c r="G2351" s="4" t="s">
        <v>39</v>
      </c>
      <c r="H2351" s="4">
        <v>7</v>
      </c>
      <c r="I2351" s="4">
        <v>12</v>
      </c>
      <c r="J2351" s="1">
        <v>45627</v>
      </c>
      <c r="K2351" s="2">
        <v>6.3969907407407413E-3</v>
      </c>
      <c r="M2351" s="4" t="str">
        <f t="shared" si="108"/>
        <v>HIGH</v>
      </c>
      <c r="N2351" s="4" t="str" cm="1">
        <f t="array" ref="N2351">_xlfn.IFS(C2351&gt;35,"HIGH",C2351&gt;25,"MIDDLE",TRUE,"LOW")</f>
        <v>HIGH</v>
      </c>
      <c r="O2351" s="4" t="str">
        <f t="shared" si="109"/>
        <v>OTHERS</v>
      </c>
      <c r="P2351" s="4" t="str">
        <f t="shared" si="110"/>
        <v>PREMINUM MORNING</v>
      </c>
    </row>
    <row r="2352" spans="1:16" x14ac:dyDescent="0.3">
      <c r="A2352" s="4">
        <v>15</v>
      </c>
      <c r="B2352" t="s">
        <v>11</v>
      </c>
      <c r="C2352" s="4">
        <v>35.76</v>
      </c>
      <c r="D2352" t="s">
        <v>21</v>
      </c>
      <c r="E2352" t="s">
        <v>17</v>
      </c>
      <c r="F2352" s="4" t="s">
        <v>23</v>
      </c>
      <c r="G2352" s="4" t="s">
        <v>39</v>
      </c>
      <c r="H2352" s="4">
        <v>7</v>
      </c>
      <c r="I2352" s="4">
        <v>12</v>
      </c>
      <c r="J2352" s="1">
        <v>45627</v>
      </c>
      <c r="K2352" s="2">
        <v>6.9097222222222225E-3</v>
      </c>
      <c r="M2352" s="4" t="str">
        <f t="shared" si="108"/>
        <v>HIGH</v>
      </c>
      <c r="N2352" s="4" t="str" cm="1">
        <f t="array" ref="N2352">_xlfn.IFS(C2352&gt;35,"HIGH",C2352&gt;25,"MIDDLE",TRUE,"LOW")</f>
        <v>HIGH</v>
      </c>
      <c r="O2352" s="4" t="str">
        <f t="shared" si="109"/>
        <v>OTHERS</v>
      </c>
      <c r="P2352" s="4" t="str">
        <f t="shared" si="110"/>
        <v>PREMINUM MORNING</v>
      </c>
    </row>
    <row r="2353" spans="1:16" x14ac:dyDescent="0.3">
      <c r="A2353" s="4">
        <v>15</v>
      </c>
      <c r="B2353" t="s">
        <v>11</v>
      </c>
      <c r="C2353" s="4">
        <v>35.76</v>
      </c>
      <c r="D2353" t="s">
        <v>29</v>
      </c>
      <c r="E2353" t="s">
        <v>17</v>
      </c>
      <c r="F2353" s="4" t="s">
        <v>23</v>
      </c>
      <c r="G2353" s="4" t="s">
        <v>39</v>
      </c>
      <c r="H2353" s="4">
        <v>7</v>
      </c>
      <c r="I2353" s="4">
        <v>12</v>
      </c>
      <c r="J2353" s="1">
        <v>45627</v>
      </c>
      <c r="K2353" s="2">
        <v>2.9887731481481484E-2</v>
      </c>
      <c r="M2353" s="4" t="str">
        <f t="shared" si="108"/>
        <v>HIGH</v>
      </c>
      <c r="N2353" s="4" t="str" cm="1">
        <f t="array" ref="N2353">_xlfn.IFS(C2353&gt;35,"HIGH",C2353&gt;25,"MIDDLE",TRUE,"LOW")</f>
        <v>HIGH</v>
      </c>
      <c r="O2353" s="4" t="str">
        <f t="shared" si="109"/>
        <v>OTHERS</v>
      </c>
      <c r="P2353" s="4" t="str">
        <f t="shared" si="110"/>
        <v>PREMINUM MORNING</v>
      </c>
    </row>
    <row r="2354" spans="1:16" x14ac:dyDescent="0.3">
      <c r="A2354" s="4">
        <v>15</v>
      </c>
      <c r="B2354" t="s">
        <v>11</v>
      </c>
      <c r="C2354" s="4">
        <v>35.76</v>
      </c>
      <c r="D2354" t="s">
        <v>12</v>
      </c>
      <c r="E2354" t="s">
        <v>17</v>
      </c>
      <c r="F2354" s="4" t="s">
        <v>23</v>
      </c>
      <c r="G2354" s="4" t="s">
        <v>39</v>
      </c>
      <c r="H2354" s="4">
        <v>7</v>
      </c>
      <c r="I2354" s="4">
        <v>12</v>
      </c>
      <c r="J2354" s="1">
        <v>45627</v>
      </c>
      <c r="K2354" s="2">
        <v>3.925E-2</v>
      </c>
      <c r="M2354" s="4" t="str">
        <f t="shared" si="108"/>
        <v>HIGH</v>
      </c>
      <c r="N2354" s="4" t="str" cm="1">
        <f t="array" ref="N2354">_xlfn.IFS(C2354&gt;35,"HIGH",C2354&gt;25,"MIDDLE",TRUE,"LOW")</f>
        <v>HIGH</v>
      </c>
      <c r="O2354" s="4" t="str">
        <f t="shared" si="109"/>
        <v>OTHERS</v>
      </c>
      <c r="P2354" s="4" t="str">
        <f t="shared" si="110"/>
        <v>PREMINUM MORNING</v>
      </c>
    </row>
    <row r="2355" spans="1:16" x14ac:dyDescent="0.3">
      <c r="A2355" s="4">
        <v>15</v>
      </c>
      <c r="B2355" t="s">
        <v>11</v>
      </c>
      <c r="C2355" s="4">
        <v>35.76</v>
      </c>
      <c r="D2355" t="s">
        <v>12</v>
      </c>
      <c r="E2355" t="s">
        <v>17</v>
      </c>
      <c r="F2355" s="4" t="s">
        <v>23</v>
      </c>
      <c r="G2355" s="4" t="s">
        <v>39</v>
      </c>
      <c r="H2355" s="4">
        <v>7</v>
      </c>
      <c r="I2355" s="4">
        <v>12</v>
      </c>
      <c r="J2355" s="1">
        <v>45627</v>
      </c>
      <c r="K2355" s="2">
        <v>4.0155092592592596E-2</v>
      </c>
      <c r="M2355" s="4" t="str">
        <f t="shared" si="108"/>
        <v>HIGH</v>
      </c>
      <c r="N2355" s="4" t="str" cm="1">
        <f t="array" ref="N2355">_xlfn.IFS(C2355&gt;35,"HIGH",C2355&gt;25,"MIDDLE",TRUE,"LOW")</f>
        <v>HIGH</v>
      </c>
      <c r="O2355" s="4" t="str">
        <f t="shared" si="109"/>
        <v>OTHERS</v>
      </c>
      <c r="P2355" s="4" t="str">
        <f t="shared" si="110"/>
        <v>PREMINUM MORNING</v>
      </c>
    </row>
    <row r="2356" spans="1:16" x14ac:dyDescent="0.3">
      <c r="A2356" s="4">
        <v>16</v>
      </c>
      <c r="B2356" t="s">
        <v>11</v>
      </c>
      <c r="C2356" s="4">
        <v>35.76</v>
      </c>
      <c r="D2356" t="s">
        <v>12</v>
      </c>
      <c r="E2356" t="s">
        <v>17</v>
      </c>
      <c r="F2356" s="4" t="s">
        <v>23</v>
      </c>
      <c r="G2356" s="4" t="s">
        <v>39</v>
      </c>
      <c r="H2356" s="4">
        <v>7</v>
      </c>
      <c r="I2356" s="4">
        <v>12</v>
      </c>
      <c r="J2356" s="1">
        <v>45627</v>
      </c>
      <c r="K2356" s="2">
        <v>2.2910879629629628E-2</v>
      </c>
      <c r="M2356" s="4" t="str">
        <f t="shared" si="108"/>
        <v>HIGH</v>
      </c>
      <c r="N2356" s="4" t="str" cm="1">
        <f t="array" ref="N2356">_xlfn.IFS(C2356&gt;35,"HIGH",C2356&gt;25,"MIDDLE",TRUE,"LOW")</f>
        <v>HIGH</v>
      </c>
      <c r="O2356" s="4" t="str">
        <f t="shared" si="109"/>
        <v>OTHERS</v>
      </c>
      <c r="P2356" s="4" t="str">
        <f t="shared" si="110"/>
        <v>PREMINUM MORNING</v>
      </c>
    </row>
    <row r="2357" spans="1:16" x14ac:dyDescent="0.3">
      <c r="A2357" s="4">
        <v>16</v>
      </c>
      <c r="B2357" t="s">
        <v>11</v>
      </c>
      <c r="C2357" s="4">
        <v>35.76</v>
      </c>
      <c r="D2357" t="s">
        <v>12</v>
      </c>
      <c r="E2357" t="s">
        <v>17</v>
      </c>
      <c r="F2357" s="4" t="s">
        <v>23</v>
      </c>
      <c r="G2357" s="4" t="s">
        <v>39</v>
      </c>
      <c r="H2357" s="4">
        <v>7</v>
      </c>
      <c r="I2357" s="4">
        <v>12</v>
      </c>
      <c r="J2357" s="1">
        <v>45627</v>
      </c>
      <c r="K2357" s="2">
        <v>2.3958333333333335E-2</v>
      </c>
      <c r="M2357" s="4" t="str">
        <f t="shared" si="108"/>
        <v>HIGH</v>
      </c>
      <c r="N2357" s="4" t="str" cm="1">
        <f t="array" ref="N2357">_xlfn.IFS(C2357&gt;35,"HIGH",C2357&gt;25,"MIDDLE",TRUE,"LOW")</f>
        <v>HIGH</v>
      </c>
      <c r="O2357" s="4" t="str">
        <f t="shared" si="109"/>
        <v>OTHERS</v>
      </c>
      <c r="P2357" s="4" t="str">
        <f t="shared" si="110"/>
        <v>PREMINUM MORNING</v>
      </c>
    </row>
    <row r="2358" spans="1:16" x14ac:dyDescent="0.3">
      <c r="A2358" s="4">
        <v>17</v>
      </c>
      <c r="B2358" t="s">
        <v>11</v>
      </c>
      <c r="C2358" s="4">
        <v>30.86</v>
      </c>
      <c r="D2358" t="s">
        <v>19</v>
      </c>
      <c r="E2358" t="s">
        <v>20</v>
      </c>
      <c r="F2358" s="4" t="s">
        <v>23</v>
      </c>
      <c r="G2358" s="4" t="s">
        <v>39</v>
      </c>
      <c r="H2358" s="4">
        <v>7</v>
      </c>
      <c r="I2358" s="4">
        <v>12</v>
      </c>
      <c r="J2358" s="1">
        <v>45627</v>
      </c>
      <c r="K2358" s="2">
        <v>7.2175925925925932E-3</v>
      </c>
      <c r="M2358" s="4" t="str">
        <f t="shared" si="108"/>
        <v>LOW</v>
      </c>
      <c r="N2358" s="4" t="str" cm="1">
        <f t="array" ref="N2358">_xlfn.IFS(C2358&gt;35,"HIGH",C2358&gt;25,"MIDDLE",TRUE,"LOW")</f>
        <v>MIDDLE</v>
      </c>
      <c r="O2358" s="4" t="str">
        <f t="shared" si="109"/>
        <v>OTHERS</v>
      </c>
      <c r="P2358" s="4" t="str">
        <f t="shared" si="110"/>
        <v>OTHERS</v>
      </c>
    </row>
    <row r="2359" spans="1:16" x14ac:dyDescent="0.3">
      <c r="A2359" s="4">
        <v>17</v>
      </c>
      <c r="B2359" t="s">
        <v>11</v>
      </c>
      <c r="C2359" s="4">
        <v>30.86</v>
      </c>
      <c r="D2359" t="s">
        <v>19</v>
      </c>
      <c r="E2359" t="s">
        <v>20</v>
      </c>
      <c r="F2359" s="4" t="s">
        <v>23</v>
      </c>
      <c r="G2359" s="4" t="s">
        <v>39</v>
      </c>
      <c r="H2359" s="4">
        <v>7</v>
      </c>
      <c r="I2359" s="4">
        <v>12</v>
      </c>
      <c r="J2359" s="1">
        <v>45627</v>
      </c>
      <c r="K2359" s="2">
        <v>8.0092592592592594E-3</v>
      </c>
      <c r="M2359" s="4" t="str">
        <f t="shared" si="108"/>
        <v>LOW</v>
      </c>
      <c r="N2359" s="4" t="str" cm="1">
        <f t="array" ref="N2359">_xlfn.IFS(C2359&gt;35,"HIGH",C2359&gt;25,"MIDDLE",TRUE,"LOW")</f>
        <v>MIDDLE</v>
      </c>
      <c r="O2359" s="4" t="str">
        <f t="shared" si="109"/>
        <v>OTHERS</v>
      </c>
      <c r="P2359" s="4" t="str">
        <f t="shared" si="110"/>
        <v>OTHERS</v>
      </c>
    </row>
    <row r="2360" spans="1:16" x14ac:dyDescent="0.3">
      <c r="A2360" s="4">
        <v>18</v>
      </c>
      <c r="B2360" t="s">
        <v>11</v>
      </c>
      <c r="C2360" s="4">
        <v>30.86</v>
      </c>
      <c r="D2360" t="s">
        <v>19</v>
      </c>
      <c r="E2360" t="s">
        <v>20</v>
      </c>
      <c r="F2360" s="4" t="s">
        <v>23</v>
      </c>
      <c r="G2360" s="4" t="s">
        <v>39</v>
      </c>
      <c r="H2360" s="4">
        <v>7</v>
      </c>
      <c r="I2360" s="4">
        <v>12</v>
      </c>
      <c r="J2360" s="1">
        <v>45627</v>
      </c>
      <c r="K2360" s="2">
        <v>2.6721064814814812E-2</v>
      </c>
      <c r="M2360" s="4" t="str">
        <f t="shared" si="108"/>
        <v>LOW</v>
      </c>
      <c r="N2360" s="4" t="str" cm="1">
        <f t="array" ref="N2360">_xlfn.IFS(C2360&gt;35,"HIGH",C2360&gt;25,"MIDDLE",TRUE,"LOW")</f>
        <v>MIDDLE</v>
      </c>
      <c r="O2360" s="4" t="str">
        <f t="shared" si="109"/>
        <v>OTHERS</v>
      </c>
      <c r="P2360" s="4" t="str">
        <f t="shared" si="110"/>
        <v>OTHERS</v>
      </c>
    </row>
    <row r="2361" spans="1:16" x14ac:dyDescent="0.3">
      <c r="A2361" s="4">
        <v>7</v>
      </c>
      <c r="B2361" t="s">
        <v>11</v>
      </c>
      <c r="C2361" s="4">
        <v>35.76</v>
      </c>
      <c r="D2361" t="s">
        <v>12</v>
      </c>
      <c r="E2361" t="s">
        <v>13</v>
      </c>
      <c r="F2361" s="4" t="s">
        <v>25</v>
      </c>
      <c r="G2361" s="4" t="s">
        <v>39</v>
      </c>
      <c r="H2361" s="4">
        <v>1</v>
      </c>
      <c r="I2361" s="4">
        <v>12</v>
      </c>
      <c r="J2361" s="1">
        <v>45628</v>
      </c>
      <c r="K2361" s="2">
        <v>3.5145833333333334E-2</v>
      </c>
      <c r="M2361" s="4" t="str">
        <f t="shared" si="108"/>
        <v>HIGH</v>
      </c>
      <c r="N2361" s="4" t="str" cm="1">
        <f t="array" ref="N2361">_xlfn.IFS(C2361&gt;35,"HIGH",C2361&gt;25,"MIDDLE",TRUE,"LOW")</f>
        <v>HIGH</v>
      </c>
      <c r="O2361" s="4" t="str">
        <f t="shared" si="109"/>
        <v>PREMINUM MORNING</v>
      </c>
      <c r="P2361" s="4" t="str">
        <f t="shared" si="110"/>
        <v>PREMINUM MORNING</v>
      </c>
    </row>
    <row r="2362" spans="1:16" x14ac:dyDescent="0.3">
      <c r="A2362" s="4">
        <v>7</v>
      </c>
      <c r="B2362" t="s">
        <v>11</v>
      </c>
      <c r="C2362" s="4">
        <v>25.96</v>
      </c>
      <c r="D2362" t="s">
        <v>18</v>
      </c>
      <c r="E2362" t="s">
        <v>13</v>
      </c>
      <c r="F2362" s="4" t="s">
        <v>25</v>
      </c>
      <c r="G2362" s="4" t="s">
        <v>39</v>
      </c>
      <c r="H2362" s="4">
        <v>1</v>
      </c>
      <c r="I2362" s="4">
        <v>12</v>
      </c>
      <c r="J2362" s="1">
        <v>45628</v>
      </c>
      <c r="K2362" s="2">
        <v>3.6104166666666666E-2</v>
      </c>
      <c r="M2362" s="4" t="str">
        <f t="shared" si="108"/>
        <v>LOW</v>
      </c>
      <c r="N2362" s="4" t="str" cm="1">
        <f t="array" ref="N2362">_xlfn.IFS(C2362&gt;35,"HIGH",C2362&gt;25,"MIDDLE",TRUE,"LOW")</f>
        <v>MIDDLE</v>
      </c>
      <c r="O2362" s="4" t="str">
        <f t="shared" si="109"/>
        <v>OTHERS</v>
      </c>
      <c r="P2362" s="4" t="str">
        <f t="shared" si="110"/>
        <v>PREMINUM MORNING</v>
      </c>
    </row>
    <row r="2363" spans="1:16" x14ac:dyDescent="0.3">
      <c r="A2363" s="4">
        <v>8</v>
      </c>
      <c r="B2363" t="s">
        <v>11</v>
      </c>
      <c r="C2363" s="4">
        <v>30.86</v>
      </c>
      <c r="D2363" t="s">
        <v>19</v>
      </c>
      <c r="E2363" t="s">
        <v>13</v>
      </c>
      <c r="F2363" s="4" t="s">
        <v>25</v>
      </c>
      <c r="G2363" s="4" t="s">
        <v>39</v>
      </c>
      <c r="H2363" s="4">
        <v>1</v>
      </c>
      <c r="I2363" s="4">
        <v>12</v>
      </c>
      <c r="J2363" s="1">
        <v>45628</v>
      </c>
      <c r="K2363" s="2">
        <v>1.4925925925925924E-2</v>
      </c>
      <c r="M2363" s="4" t="str">
        <f t="shared" si="108"/>
        <v>LOW</v>
      </c>
      <c r="N2363" s="4" t="str" cm="1">
        <f t="array" ref="N2363">_xlfn.IFS(C2363&gt;35,"HIGH",C2363&gt;25,"MIDDLE",TRUE,"LOW")</f>
        <v>MIDDLE</v>
      </c>
      <c r="O2363" s="4" t="str">
        <f t="shared" si="109"/>
        <v>OTHERS</v>
      </c>
      <c r="P2363" s="4" t="str">
        <f t="shared" si="110"/>
        <v>PREMINUM MORNING</v>
      </c>
    </row>
    <row r="2364" spans="1:16" x14ac:dyDescent="0.3">
      <c r="A2364" s="4">
        <v>8</v>
      </c>
      <c r="B2364" t="s">
        <v>11</v>
      </c>
      <c r="C2364" s="4">
        <v>35.76</v>
      </c>
      <c r="D2364" t="s">
        <v>21</v>
      </c>
      <c r="E2364" t="s">
        <v>13</v>
      </c>
      <c r="F2364" s="4" t="s">
        <v>25</v>
      </c>
      <c r="G2364" s="4" t="s">
        <v>39</v>
      </c>
      <c r="H2364" s="4">
        <v>1</v>
      </c>
      <c r="I2364" s="4">
        <v>12</v>
      </c>
      <c r="J2364" s="1">
        <v>45628</v>
      </c>
      <c r="K2364" s="2">
        <v>3.6973379629629627E-2</v>
      </c>
      <c r="M2364" s="4" t="str">
        <f t="shared" si="108"/>
        <v>HIGH</v>
      </c>
      <c r="N2364" s="4" t="str" cm="1">
        <f t="array" ref="N2364">_xlfn.IFS(C2364&gt;35,"HIGH",C2364&gt;25,"MIDDLE",TRUE,"LOW")</f>
        <v>HIGH</v>
      </c>
      <c r="O2364" s="4" t="str">
        <f t="shared" si="109"/>
        <v>PREMINUM MORNING</v>
      </c>
      <c r="P2364" s="4" t="str">
        <f t="shared" si="110"/>
        <v>PREMINUM MORNING</v>
      </c>
    </row>
    <row r="2365" spans="1:16" x14ac:dyDescent="0.3">
      <c r="A2365" s="4">
        <v>11</v>
      </c>
      <c r="B2365" t="s">
        <v>11</v>
      </c>
      <c r="C2365" s="4">
        <v>25.96</v>
      </c>
      <c r="D2365" t="s">
        <v>24</v>
      </c>
      <c r="E2365" t="s">
        <v>13</v>
      </c>
      <c r="F2365" s="4" t="s">
        <v>25</v>
      </c>
      <c r="G2365" s="4" t="s">
        <v>39</v>
      </c>
      <c r="H2365" s="4">
        <v>1</v>
      </c>
      <c r="I2365" s="4">
        <v>12</v>
      </c>
      <c r="J2365" s="1">
        <v>45628</v>
      </c>
      <c r="K2365" s="2">
        <v>3.0694444444444445E-3</v>
      </c>
      <c r="M2365" s="4" t="str">
        <f t="shared" si="108"/>
        <v>LOW</v>
      </c>
      <c r="N2365" s="4" t="str" cm="1">
        <f t="array" ref="N2365">_xlfn.IFS(C2365&gt;35,"HIGH",C2365&gt;25,"MIDDLE",TRUE,"LOW")</f>
        <v>MIDDLE</v>
      </c>
      <c r="O2365" s="4" t="str">
        <f t="shared" si="109"/>
        <v>OTHERS</v>
      </c>
      <c r="P2365" s="4" t="str">
        <f t="shared" si="110"/>
        <v>PREMINUM MORNING</v>
      </c>
    </row>
    <row r="2366" spans="1:16" x14ac:dyDescent="0.3">
      <c r="A2366" s="4">
        <v>15</v>
      </c>
      <c r="B2366" t="s">
        <v>11</v>
      </c>
      <c r="C2366" s="4">
        <v>21.06</v>
      </c>
      <c r="D2366" t="s">
        <v>26</v>
      </c>
      <c r="E2366" t="s">
        <v>17</v>
      </c>
      <c r="F2366" s="4" t="s">
        <v>25</v>
      </c>
      <c r="G2366" s="4" t="s">
        <v>39</v>
      </c>
      <c r="H2366" s="4">
        <v>1</v>
      </c>
      <c r="I2366" s="4">
        <v>12</v>
      </c>
      <c r="J2366" s="1">
        <v>45628</v>
      </c>
      <c r="K2366" s="2">
        <v>1.9721064814814816E-2</v>
      </c>
      <c r="M2366" s="4" t="str">
        <f t="shared" si="108"/>
        <v>LOW</v>
      </c>
      <c r="N2366" s="4" t="str" cm="1">
        <f t="array" ref="N2366">_xlfn.IFS(C2366&gt;35,"HIGH",C2366&gt;25,"MIDDLE",TRUE,"LOW")</f>
        <v>LOW</v>
      </c>
      <c r="O2366" s="4" t="str">
        <f t="shared" si="109"/>
        <v>OTHERS</v>
      </c>
      <c r="P2366" s="4" t="str">
        <f t="shared" si="110"/>
        <v>OTHERS</v>
      </c>
    </row>
    <row r="2367" spans="1:16" x14ac:dyDescent="0.3">
      <c r="A2367" s="4">
        <v>16</v>
      </c>
      <c r="B2367" t="s">
        <v>11</v>
      </c>
      <c r="C2367" s="4">
        <v>35.76</v>
      </c>
      <c r="D2367" t="s">
        <v>29</v>
      </c>
      <c r="E2367" t="s">
        <v>17</v>
      </c>
      <c r="F2367" s="4" t="s">
        <v>25</v>
      </c>
      <c r="G2367" s="4" t="s">
        <v>39</v>
      </c>
      <c r="H2367" s="4">
        <v>1</v>
      </c>
      <c r="I2367" s="4">
        <v>12</v>
      </c>
      <c r="J2367" s="1">
        <v>45628</v>
      </c>
      <c r="K2367" s="2">
        <v>8.609953703703703E-3</v>
      </c>
      <c r="M2367" s="4" t="str">
        <f t="shared" si="108"/>
        <v>HIGH</v>
      </c>
      <c r="N2367" s="4" t="str" cm="1">
        <f t="array" ref="N2367">_xlfn.IFS(C2367&gt;35,"HIGH",C2367&gt;25,"MIDDLE",TRUE,"LOW")</f>
        <v>HIGH</v>
      </c>
      <c r="O2367" s="4" t="str">
        <f t="shared" si="109"/>
        <v>OTHERS</v>
      </c>
      <c r="P2367" s="4" t="str">
        <f t="shared" si="110"/>
        <v>PREMINUM MORNING</v>
      </c>
    </row>
    <row r="2368" spans="1:16" x14ac:dyDescent="0.3">
      <c r="A2368" s="4">
        <v>17</v>
      </c>
      <c r="B2368" t="s">
        <v>11</v>
      </c>
      <c r="C2368" s="4">
        <v>25.96</v>
      </c>
      <c r="D2368" t="s">
        <v>18</v>
      </c>
      <c r="E2368" t="s">
        <v>20</v>
      </c>
      <c r="F2368" s="4" t="s">
        <v>25</v>
      </c>
      <c r="G2368" s="4" t="s">
        <v>39</v>
      </c>
      <c r="H2368" s="4">
        <v>1</v>
      </c>
      <c r="I2368" s="4">
        <v>12</v>
      </c>
      <c r="J2368" s="1">
        <v>45628</v>
      </c>
      <c r="K2368" s="2">
        <v>2.3862268518518515E-2</v>
      </c>
      <c r="M2368" s="4" t="str">
        <f t="shared" si="108"/>
        <v>LOW</v>
      </c>
      <c r="N2368" s="4" t="str" cm="1">
        <f t="array" ref="N2368">_xlfn.IFS(C2368&gt;35,"HIGH",C2368&gt;25,"MIDDLE",TRUE,"LOW")</f>
        <v>MIDDLE</v>
      </c>
      <c r="O2368" s="4" t="str">
        <f t="shared" si="109"/>
        <v>OTHERS</v>
      </c>
      <c r="P2368" s="4" t="str">
        <f t="shared" si="110"/>
        <v>OTHERS</v>
      </c>
    </row>
    <row r="2369" spans="1:16" x14ac:dyDescent="0.3">
      <c r="A2369" s="4">
        <v>18</v>
      </c>
      <c r="B2369" t="s">
        <v>11</v>
      </c>
      <c r="C2369" s="4">
        <v>35.76</v>
      </c>
      <c r="D2369" t="s">
        <v>29</v>
      </c>
      <c r="E2369" t="s">
        <v>20</v>
      </c>
      <c r="F2369" s="4" t="s">
        <v>25</v>
      </c>
      <c r="G2369" s="4" t="s">
        <v>39</v>
      </c>
      <c r="H2369" s="4">
        <v>1</v>
      </c>
      <c r="I2369" s="4">
        <v>12</v>
      </c>
      <c r="J2369" s="1">
        <v>45628</v>
      </c>
      <c r="K2369" s="2">
        <v>3.7384259259259255E-4</v>
      </c>
      <c r="M2369" s="4" t="str">
        <f t="shared" si="108"/>
        <v>HIGH</v>
      </c>
      <c r="N2369" s="4" t="str" cm="1">
        <f t="array" ref="N2369">_xlfn.IFS(C2369&gt;35,"HIGH",C2369&gt;25,"MIDDLE",TRUE,"LOW")</f>
        <v>HIGH</v>
      </c>
      <c r="O2369" s="4" t="str">
        <f t="shared" si="109"/>
        <v>OTHERS</v>
      </c>
      <c r="P2369" s="4" t="str">
        <f t="shared" si="110"/>
        <v>PREMINUM MORNING</v>
      </c>
    </row>
    <row r="2370" spans="1:16" x14ac:dyDescent="0.3">
      <c r="A2370" s="4">
        <v>8</v>
      </c>
      <c r="B2370" t="s">
        <v>11</v>
      </c>
      <c r="C2370" s="4">
        <v>35.76</v>
      </c>
      <c r="D2370" t="s">
        <v>12</v>
      </c>
      <c r="E2370" t="s">
        <v>13</v>
      </c>
      <c r="F2370" s="4" t="s">
        <v>27</v>
      </c>
      <c r="G2370" s="4" t="s">
        <v>39</v>
      </c>
      <c r="H2370" s="4">
        <v>2</v>
      </c>
      <c r="I2370" s="4">
        <v>12</v>
      </c>
      <c r="J2370" s="1">
        <v>45629</v>
      </c>
      <c r="K2370" s="2">
        <v>7.8599537037037041E-3</v>
      </c>
      <c r="M2370" s="4" t="str">
        <f t="shared" si="108"/>
        <v>HIGH</v>
      </c>
      <c r="N2370" s="4" t="str" cm="1">
        <f t="array" ref="N2370">_xlfn.IFS(C2370&gt;35,"HIGH",C2370&gt;25,"MIDDLE",TRUE,"LOW")</f>
        <v>HIGH</v>
      </c>
      <c r="O2370" s="4" t="str">
        <f t="shared" si="109"/>
        <v>PREMINUM MORNING</v>
      </c>
      <c r="P2370" s="4" t="str">
        <f t="shared" si="110"/>
        <v>PREMINUM MORNING</v>
      </c>
    </row>
    <row r="2371" spans="1:16" x14ac:dyDescent="0.3">
      <c r="A2371" s="4">
        <v>9</v>
      </c>
      <c r="B2371" t="s">
        <v>11</v>
      </c>
      <c r="C2371" s="4">
        <v>30.86</v>
      </c>
      <c r="D2371" t="s">
        <v>19</v>
      </c>
      <c r="E2371" t="s">
        <v>13</v>
      </c>
      <c r="F2371" s="4" t="s">
        <v>27</v>
      </c>
      <c r="G2371" s="4" t="s">
        <v>39</v>
      </c>
      <c r="H2371" s="4">
        <v>2</v>
      </c>
      <c r="I2371" s="4">
        <v>12</v>
      </c>
      <c r="J2371" s="1">
        <v>45629</v>
      </c>
      <c r="K2371" s="2">
        <v>1.6326388888888887E-2</v>
      </c>
      <c r="M2371" s="4" t="str">
        <f t="shared" ref="M2371:M2434" si="111">IF(C2371&gt;35,"HIGH","LOW")</f>
        <v>LOW</v>
      </c>
      <c r="N2371" s="4" t="str" cm="1">
        <f t="array" ref="N2371">_xlfn.IFS(C2371&gt;35,"HIGH",C2371&gt;25,"MIDDLE",TRUE,"LOW")</f>
        <v>MIDDLE</v>
      </c>
      <c r="O2371" s="4" t="str">
        <f t="shared" ref="O2371:O2434" si="112">IF(AND(C2371&gt;35,E2371="MORNING"),"PREMINUM MORNING","OTHERS")</f>
        <v>OTHERS</v>
      </c>
      <c r="P2371" s="4" t="str">
        <f t="shared" ref="P2371:P2434" si="113">IF(OR(C2371&gt;35,E2371="MORNING"),"PREMINUM MORNING","OTHERS")</f>
        <v>PREMINUM MORNING</v>
      </c>
    </row>
    <row r="2372" spans="1:16" x14ac:dyDescent="0.3">
      <c r="A2372" s="4">
        <v>9</v>
      </c>
      <c r="B2372" t="s">
        <v>11</v>
      </c>
      <c r="C2372" s="4">
        <v>30.86</v>
      </c>
      <c r="D2372" t="s">
        <v>19</v>
      </c>
      <c r="E2372" t="s">
        <v>13</v>
      </c>
      <c r="F2372" s="4" t="s">
        <v>27</v>
      </c>
      <c r="G2372" s="4" t="s">
        <v>39</v>
      </c>
      <c r="H2372" s="4">
        <v>2</v>
      </c>
      <c r="I2372" s="4">
        <v>12</v>
      </c>
      <c r="J2372" s="1">
        <v>45629</v>
      </c>
      <c r="K2372" s="2">
        <v>1.6980324074074071E-2</v>
      </c>
      <c r="M2372" s="4" t="str">
        <f t="shared" si="111"/>
        <v>LOW</v>
      </c>
      <c r="N2372" s="4" t="str" cm="1">
        <f t="array" ref="N2372">_xlfn.IFS(C2372&gt;35,"HIGH",C2372&gt;25,"MIDDLE",TRUE,"LOW")</f>
        <v>MIDDLE</v>
      </c>
      <c r="O2372" s="4" t="str">
        <f t="shared" si="112"/>
        <v>OTHERS</v>
      </c>
      <c r="P2372" s="4" t="str">
        <f t="shared" si="113"/>
        <v>PREMINUM MORNING</v>
      </c>
    </row>
    <row r="2373" spans="1:16" x14ac:dyDescent="0.3">
      <c r="A2373" s="4">
        <v>11</v>
      </c>
      <c r="B2373" t="s">
        <v>11</v>
      </c>
      <c r="C2373" s="4">
        <v>25.96</v>
      </c>
      <c r="D2373" t="s">
        <v>18</v>
      </c>
      <c r="E2373" t="s">
        <v>13</v>
      </c>
      <c r="F2373" s="4" t="s">
        <v>27</v>
      </c>
      <c r="G2373" s="4" t="s">
        <v>39</v>
      </c>
      <c r="H2373" s="4">
        <v>2</v>
      </c>
      <c r="I2373" s="4">
        <v>12</v>
      </c>
      <c r="J2373" s="1">
        <v>45629</v>
      </c>
      <c r="K2373" s="2">
        <v>1.2481481481481482E-2</v>
      </c>
      <c r="M2373" s="4" t="str">
        <f t="shared" si="111"/>
        <v>LOW</v>
      </c>
      <c r="N2373" s="4" t="str" cm="1">
        <f t="array" ref="N2373">_xlfn.IFS(C2373&gt;35,"HIGH",C2373&gt;25,"MIDDLE",TRUE,"LOW")</f>
        <v>MIDDLE</v>
      </c>
      <c r="O2373" s="4" t="str">
        <f t="shared" si="112"/>
        <v>OTHERS</v>
      </c>
      <c r="P2373" s="4" t="str">
        <f t="shared" si="113"/>
        <v>PREMINUM MORNING</v>
      </c>
    </row>
    <row r="2374" spans="1:16" x14ac:dyDescent="0.3">
      <c r="A2374" s="4">
        <v>11</v>
      </c>
      <c r="B2374" t="s">
        <v>11</v>
      </c>
      <c r="C2374" s="4">
        <v>30.86</v>
      </c>
      <c r="D2374" t="s">
        <v>19</v>
      </c>
      <c r="E2374" t="s">
        <v>13</v>
      </c>
      <c r="F2374" s="4" t="s">
        <v>27</v>
      </c>
      <c r="G2374" s="4" t="s">
        <v>39</v>
      </c>
      <c r="H2374" s="4">
        <v>2</v>
      </c>
      <c r="I2374" s="4">
        <v>12</v>
      </c>
      <c r="J2374" s="1">
        <v>45629</v>
      </c>
      <c r="K2374" s="2">
        <v>2.9254629629629627E-2</v>
      </c>
      <c r="M2374" s="4" t="str">
        <f t="shared" si="111"/>
        <v>LOW</v>
      </c>
      <c r="N2374" s="4" t="str" cm="1">
        <f t="array" ref="N2374">_xlfn.IFS(C2374&gt;35,"HIGH",C2374&gt;25,"MIDDLE",TRUE,"LOW")</f>
        <v>MIDDLE</v>
      </c>
      <c r="O2374" s="4" t="str">
        <f t="shared" si="112"/>
        <v>OTHERS</v>
      </c>
      <c r="P2374" s="4" t="str">
        <f t="shared" si="113"/>
        <v>PREMINUM MORNING</v>
      </c>
    </row>
    <row r="2375" spans="1:16" x14ac:dyDescent="0.3">
      <c r="A2375" s="4">
        <v>11</v>
      </c>
      <c r="B2375" t="s">
        <v>11</v>
      </c>
      <c r="C2375" s="4">
        <v>30.86</v>
      </c>
      <c r="D2375" t="s">
        <v>19</v>
      </c>
      <c r="E2375" t="s">
        <v>13</v>
      </c>
      <c r="F2375" s="4" t="s">
        <v>27</v>
      </c>
      <c r="G2375" s="4" t="s">
        <v>39</v>
      </c>
      <c r="H2375" s="4">
        <v>2</v>
      </c>
      <c r="I2375" s="4">
        <v>12</v>
      </c>
      <c r="J2375" s="1">
        <v>45629</v>
      </c>
      <c r="K2375" s="2">
        <v>3.0041666666666664E-2</v>
      </c>
      <c r="M2375" s="4" t="str">
        <f t="shared" si="111"/>
        <v>LOW</v>
      </c>
      <c r="N2375" s="4" t="str" cm="1">
        <f t="array" ref="N2375">_xlfn.IFS(C2375&gt;35,"HIGH",C2375&gt;25,"MIDDLE",TRUE,"LOW")</f>
        <v>MIDDLE</v>
      </c>
      <c r="O2375" s="4" t="str">
        <f t="shared" si="112"/>
        <v>OTHERS</v>
      </c>
      <c r="P2375" s="4" t="str">
        <f t="shared" si="113"/>
        <v>PREMINUM MORNING</v>
      </c>
    </row>
    <row r="2376" spans="1:16" x14ac:dyDescent="0.3">
      <c r="A2376" s="4">
        <v>11</v>
      </c>
      <c r="B2376" t="s">
        <v>11</v>
      </c>
      <c r="C2376" s="4">
        <v>30.86</v>
      </c>
      <c r="D2376" t="s">
        <v>19</v>
      </c>
      <c r="E2376" t="s">
        <v>13</v>
      </c>
      <c r="F2376" s="4" t="s">
        <v>27</v>
      </c>
      <c r="G2376" s="4" t="s">
        <v>39</v>
      </c>
      <c r="H2376" s="4">
        <v>2</v>
      </c>
      <c r="I2376" s="4">
        <v>12</v>
      </c>
      <c r="J2376" s="1">
        <v>45629</v>
      </c>
      <c r="K2376" s="2">
        <v>3.1879629629629633E-2</v>
      </c>
      <c r="M2376" s="4" t="str">
        <f t="shared" si="111"/>
        <v>LOW</v>
      </c>
      <c r="N2376" s="4" t="str" cm="1">
        <f t="array" ref="N2376">_xlfn.IFS(C2376&gt;35,"HIGH",C2376&gt;25,"MIDDLE",TRUE,"LOW")</f>
        <v>MIDDLE</v>
      </c>
      <c r="O2376" s="4" t="str">
        <f t="shared" si="112"/>
        <v>OTHERS</v>
      </c>
      <c r="P2376" s="4" t="str">
        <f t="shared" si="113"/>
        <v>PREMINUM MORNING</v>
      </c>
    </row>
    <row r="2377" spans="1:16" x14ac:dyDescent="0.3">
      <c r="A2377" s="4">
        <v>20</v>
      </c>
      <c r="B2377" t="s">
        <v>11</v>
      </c>
      <c r="C2377" s="4">
        <v>35.76</v>
      </c>
      <c r="D2377" t="s">
        <v>21</v>
      </c>
      <c r="E2377" t="s">
        <v>20</v>
      </c>
      <c r="F2377" s="4" t="s">
        <v>27</v>
      </c>
      <c r="G2377" s="4" t="s">
        <v>39</v>
      </c>
      <c r="H2377" s="4">
        <v>2</v>
      </c>
      <c r="I2377" s="4">
        <v>12</v>
      </c>
      <c r="J2377" s="1">
        <v>45629</v>
      </c>
      <c r="K2377" s="2">
        <v>3.5368055555555555E-2</v>
      </c>
      <c r="M2377" s="4" t="str">
        <f t="shared" si="111"/>
        <v>HIGH</v>
      </c>
      <c r="N2377" s="4" t="str" cm="1">
        <f t="array" ref="N2377">_xlfn.IFS(C2377&gt;35,"HIGH",C2377&gt;25,"MIDDLE",TRUE,"LOW")</f>
        <v>HIGH</v>
      </c>
      <c r="O2377" s="4" t="str">
        <f t="shared" si="112"/>
        <v>OTHERS</v>
      </c>
      <c r="P2377" s="4" t="str">
        <f t="shared" si="113"/>
        <v>PREMINUM MORNING</v>
      </c>
    </row>
    <row r="2378" spans="1:16" x14ac:dyDescent="0.3">
      <c r="A2378" s="4">
        <v>21</v>
      </c>
      <c r="B2378" t="s">
        <v>11</v>
      </c>
      <c r="C2378" s="4">
        <v>35.76</v>
      </c>
      <c r="D2378" t="s">
        <v>12</v>
      </c>
      <c r="E2378" t="s">
        <v>20</v>
      </c>
      <c r="F2378" s="4" t="s">
        <v>27</v>
      </c>
      <c r="G2378" s="4" t="s">
        <v>39</v>
      </c>
      <c r="H2378" s="4">
        <v>2</v>
      </c>
      <c r="I2378" s="4">
        <v>12</v>
      </c>
      <c r="J2378" s="1">
        <v>45629</v>
      </c>
      <c r="K2378" s="2">
        <v>2.3112268518518518E-2</v>
      </c>
      <c r="M2378" s="4" t="str">
        <f t="shared" si="111"/>
        <v>HIGH</v>
      </c>
      <c r="N2378" s="4" t="str" cm="1">
        <f t="array" ref="N2378">_xlfn.IFS(C2378&gt;35,"HIGH",C2378&gt;25,"MIDDLE",TRUE,"LOW")</f>
        <v>HIGH</v>
      </c>
      <c r="O2378" s="4" t="str">
        <f t="shared" si="112"/>
        <v>OTHERS</v>
      </c>
      <c r="P2378" s="4" t="str">
        <f t="shared" si="113"/>
        <v>PREMINUM MORNING</v>
      </c>
    </row>
    <row r="2379" spans="1:16" x14ac:dyDescent="0.3">
      <c r="A2379" s="4">
        <v>21</v>
      </c>
      <c r="B2379" t="s">
        <v>11</v>
      </c>
      <c r="C2379" s="4">
        <v>35.76</v>
      </c>
      <c r="D2379" t="s">
        <v>29</v>
      </c>
      <c r="E2379" t="s">
        <v>20</v>
      </c>
      <c r="F2379" s="4" t="s">
        <v>27</v>
      </c>
      <c r="G2379" s="4" t="s">
        <v>39</v>
      </c>
      <c r="H2379" s="4">
        <v>2</v>
      </c>
      <c r="I2379" s="4">
        <v>12</v>
      </c>
      <c r="J2379" s="1">
        <v>45629</v>
      </c>
      <c r="K2379" s="2">
        <v>2.3762731481481482E-2</v>
      </c>
      <c r="M2379" s="4" t="str">
        <f t="shared" si="111"/>
        <v>HIGH</v>
      </c>
      <c r="N2379" s="4" t="str" cm="1">
        <f t="array" ref="N2379">_xlfn.IFS(C2379&gt;35,"HIGH",C2379&gt;25,"MIDDLE",TRUE,"LOW")</f>
        <v>HIGH</v>
      </c>
      <c r="O2379" s="4" t="str">
        <f t="shared" si="112"/>
        <v>OTHERS</v>
      </c>
      <c r="P2379" s="4" t="str">
        <f t="shared" si="113"/>
        <v>PREMINUM MORNING</v>
      </c>
    </row>
    <row r="2380" spans="1:16" x14ac:dyDescent="0.3">
      <c r="A2380" s="4">
        <v>21</v>
      </c>
      <c r="B2380" t="s">
        <v>11</v>
      </c>
      <c r="C2380" s="4">
        <v>35.76</v>
      </c>
      <c r="D2380" t="s">
        <v>16</v>
      </c>
      <c r="E2380" t="s">
        <v>20</v>
      </c>
      <c r="F2380" s="4" t="s">
        <v>27</v>
      </c>
      <c r="G2380" s="4" t="s">
        <v>39</v>
      </c>
      <c r="H2380" s="4">
        <v>2</v>
      </c>
      <c r="I2380" s="4">
        <v>12</v>
      </c>
      <c r="J2380" s="1">
        <v>45629</v>
      </c>
      <c r="K2380" s="2">
        <v>2.4524305555555556E-2</v>
      </c>
      <c r="M2380" s="4" t="str">
        <f t="shared" si="111"/>
        <v>HIGH</v>
      </c>
      <c r="N2380" s="4" t="str" cm="1">
        <f t="array" ref="N2380">_xlfn.IFS(C2380&gt;35,"HIGH",C2380&gt;25,"MIDDLE",TRUE,"LOW")</f>
        <v>HIGH</v>
      </c>
      <c r="O2380" s="4" t="str">
        <f t="shared" si="112"/>
        <v>OTHERS</v>
      </c>
      <c r="P2380" s="4" t="str">
        <f t="shared" si="113"/>
        <v>PREMINUM MORNING</v>
      </c>
    </row>
    <row r="2381" spans="1:16" x14ac:dyDescent="0.3">
      <c r="A2381" s="4">
        <v>22</v>
      </c>
      <c r="B2381" t="s">
        <v>11</v>
      </c>
      <c r="C2381" s="4">
        <v>30.86</v>
      </c>
      <c r="D2381" t="s">
        <v>19</v>
      </c>
      <c r="E2381" t="s">
        <v>20</v>
      </c>
      <c r="F2381" s="4" t="s">
        <v>27</v>
      </c>
      <c r="G2381" s="4" t="s">
        <v>39</v>
      </c>
      <c r="H2381" s="4">
        <v>2</v>
      </c>
      <c r="I2381" s="4">
        <v>12</v>
      </c>
      <c r="J2381" s="1">
        <v>45629</v>
      </c>
      <c r="K2381" s="2">
        <v>1.3354166666666667E-2</v>
      </c>
      <c r="M2381" s="4" t="str">
        <f t="shared" si="111"/>
        <v>LOW</v>
      </c>
      <c r="N2381" s="4" t="str" cm="1">
        <f t="array" ref="N2381">_xlfn.IFS(C2381&gt;35,"HIGH",C2381&gt;25,"MIDDLE",TRUE,"LOW")</f>
        <v>MIDDLE</v>
      </c>
      <c r="O2381" s="4" t="str">
        <f t="shared" si="112"/>
        <v>OTHERS</v>
      </c>
      <c r="P2381" s="4" t="str">
        <f t="shared" si="113"/>
        <v>OTHERS</v>
      </c>
    </row>
    <row r="2382" spans="1:16" x14ac:dyDescent="0.3">
      <c r="A2382" s="4">
        <v>22</v>
      </c>
      <c r="B2382" t="s">
        <v>11</v>
      </c>
      <c r="C2382" s="4">
        <v>35.76</v>
      </c>
      <c r="D2382" t="s">
        <v>29</v>
      </c>
      <c r="E2382" t="s">
        <v>20</v>
      </c>
      <c r="F2382" s="4" t="s">
        <v>27</v>
      </c>
      <c r="G2382" s="4" t="s">
        <v>39</v>
      </c>
      <c r="H2382" s="4">
        <v>2</v>
      </c>
      <c r="I2382" s="4">
        <v>12</v>
      </c>
      <c r="J2382" s="1">
        <v>45629</v>
      </c>
      <c r="K2382" s="2">
        <v>1.5070601851851851E-2</v>
      </c>
      <c r="M2382" s="4" t="str">
        <f t="shared" si="111"/>
        <v>HIGH</v>
      </c>
      <c r="N2382" s="4" t="str" cm="1">
        <f t="array" ref="N2382">_xlfn.IFS(C2382&gt;35,"HIGH",C2382&gt;25,"MIDDLE",TRUE,"LOW")</f>
        <v>HIGH</v>
      </c>
      <c r="O2382" s="4" t="str">
        <f t="shared" si="112"/>
        <v>OTHERS</v>
      </c>
      <c r="P2382" s="4" t="str">
        <f t="shared" si="113"/>
        <v>PREMINUM MORNING</v>
      </c>
    </row>
    <row r="2383" spans="1:16" x14ac:dyDescent="0.3">
      <c r="A2383" s="4">
        <v>8</v>
      </c>
      <c r="B2383" t="s">
        <v>11</v>
      </c>
      <c r="C2383" s="4">
        <v>25.96</v>
      </c>
      <c r="D2383" t="s">
        <v>24</v>
      </c>
      <c r="E2383" t="s">
        <v>13</v>
      </c>
      <c r="F2383" s="4" t="s">
        <v>28</v>
      </c>
      <c r="G2383" s="4" t="s">
        <v>39</v>
      </c>
      <c r="H2383" s="4">
        <v>3</v>
      </c>
      <c r="I2383" s="4">
        <v>12</v>
      </c>
      <c r="J2383" s="1">
        <v>45630</v>
      </c>
      <c r="K2383" s="2">
        <v>2.2776620370370371E-2</v>
      </c>
      <c r="M2383" s="4" t="str">
        <f t="shared" si="111"/>
        <v>LOW</v>
      </c>
      <c r="N2383" s="4" t="str" cm="1">
        <f t="array" ref="N2383">_xlfn.IFS(C2383&gt;35,"HIGH",C2383&gt;25,"MIDDLE",TRUE,"LOW")</f>
        <v>MIDDLE</v>
      </c>
      <c r="O2383" s="4" t="str">
        <f t="shared" si="112"/>
        <v>OTHERS</v>
      </c>
      <c r="P2383" s="4" t="str">
        <f t="shared" si="113"/>
        <v>PREMINUM MORNING</v>
      </c>
    </row>
    <row r="2384" spans="1:16" x14ac:dyDescent="0.3">
      <c r="A2384" s="4">
        <v>8</v>
      </c>
      <c r="B2384" t="s">
        <v>11</v>
      </c>
      <c r="C2384" s="4">
        <v>35.76</v>
      </c>
      <c r="D2384" t="s">
        <v>12</v>
      </c>
      <c r="E2384" t="s">
        <v>13</v>
      </c>
      <c r="F2384" s="4" t="s">
        <v>28</v>
      </c>
      <c r="G2384" s="4" t="s">
        <v>39</v>
      </c>
      <c r="H2384" s="4">
        <v>3</v>
      </c>
      <c r="I2384" s="4">
        <v>12</v>
      </c>
      <c r="J2384" s="1">
        <v>45630</v>
      </c>
      <c r="K2384" s="2">
        <v>3.5072916666666669E-2</v>
      </c>
      <c r="M2384" s="4" t="str">
        <f t="shared" si="111"/>
        <v>HIGH</v>
      </c>
      <c r="N2384" s="4" t="str" cm="1">
        <f t="array" ref="N2384">_xlfn.IFS(C2384&gt;35,"HIGH",C2384&gt;25,"MIDDLE",TRUE,"LOW")</f>
        <v>HIGH</v>
      </c>
      <c r="O2384" s="4" t="str">
        <f t="shared" si="112"/>
        <v>PREMINUM MORNING</v>
      </c>
      <c r="P2384" s="4" t="str">
        <f t="shared" si="113"/>
        <v>PREMINUM MORNING</v>
      </c>
    </row>
    <row r="2385" spans="1:16" x14ac:dyDescent="0.3">
      <c r="A2385" s="4">
        <v>8</v>
      </c>
      <c r="B2385" t="s">
        <v>11</v>
      </c>
      <c r="C2385" s="4">
        <v>35.76</v>
      </c>
      <c r="D2385" t="s">
        <v>12</v>
      </c>
      <c r="E2385" t="s">
        <v>13</v>
      </c>
      <c r="F2385" s="4" t="s">
        <v>28</v>
      </c>
      <c r="G2385" s="4" t="s">
        <v>39</v>
      </c>
      <c r="H2385" s="4">
        <v>3</v>
      </c>
      <c r="I2385" s="4">
        <v>12</v>
      </c>
      <c r="J2385" s="1">
        <v>45630</v>
      </c>
      <c r="K2385" s="2">
        <v>3.6284722222222225E-2</v>
      </c>
      <c r="M2385" s="4" t="str">
        <f t="shared" si="111"/>
        <v>HIGH</v>
      </c>
      <c r="N2385" s="4" t="str" cm="1">
        <f t="array" ref="N2385">_xlfn.IFS(C2385&gt;35,"HIGH",C2385&gt;25,"MIDDLE",TRUE,"LOW")</f>
        <v>HIGH</v>
      </c>
      <c r="O2385" s="4" t="str">
        <f t="shared" si="112"/>
        <v>PREMINUM MORNING</v>
      </c>
      <c r="P2385" s="4" t="str">
        <f t="shared" si="113"/>
        <v>PREMINUM MORNING</v>
      </c>
    </row>
    <row r="2386" spans="1:16" x14ac:dyDescent="0.3">
      <c r="A2386" s="4">
        <v>9</v>
      </c>
      <c r="B2386" t="s">
        <v>11</v>
      </c>
      <c r="C2386" s="4">
        <v>25.96</v>
      </c>
      <c r="D2386" t="s">
        <v>18</v>
      </c>
      <c r="E2386" t="s">
        <v>13</v>
      </c>
      <c r="F2386" s="4" t="s">
        <v>28</v>
      </c>
      <c r="G2386" s="4" t="s">
        <v>39</v>
      </c>
      <c r="H2386" s="4">
        <v>3</v>
      </c>
      <c r="I2386" s="4">
        <v>12</v>
      </c>
      <c r="J2386" s="1">
        <v>45630</v>
      </c>
      <c r="K2386" s="2">
        <v>2.940972222222222E-3</v>
      </c>
      <c r="M2386" s="4" t="str">
        <f t="shared" si="111"/>
        <v>LOW</v>
      </c>
      <c r="N2386" s="4" t="str" cm="1">
        <f t="array" ref="N2386">_xlfn.IFS(C2386&gt;35,"HIGH",C2386&gt;25,"MIDDLE",TRUE,"LOW")</f>
        <v>MIDDLE</v>
      </c>
      <c r="O2386" s="4" t="str">
        <f t="shared" si="112"/>
        <v>OTHERS</v>
      </c>
      <c r="P2386" s="4" t="str">
        <f t="shared" si="113"/>
        <v>PREMINUM MORNING</v>
      </c>
    </row>
    <row r="2387" spans="1:16" x14ac:dyDescent="0.3">
      <c r="A2387" s="4">
        <v>10</v>
      </c>
      <c r="B2387" t="s">
        <v>11</v>
      </c>
      <c r="C2387" s="4">
        <v>30.86</v>
      </c>
      <c r="D2387" t="s">
        <v>19</v>
      </c>
      <c r="E2387" t="s">
        <v>13</v>
      </c>
      <c r="F2387" s="4" t="s">
        <v>28</v>
      </c>
      <c r="G2387" s="4" t="s">
        <v>39</v>
      </c>
      <c r="H2387" s="4">
        <v>3</v>
      </c>
      <c r="I2387" s="4">
        <v>12</v>
      </c>
      <c r="J2387" s="1">
        <v>45630</v>
      </c>
      <c r="K2387" s="2">
        <v>1.5988425925925927E-2</v>
      </c>
      <c r="M2387" s="4" t="str">
        <f t="shared" si="111"/>
        <v>LOW</v>
      </c>
      <c r="N2387" s="4" t="str" cm="1">
        <f t="array" ref="N2387">_xlfn.IFS(C2387&gt;35,"HIGH",C2387&gt;25,"MIDDLE",TRUE,"LOW")</f>
        <v>MIDDLE</v>
      </c>
      <c r="O2387" s="4" t="str">
        <f t="shared" si="112"/>
        <v>OTHERS</v>
      </c>
      <c r="P2387" s="4" t="str">
        <f t="shared" si="113"/>
        <v>PREMINUM MORNING</v>
      </c>
    </row>
    <row r="2388" spans="1:16" x14ac:dyDescent="0.3">
      <c r="A2388" s="4">
        <v>10</v>
      </c>
      <c r="B2388" t="s">
        <v>11</v>
      </c>
      <c r="C2388" s="4">
        <v>30.86</v>
      </c>
      <c r="D2388" t="s">
        <v>19</v>
      </c>
      <c r="E2388" t="s">
        <v>13</v>
      </c>
      <c r="F2388" s="4" t="s">
        <v>28</v>
      </c>
      <c r="G2388" s="4" t="s">
        <v>39</v>
      </c>
      <c r="H2388" s="4">
        <v>3</v>
      </c>
      <c r="I2388" s="4">
        <v>12</v>
      </c>
      <c r="J2388" s="1">
        <v>45630</v>
      </c>
      <c r="K2388" s="2">
        <v>1.6759259259259258E-2</v>
      </c>
      <c r="M2388" s="4" t="str">
        <f t="shared" si="111"/>
        <v>LOW</v>
      </c>
      <c r="N2388" s="4" t="str" cm="1">
        <f t="array" ref="N2388">_xlfn.IFS(C2388&gt;35,"HIGH",C2388&gt;25,"MIDDLE",TRUE,"LOW")</f>
        <v>MIDDLE</v>
      </c>
      <c r="O2388" s="4" t="str">
        <f t="shared" si="112"/>
        <v>OTHERS</v>
      </c>
      <c r="P2388" s="4" t="str">
        <f t="shared" si="113"/>
        <v>PREMINUM MORNING</v>
      </c>
    </row>
    <row r="2389" spans="1:16" x14ac:dyDescent="0.3">
      <c r="A2389" s="4">
        <v>10</v>
      </c>
      <c r="B2389" t="s">
        <v>11</v>
      </c>
      <c r="C2389" s="4">
        <v>30.86</v>
      </c>
      <c r="D2389" t="s">
        <v>19</v>
      </c>
      <c r="E2389" t="s">
        <v>13</v>
      </c>
      <c r="F2389" s="4" t="s">
        <v>28</v>
      </c>
      <c r="G2389" s="4" t="s">
        <v>39</v>
      </c>
      <c r="H2389" s="4">
        <v>3</v>
      </c>
      <c r="I2389" s="4">
        <v>12</v>
      </c>
      <c r="J2389" s="1">
        <v>45630</v>
      </c>
      <c r="K2389" s="2">
        <v>1.8724537037037036E-2</v>
      </c>
      <c r="M2389" s="4" t="str">
        <f t="shared" si="111"/>
        <v>LOW</v>
      </c>
      <c r="N2389" s="4" t="str" cm="1">
        <f t="array" ref="N2389">_xlfn.IFS(C2389&gt;35,"HIGH",C2389&gt;25,"MIDDLE",TRUE,"LOW")</f>
        <v>MIDDLE</v>
      </c>
      <c r="O2389" s="4" t="str">
        <f t="shared" si="112"/>
        <v>OTHERS</v>
      </c>
      <c r="P2389" s="4" t="str">
        <f t="shared" si="113"/>
        <v>PREMINUM MORNING</v>
      </c>
    </row>
    <row r="2390" spans="1:16" x14ac:dyDescent="0.3">
      <c r="A2390" s="4">
        <v>10</v>
      </c>
      <c r="B2390" t="s">
        <v>11</v>
      </c>
      <c r="C2390" s="4">
        <v>35.76</v>
      </c>
      <c r="D2390" t="s">
        <v>16</v>
      </c>
      <c r="E2390" t="s">
        <v>13</v>
      </c>
      <c r="F2390" s="4" t="s">
        <v>28</v>
      </c>
      <c r="G2390" s="4" t="s">
        <v>39</v>
      </c>
      <c r="H2390" s="4">
        <v>3</v>
      </c>
      <c r="I2390" s="4">
        <v>12</v>
      </c>
      <c r="J2390" s="1">
        <v>45630</v>
      </c>
      <c r="K2390" s="2">
        <v>2.0689814814814814E-2</v>
      </c>
      <c r="M2390" s="4" t="str">
        <f t="shared" si="111"/>
        <v>HIGH</v>
      </c>
      <c r="N2390" s="4" t="str" cm="1">
        <f t="array" ref="N2390">_xlfn.IFS(C2390&gt;35,"HIGH",C2390&gt;25,"MIDDLE",TRUE,"LOW")</f>
        <v>HIGH</v>
      </c>
      <c r="O2390" s="4" t="str">
        <f t="shared" si="112"/>
        <v>PREMINUM MORNING</v>
      </c>
      <c r="P2390" s="4" t="str">
        <f t="shared" si="113"/>
        <v>PREMINUM MORNING</v>
      </c>
    </row>
    <row r="2391" spans="1:16" x14ac:dyDescent="0.3">
      <c r="A2391" s="4">
        <v>11</v>
      </c>
      <c r="B2391" t="s">
        <v>11</v>
      </c>
      <c r="C2391" s="4">
        <v>30.86</v>
      </c>
      <c r="D2391" t="s">
        <v>19</v>
      </c>
      <c r="E2391" t="s">
        <v>13</v>
      </c>
      <c r="F2391" s="4" t="s">
        <v>28</v>
      </c>
      <c r="G2391" s="4" t="s">
        <v>39</v>
      </c>
      <c r="H2391" s="4">
        <v>3</v>
      </c>
      <c r="I2391" s="4">
        <v>12</v>
      </c>
      <c r="J2391" s="1">
        <v>45630</v>
      </c>
      <c r="K2391" s="2">
        <v>3.1917824074074071E-2</v>
      </c>
      <c r="M2391" s="4" t="str">
        <f t="shared" si="111"/>
        <v>LOW</v>
      </c>
      <c r="N2391" s="4" t="str" cm="1">
        <f t="array" ref="N2391">_xlfn.IFS(C2391&gt;35,"HIGH",C2391&gt;25,"MIDDLE",TRUE,"LOW")</f>
        <v>MIDDLE</v>
      </c>
      <c r="O2391" s="4" t="str">
        <f t="shared" si="112"/>
        <v>OTHERS</v>
      </c>
      <c r="P2391" s="4" t="str">
        <f t="shared" si="113"/>
        <v>PREMINUM MORNING</v>
      </c>
    </row>
    <row r="2392" spans="1:16" x14ac:dyDescent="0.3">
      <c r="A2392" s="4">
        <v>14</v>
      </c>
      <c r="B2392" t="s">
        <v>11</v>
      </c>
      <c r="C2392" s="4">
        <v>35.76</v>
      </c>
      <c r="D2392" t="s">
        <v>16</v>
      </c>
      <c r="E2392" t="s">
        <v>17</v>
      </c>
      <c r="F2392" s="4" t="s">
        <v>28</v>
      </c>
      <c r="G2392" s="4" t="s">
        <v>39</v>
      </c>
      <c r="H2392" s="4">
        <v>3</v>
      </c>
      <c r="I2392" s="4">
        <v>12</v>
      </c>
      <c r="J2392" s="1">
        <v>45630</v>
      </c>
      <c r="K2392" s="2">
        <v>2.3549768518518518E-2</v>
      </c>
      <c r="M2392" s="4" t="str">
        <f t="shared" si="111"/>
        <v>HIGH</v>
      </c>
      <c r="N2392" s="4" t="str" cm="1">
        <f t="array" ref="N2392">_xlfn.IFS(C2392&gt;35,"HIGH",C2392&gt;25,"MIDDLE",TRUE,"LOW")</f>
        <v>HIGH</v>
      </c>
      <c r="O2392" s="4" t="str">
        <f t="shared" si="112"/>
        <v>OTHERS</v>
      </c>
      <c r="P2392" s="4" t="str">
        <f t="shared" si="113"/>
        <v>PREMINUM MORNING</v>
      </c>
    </row>
    <row r="2393" spans="1:16" x14ac:dyDescent="0.3">
      <c r="A2393" s="4">
        <v>8</v>
      </c>
      <c r="B2393" t="s">
        <v>11</v>
      </c>
      <c r="C2393" s="4">
        <v>25.96</v>
      </c>
      <c r="D2393" t="s">
        <v>18</v>
      </c>
      <c r="E2393" t="s">
        <v>13</v>
      </c>
      <c r="F2393" s="4" t="s">
        <v>30</v>
      </c>
      <c r="G2393" s="4" t="s">
        <v>39</v>
      </c>
      <c r="H2393" s="4">
        <v>4</v>
      </c>
      <c r="I2393" s="4">
        <v>12</v>
      </c>
      <c r="J2393" s="1">
        <v>45631</v>
      </c>
      <c r="K2393" s="2">
        <v>3.7364583333333333E-2</v>
      </c>
      <c r="M2393" s="4" t="str">
        <f t="shared" si="111"/>
        <v>LOW</v>
      </c>
      <c r="N2393" s="4" t="str" cm="1">
        <f t="array" ref="N2393">_xlfn.IFS(C2393&gt;35,"HIGH",C2393&gt;25,"MIDDLE",TRUE,"LOW")</f>
        <v>MIDDLE</v>
      </c>
      <c r="O2393" s="4" t="str">
        <f t="shared" si="112"/>
        <v>OTHERS</v>
      </c>
      <c r="P2393" s="4" t="str">
        <f t="shared" si="113"/>
        <v>PREMINUM MORNING</v>
      </c>
    </row>
    <row r="2394" spans="1:16" x14ac:dyDescent="0.3">
      <c r="A2394" s="4">
        <v>9</v>
      </c>
      <c r="B2394" t="s">
        <v>11</v>
      </c>
      <c r="C2394" s="4">
        <v>25.96</v>
      </c>
      <c r="D2394" t="s">
        <v>24</v>
      </c>
      <c r="E2394" t="s">
        <v>13</v>
      </c>
      <c r="F2394" s="4" t="s">
        <v>30</v>
      </c>
      <c r="G2394" s="4" t="s">
        <v>39</v>
      </c>
      <c r="H2394" s="4">
        <v>4</v>
      </c>
      <c r="I2394" s="4">
        <v>12</v>
      </c>
      <c r="J2394" s="1">
        <v>45631</v>
      </c>
      <c r="K2394" s="2">
        <v>1.4222222222222221E-2</v>
      </c>
      <c r="M2394" s="4" t="str">
        <f t="shared" si="111"/>
        <v>LOW</v>
      </c>
      <c r="N2394" s="4" t="str" cm="1">
        <f t="array" ref="N2394">_xlfn.IFS(C2394&gt;35,"HIGH",C2394&gt;25,"MIDDLE",TRUE,"LOW")</f>
        <v>MIDDLE</v>
      </c>
      <c r="O2394" s="4" t="str">
        <f t="shared" si="112"/>
        <v>OTHERS</v>
      </c>
      <c r="P2394" s="4" t="str">
        <f t="shared" si="113"/>
        <v>PREMINUM MORNING</v>
      </c>
    </row>
    <row r="2395" spans="1:16" x14ac:dyDescent="0.3">
      <c r="A2395" s="4">
        <v>10</v>
      </c>
      <c r="B2395" t="s">
        <v>11</v>
      </c>
      <c r="C2395" s="4">
        <v>30.86</v>
      </c>
      <c r="D2395" t="s">
        <v>19</v>
      </c>
      <c r="E2395" t="s">
        <v>13</v>
      </c>
      <c r="F2395" s="4" t="s">
        <v>30</v>
      </c>
      <c r="G2395" s="4" t="s">
        <v>39</v>
      </c>
      <c r="H2395" s="4">
        <v>4</v>
      </c>
      <c r="I2395" s="4">
        <v>12</v>
      </c>
      <c r="J2395" s="1">
        <v>45631</v>
      </c>
      <c r="K2395" s="2">
        <v>1.9826388888888888E-3</v>
      </c>
      <c r="M2395" s="4" t="str">
        <f t="shared" si="111"/>
        <v>LOW</v>
      </c>
      <c r="N2395" s="4" t="str" cm="1">
        <f t="array" ref="N2395">_xlfn.IFS(C2395&gt;35,"HIGH",C2395&gt;25,"MIDDLE",TRUE,"LOW")</f>
        <v>MIDDLE</v>
      </c>
      <c r="O2395" s="4" t="str">
        <f t="shared" si="112"/>
        <v>OTHERS</v>
      </c>
      <c r="P2395" s="4" t="str">
        <f t="shared" si="113"/>
        <v>PREMINUM MORNING</v>
      </c>
    </row>
    <row r="2396" spans="1:16" x14ac:dyDescent="0.3">
      <c r="A2396" s="4">
        <v>10</v>
      </c>
      <c r="B2396" t="s">
        <v>11</v>
      </c>
      <c r="C2396" s="4">
        <v>30.86</v>
      </c>
      <c r="D2396" t="s">
        <v>19</v>
      </c>
      <c r="E2396" t="s">
        <v>13</v>
      </c>
      <c r="F2396" s="4" t="s">
        <v>30</v>
      </c>
      <c r="G2396" s="4" t="s">
        <v>39</v>
      </c>
      <c r="H2396" s="4">
        <v>4</v>
      </c>
      <c r="I2396" s="4">
        <v>12</v>
      </c>
      <c r="J2396" s="1">
        <v>45631</v>
      </c>
      <c r="K2396" s="2">
        <v>3.5358796296296297E-3</v>
      </c>
      <c r="M2396" s="4" t="str">
        <f t="shared" si="111"/>
        <v>LOW</v>
      </c>
      <c r="N2396" s="4" t="str" cm="1">
        <f t="array" ref="N2396">_xlfn.IFS(C2396&gt;35,"HIGH",C2396&gt;25,"MIDDLE",TRUE,"LOW")</f>
        <v>MIDDLE</v>
      </c>
      <c r="O2396" s="4" t="str">
        <f t="shared" si="112"/>
        <v>OTHERS</v>
      </c>
      <c r="P2396" s="4" t="str">
        <f t="shared" si="113"/>
        <v>PREMINUM MORNING</v>
      </c>
    </row>
    <row r="2397" spans="1:16" x14ac:dyDescent="0.3">
      <c r="A2397" s="4">
        <v>11</v>
      </c>
      <c r="B2397" t="s">
        <v>11</v>
      </c>
      <c r="C2397" s="4">
        <v>35.76</v>
      </c>
      <c r="D2397" t="s">
        <v>12</v>
      </c>
      <c r="E2397" t="s">
        <v>13</v>
      </c>
      <c r="F2397" s="4" t="s">
        <v>30</v>
      </c>
      <c r="G2397" s="4" t="s">
        <v>39</v>
      </c>
      <c r="H2397" s="4">
        <v>4</v>
      </c>
      <c r="I2397" s="4">
        <v>12</v>
      </c>
      <c r="J2397" s="1">
        <v>45631</v>
      </c>
      <c r="K2397" s="2">
        <v>2.2202546296296297E-2</v>
      </c>
      <c r="M2397" s="4" t="str">
        <f t="shared" si="111"/>
        <v>HIGH</v>
      </c>
      <c r="N2397" s="4" t="str" cm="1">
        <f t="array" ref="N2397">_xlfn.IFS(C2397&gt;35,"HIGH",C2397&gt;25,"MIDDLE",TRUE,"LOW")</f>
        <v>HIGH</v>
      </c>
      <c r="O2397" s="4" t="str">
        <f t="shared" si="112"/>
        <v>PREMINUM MORNING</v>
      </c>
      <c r="P2397" s="4" t="str">
        <f t="shared" si="113"/>
        <v>PREMINUM MORNING</v>
      </c>
    </row>
    <row r="2398" spans="1:16" x14ac:dyDescent="0.3">
      <c r="A2398" s="4">
        <v>11</v>
      </c>
      <c r="B2398" t="s">
        <v>11</v>
      </c>
      <c r="C2398" s="4">
        <v>25.96</v>
      </c>
      <c r="D2398" t="s">
        <v>18</v>
      </c>
      <c r="E2398" t="s">
        <v>13</v>
      </c>
      <c r="F2398" s="4" t="s">
        <v>30</v>
      </c>
      <c r="G2398" s="4" t="s">
        <v>39</v>
      </c>
      <c r="H2398" s="4">
        <v>4</v>
      </c>
      <c r="I2398" s="4">
        <v>12</v>
      </c>
      <c r="J2398" s="1">
        <v>45631</v>
      </c>
      <c r="K2398" s="2">
        <v>3.5238425925925923E-2</v>
      </c>
      <c r="M2398" s="4" t="str">
        <f t="shared" si="111"/>
        <v>LOW</v>
      </c>
      <c r="N2398" s="4" t="str" cm="1">
        <f t="array" ref="N2398">_xlfn.IFS(C2398&gt;35,"HIGH",C2398&gt;25,"MIDDLE",TRUE,"LOW")</f>
        <v>MIDDLE</v>
      </c>
      <c r="O2398" s="4" t="str">
        <f t="shared" si="112"/>
        <v>OTHERS</v>
      </c>
      <c r="P2398" s="4" t="str">
        <f t="shared" si="113"/>
        <v>PREMINUM MORNING</v>
      </c>
    </row>
    <row r="2399" spans="1:16" x14ac:dyDescent="0.3">
      <c r="A2399" s="4">
        <v>14</v>
      </c>
      <c r="B2399" t="s">
        <v>11</v>
      </c>
      <c r="C2399" s="4">
        <v>35.76</v>
      </c>
      <c r="D2399" t="s">
        <v>29</v>
      </c>
      <c r="E2399" t="s">
        <v>17</v>
      </c>
      <c r="F2399" s="4" t="s">
        <v>30</v>
      </c>
      <c r="G2399" s="4" t="s">
        <v>39</v>
      </c>
      <c r="H2399" s="4">
        <v>4</v>
      </c>
      <c r="I2399" s="4">
        <v>12</v>
      </c>
      <c r="J2399" s="1">
        <v>45631</v>
      </c>
      <c r="K2399" s="2">
        <v>2.1508101851851851E-2</v>
      </c>
      <c r="M2399" s="4" t="str">
        <f t="shared" si="111"/>
        <v>HIGH</v>
      </c>
      <c r="N2399" s="4" t="str" cm="1">
        <f t="array" ref="N2399">_xlfn.IFS(C2399&gt;35,"HIGH",C2399&gt;25,"MIDDLE",TRUE,"LOW")</f>
        <v>HIGH</v>
      </c>
      <c r="O2399" s="4" t="str">
        <f t="shared" si="112"/>
        <v>OTHERS</v>
      </c>
      <c r="P2399" s="4" t="str">
        <f t="shared" si="113"/>
        <v>PREMINUM MORNING</v>
      </c>
    </row>
    <row r="2400" spans="1:16" x14ac:dyDescent="0.3">
      <c r="A2400" s="4">
        <v>15</v>
      </c>
      <c r="B2400" t="s">
        <v>11</v>
      </c>
      <c r="C2400" s="4">
        <v>35.76</v>
      </c>
      <c r="D2400" t="s">
        <v>12</v>
      </c>
      <c r="E2400" t="s">
        <v>17</v>
      </c>
      <c r="F2400" s="4" t="s">
        <v>30</v>
      </c>
      <c r="G2400" s="4" t="s">
        <v>39</v>
      </c>
      <c r="H2400" s="4">
        <v>4</v>
      </c>
      <c r="I2400" s="4">
        <v>12</v>
      </c>
      <c r="J2400" s="1">
        <v>45631</v>
      </c>
      <c r="K2400" s="2">
        <v>1.4809027777777779E-2</v>
      </c>
      <c r="M2400" s="4" t="str">
        <f t="shared" si="111"/>
        <v>HIGH</v>
      </c>
      <c r="N2400" s="4" t="str" cm="1">
        <f t="array" ref="N2400">_xlfn.IFS(C2400&gt;35,"HIGH",C2400&gt;25,"MIDDLE",TRUE,"LOW")</f>
        <v>HIGH</v>
      </c>
      <c r="O2400" s="4" t="str">
        <f t="shared" si="112"/>
        <v>OTHERS</v>
      </c>
      <c r="P2400" s="4" t="str">
        <f t="shared" si="113"/>
        <v>PREMINUM MORNING</v>
      </c>
    </row>
    <row r="2401" spans="1:16" x14ac:dyDescent="0.3">
      <c r="A2401" s="4">
        <v>16</v>
      </c>
      <c r="B2401" t="s">
        <v>11</v>
      </c>
      <c r="C2401" s="4">
        <v>35.76</v>
      </c>
      <c r="D2401" t="s">
        <v>12</v>
      </c>
      <c r="E2401" t="s">
        <v>17</v>
      </c>
      <c r="F2401" s="4" t="s">
        <v>30</v>
      </c>
      <c r="G2401" s="4" t="s">
        <v>39</v>
      </c>
      <c r="H2401" s="4">
        <v>4</v>
      </c>
      <c r="I2401" s="4">
        <v>12</v>
      </c>
      <c r="J2401" s="1">
        <v>45631</v>
      </c>
      <c r="K2401" s="2">
        <v>1.5046296296296296E-3</v>
      </c>
      <c r="M2401" s="4" t="str">
        <f t="shared" si="111"/>
        <v>HIGH</v>
      </c>
      <c r="N2401" s="4" t="str" cm="1">
        <f t="array" ref="N2401">_xlfn.IFS(C2401&gt;35,"HIGH",C2401&gt;25,"MIDDLE",TRUE,"LOW")</f>
        <v>HIGH</v>
      </c>
      <c r="O2401" s="4" t="str">
        <f t="shared" si="112"/>
        <v>OTHERS</v>
      </c>
      <c r="P2401" s="4" t="str">
        <f t="shared" si="113"/>
        <v>PREMINUM MORNING</v>
      </c>
    </row>
    <row r="2402" spans="1:16" x14ac:dyDescent="0.3">
      <c r="A2402" s="4">
        <v>11</v>
      </c>
      <c r="B2402" t="s">
        <v>11</v>
      </c>
      <c r="C2402" s="4">
        <v>35.76</v>
      </c>
      <c r="D2402" t="s">
        <v>12</v>
      </c>
      <c r="E2402" t="s">
        <v>13</v>
      </c>
      <c r="F2402" s="4" t="s">
        <v>14</v>
      </c>
      <c r="G2402" s="4" t="s">
        <v>39</v>
      </c>
      <c r="H2402" s="4">
        <v>5</v>
      </c>
      <c r="I2402" s="4">
        <v>12</v>
      </c>
      <c r="J2402" s="1">
        <v>45632</v>
      </c>
      <c r="K2402" s="2">
        <v>2.9380787037037039E-2</v>
      </c>
      <c r="M2402" s="4" t="str">
        <f t="shared" si="111"/>
        <v>HIGH</v>
      </c>
      <c r="N2402" s="4" t="str" cm="1">
        <f t="array" ref="N2402">_xlfn.IFS(C2402&gt;35,"HIGH",C2402&gt;25,"MIDDLE",TRUE,"LOW")</f>
        <v>HIGH</v>
      </c>
      <c r="O2402" s="4" t="str">
        <f t="shared" si="112"/>
        <v>PREMINUM MORNING</v>
      </c>
      <c r="P2402" s="4" t="str">
        <f t="shared" si="113"/>
        <v>PREMINUM MORNING</v>
      </c>
    </row>
    <row r="2403" spans="1:16" x14ac:dyDescent="0.3">
      <c r="A2403" s="4">
        <v>16</v>
      </c>
      <c r="B2403" t="s">
        <v>11</v>
      </c>
      <c r="C2403" s="4">
        <v>35.76</v>
      </c>
      <c r="D2403" t="s">
        <v>16</v>
      </c>
      <c r="E2403" t="s">
        <v>17</v>
      </c>
      <c r="F2403" s="4" t="s">
        <v>14</v>
      </c>
      <c r="G2403" s="4" t="s">
        <v>39</v>
      </c>
      <c r="H2403" s="4">
        <v>5</v>
      </c>
      <c r="I2403" s="4">
        <v>12</v>
      </c>
      <c r="J2403" s="1">
        <v>45632</v>
      </c>
      <c r="K2403" s="2">
        <v>2.2199074074074072E-2</v>
      </c>
      <c r="M2403" s="4" t="str">
        <f t="shared" si="111"/>
        <v>HIGH</v>
      </c>
      <c r="N2403" s="4" t="str" cm="1">
        <f t="array" ref="N2403">_xlfn.IFS(C2403&gt;35,"HIGH",C2403&gt;25,"MIDDLE",TRUE,"LOW")</f>
        <v>HIGH</v>
      </c>
      <c r="O2403" s="4" t="str">
        <f t="shared" si="112"/>
        <v>OTHERS</v>
      </c>
      <c r="P2403" s="4" t="str">
        <f t="shared" si="113"/>
        <v>PREMINUM MORNING</v>
      </c>
    </row>
    <row r="2404" spans="1:16" x14ac:dyDescent="0.3">
      <c r="A2404" s="4">
        <v>22</v>
      </c>
      <c r="B2404" t="s">
        <v>11</v>
      </c>
      <c r="C2404" s="4">
        <v>35.76</v>
      </c>
      <c r="D2404" t="s">
        <v>12</v>
      </c>
      <c r="E2404" t="s">
        <v>20</v>
      </c>
      <c r="F2404" s="4" t="s">
        <v>14</v>
      </c>
      <c r="G2404" s="4" t="s">
        <v>39</v>
      </c>
      <c r="H2404" s="4">
        <v>5</v>
      </c>
      <c r="I2404" s="4">
        <v>12</v>
      </c>
      <c r="J2404" s="1">
        <v>45632</v>
      </c>
      <c r="K2404" s="2">
        <v>2.1218749999999998E-2</v>
      </c>
      <c r="M2404" s="4" t="str">
        <f t="shared" si="111"/>
        <v>HIGH</v>
      </c>
      <c r="N2404" s="4" t="str" cm="1">
        <f t="array" ref="N2404">_xlfn.IFS(C2404&gt;35,"HIGH",C2404&gt;25,"MIDDLE",TRUE,"LOW")</f>
        <v>HIGH</v>
      </c>
      <c r="O2404" s="4" t="str">
        <f t="shared" si="112"/>
        <v>OTHERS</v>
      </c>
      <c r="P2404" s="4" t="str">
        <f t="shared" si="113"/>
        <v>PREMINUM MORNING</v>
      </c>
    </row>
    <row r="2405" spans="1:16" x14ac:dyDescent="0.3">
      <c r="A2405" s="4">
        <v>22</v>
      </c>
      <c r="B2405" t="s">
        <v>11</v>
      </c>
      <c r="C2405" s="4">
        <v>35.76</v>
      </c>
      <c r="D2405" t="s">
        <v>16</v>
      </c>
      <c r="E2405" t="s">
        <v>20</v>
      </c>
      <c r="F2405" s="4" t="s">
        <v>14</v>
      </c>
      <c r="G2405" s="4" t="s">
        <v>39</v>
      </c>
      <c r="H2405" s="4">
        <v>5</v>
      </c>
      <c r="I2405" s="4">
        <v>12</v>
      </c>
      <c r="J2405" s="1">
        <v>45632</v>
      </c>
      <c r="K2405" s="2">
        <v>2.1874999999999999E-2</v>
      </c>
      <c r="M2405" s="4" t="str">
        <f t="shared" si="111"/>
        <v>HIGH</v>
      </c>
      <c r="N2405" s="4" t="str" cm="1">
        <f t="array" ref="N2405">_xlfn.IFS(C2405&gt;35,"HIGH",C2405&gt;25,"MIDDLE",TRUE,"LOW")</f>
        <v>HIGH</v>
      </c>
      <c r="O2405" s="4" t="str">
        <f t="shared" si="112"/>
        <v>OTHERS</v>
      </c>
      <c r="P2405" s="4" t="str">
        <f t="shared" si="113"/>
        <v>PREMINUM MORNING</v>
      </c>
    </row>
    <row r="2406" spans="1:16" x14ac:dyDescent="0.3">
      <c r="A2406" s="4">
        <v>11</v>
      </c>
      <c r="B2406" t="s">
        <v>11</v>
      </c>
      <c r="C2406" s="4">
        <v>30.86</v>
      </c>
      <c r="D2406" t="s">
        <v>19</v>
      </c>
      <c r="E2406" t="s">
        <v>13</v>
      </c>
      <c r="F2406" s="4" t="s">
        <v>22</v>
      </c>
      <c r="G2406" s="4" t="s">
        <v>39</v>
      </c>
      <c r="H2406" s="4">
        <v>6</v>
      </c>
      <c r="I2406" s="4">
        <v>12</v>
      </c>
      <c r="J2406" s="1">
        <v>45633</v>
      </c>
      <c r="K2406" s="2">
        <v>1.1922453703703702E-2</v>
      </c>
      <c r="M2406" s="4" t="str">
        <f t="shared" si="111"/>
        <v>LOW</v>
      </c>
      <c r="N2406" s="4" t="str" cm="1">
        <f t="array" ref="N2406">_xlfn.IFS(C2406&gt;35,"HIGH",C2406&gt;25,"MIDDLE",TRUE,"LOW")</f>
        <v>MIDDLE</v>
      </c>
      <c r="O2406" s="4" t="str">
        <f t="shared" si="112"/>
        <v>OTHERS</v>
      </c>
      <c r="P2406" s="4" t="str">
        <f t="shared" si="113"/>
        <v>PREMINUM MORNING</v>
      </c>
    </row>
    <row r="2407" spans="1:16" x14ac:dyDescent="0.3">
      <c r="A2407" s="4">
        <v>14</v>
      </c>
      <c r="B2407" t="s">
        <v>11</v>
      </c>
      <c r="C2407" s="4">
        <v>25.96</v>
      </c>
      <c r="D2407" t="s">
        <v>18</v>
      </c>
      <c r="E2407" t="s">
        <v>17</v>
      </c>
      <c r="F2407" s="4" t="s">
        <v>22</v>
      </c>
      <c r="G2407" s="4" t="s">
        <v>39</v>
      </c>
      <c r="H2407" s="4">
        <v>6</v>
      </c>
      <c r="I2407" s="4">
        <v>12</v>
      </c>
      <c r="J2407" s="1">
        <v>45633</v>
      </c>
      <c r="K2407" s="2">
        <v>1.1607638888888888E-2</v>
      </c>
      <c r="M2407" s="4" t="str">
        <f t="shared" si="111"/>
        <v>LOW</v>
      </c>
      <c r="N2407" s="4" t="str" cm="1">
        <f t="array" ref="N2407">_xlfn.IFS(C2407&gt;35,"HIGH",C2407&gt;25,"MIDDLE",TRUE,"LOW")</f>
        <v>MIDDLE</v>
      </c>
      <c r="O2407" s="4" t="str">
        <f t="shared" si="112"/>
        <v>OTHERS</v>
      </c>
      <c r="P2407" s="4" t="str">
        <f t="shared" si="113"/>
        <v>OTHERS</v>
      </c>
    </row>
    <row r="2408" spans="1:16" x14ac:dyDescent="0.3">
      <c r="A2408" s="4">
        <v>15</v>
      </c>
      <c r="B2408" t="s">
        <v>11</v>
      </c>
      <c r="C2408" s="4">
        <v>35.76</v>
      </c>
      <c r="D2408" t="s">
        <v>12</v>
      </c>
      <c r="E2408" t="s">
        <v>17</v>
      </c>
      <c r="F2408" s="4" t="s">
        <v>22</v>
      </c>
      <c r="G2408" s="4" t="s">
        <v>39</v>
      </c>
      <c r="H2408" s="4">
        <v>6</v>
      </c>
      <c r="I2408" s="4">
        <v>12</v>
      </c>
      <c r="J2408" s="1">
        <v>45633</v>
      </c>
      <c r="K2408" s="2">
        <v>3.0612268518518521E-2</v>
      </c>
      <c r="M2408" s="4" t="str">
        <f t="shared" si="111"/>
        <v>HIGH</v>
      </c>
      <c r="N2408" s="4" t="str" cm="1">
        <f t="array" ref="N2408">_xlfn.IFS(C2408&gt;35,"HIGH",C2408&gt;25,"MIDDLE",TRUE,"LOW")</f>
        <v>HIGH</v>
      </c>
      <c r="O2408" s="4" t="str">
        <f t="shared" si="112"/>
        <v>OTHERS</v>
      </c>
      <c r="P2408" s="4" t="str">
        <f t="shared" si="113"/>
        <v>PREMINUM MORNING</v>
      </c>
    </row>
    <row r="2409" spans="1:16" x14ac:dyDescent="0.3">
      <c r="A2409" s="4">
        <v>19</v>
      </c>
      <c r="B2409" t="s">
        <v>11</v>
      </c>
      <c r="C2409" s="4">
        <v>35.76</v>
      </c>
      <c r="D2409" t="s">
        <v>29</v>
      </c>
      <c r="E2409" t="s">
        <v>20</v>
      </c>
      <c r="F2409" s="4" t="s">
        <v>22</v>
      </c>
      <c r="G2409" s="4" t="s">
        <v>39</v>
      </c>
      <c r="H2409" s="4">
        <v>6</v>
      </c>
      <c r="I2409" s="4">
        <v>12</v>
      </c>
      <c r="J2409" s="1">
        <v>45633</v>
      </c>
      <c r="K2409" s="2">
        <v>7.7951388888888888E-3</v>
      </c>
      <c r="M2409" s="4" t="str">
        <f t="shared" si="111"/>
        <v>HIGH</v>
      </c>
      <c r="N2409" s="4" t="str" cm="1">
        <f t="array" ref="N2409">_xlfn.IFS(C2409&gt;35,"HIGH",C2409&gt;25,"MIDDLE",TRUE,"LOW")</f>
        <v>HIGH</v>
      </c>
      <c r="O2409" s="4" t="str">
        <f t="shared" si="112"/>
        <v>OTHERS</v>
      </c>
      <c r="P2409" s="4" t="str">
        <f t="shared" si="113"/>
        <v>PREMINUM MORNING</v>
      </c>
    </row>
    <row r="2410" spans="1:16" x14ac:dyDescent="0.3">
      <c r="A2410" s="4">
        <v>22</v>
      </c>
      <c r="B2410" t="s">
        <v>11</v>
      </c>
      <c r="C2410" s="4">
        <v>30.86</v>
      </c>
      <c r="D2410" t="s">
        <v>19</v>
      </c>
      <c r="E2410" t="s">
        <v>20</v>
      </c>
      <c r="F2410" s="4" t="s">
        <v>22</v>
      </c>
      <c r="G2410" s="4" t="s">
        <v>39</v>
      </c>
      <c r="H2410" s="4">
        <v>6</v>
      </c>
      <c r="I2410" s="4">
        <v>12</v>
      </c>
      <c r="J2410" s="1">
        <v>45633</v>
      </c>
      <c r="K2410" s="2">
        <v>1.1574074074074075E-4</v>
      </c>
      <c r="M2410" s="4" t="str">
        <f t="shared" si="111"/>
        <v>LOW</v>
      </c>
      <c r="N2410" s="4" t="str" cm="1">
        <f t="array" ref="N2410">_xlfn.IFS(C2410&gt;35,"HIGH",C2410&gt;25,"MIDDLE",TRUE,"LOW")</f>
        <v>MIDDLE</v>
      </c>
      <c r="O2410" s="4" t="str">
        <f t="shared" si="112"/>
        <v>OTHERS</v>
      </c>
      <c r="P2410" s="4" t="str">
        <f t="shared" si="113"/>
        <v>OTHERS</v>
      </c>
    </row>
    <row r="2411" spans="1:16" x14ac:dyDescent="0.3">
      <c r="A2411" s="4">
        <v>22</v>
      </c>
      <c r="B2411" t="s">
        <v>11</v>
      </c>
      <c r="C2411" s="4">
        <v>25.96</v>
      </c>
      <c r="D2411" t="s">
        <v>18</v>
      </c>
      <c r="E2411" t="s">
        <v>20</v>
      </c>
      <c r="F2411" s="4" t="s">
        <v>22</v>
      </c>
      <c r="G2411" s="4" t="s">
        <v>39</v>
      </c>
      <c r="H2411" s="4">
        <v>6</v>
      </c>
      <c r="I2411" s="4">
        <v>12</v>
      </c>
      <c r="J2411" s="1">
        <v>45633</v>
      </c>
      <c r="K2411" s="2">
        <v>1.964236111111111E-2</v>
      </c>
      <c r="M2411" s="4" t="str">
        <f t="shared" si="111"/>
        <v>LOW</v>
      </c>
      <c r="N2411" s="4" t="str" cm="1">
        <f t="array" ref="N2411">_xlfn.IFS(C2411&gt;35,"HIGH",C2411&gt;25,"MIDDLE",TRUE,"LOW")</f>
        <v>MIDDLE</v>
      </c>
      <c r="O2411" s="4" t="str">
        <f t="shared" si="112"/>
        <v>OTHERS</v>
      </c>
      <c r="P2411" s="4" t="str">
        <f t="shared" si="113"/>
        <v>OTHERS</v>
      </c>
    </row>
    <row r="2412" spans="1:16" x14ac:dyDescent="0.3">
      <c r="A2412" s="4">
        <v>8</v>
      </c>
      <c r="B2412" t="s">
        <v>11</v>
      </c>
      <c r="C2412" s="4">
        <v>25.96</v>
      </c>
      <c r="D2412" t="s">
        <v>24</v>
      </c>
      <c r="E2412" t="s">
        <v>13</v>
      </c>
      <c r="F2412" s="4" t="s">
        <v>23</v>
      </c>
      <c r="G2412" s="4" t="s">
        <v>39</v>
      </c>
      <c r="H2412" s="4">
        <v>7</v>
      </c>
      <c r="I2412" s="4">
        <v>12</v>
      </c>
      <c r="J2412" s="1">
        <v>45634</v>
      </c>
      <c r="K2412" s="2">
        <v>2.0431712962962964E-2</v>
      </c>
      <c r="M2412" s="4" t="str">
        <f t="shared" si="111"/>
        <v>LOW</v>
      </c>
      <c r="N2412" s="4" t="str" cm="1">
        <f t="array" ref="N2412">_xlfn.IFS(C2412&gt;35,"HIGH",C2412&gt;25,"MIDDLE",TRUE,"LOW")</f>
        <v>MIDDLE</v>
      </c>
      <c r="O2412" s="4" t="str">
        <f t="shared" si="112"/>
        <v>OTHERS</v>
      </c>
      <c r="P2412" s="4" t="str">
        <f t="shared" si="113"/>
        <v>PREMINUM MORNING</v>
      </c>
    </row>
    <row r="2413" spans="1:16" x14ac:dyDescent="0.3">
      <c r="A2413" s="4">
        <v>10</v>
      </c>
      <c r="B2413" t="s">
        <v>11</v>
      </c>
      <c r="C2413" s="4">
        <v>35.76</v>
      </c>
      <c r="D2413" t="s">
        <v>12</v>
      </c>
      <c r="E2413" t="s">
        <v>13</v>
      </c>
      <c r="F2413" s="4" t="s">
        <v>23</v>
      </c>
      <c r="G2413" s="4" t="s">
        <v>39</v>
      </c>
      <c r="H2413" s="4">
        <v>7</v>
      </c>
      <c r="I2413" s="4">
        <v>12</v>
      </c>
      <c r="J2413" s="1">
        <v>45634</v>
      </c>
      <c r="K2413" s="2">
        <v>2.9608796296296293E-2</v>
      </c>
      <c r="M2413" s="4" t="str">
        <f t="shared" si="111"/>
        <v>HIGH</v>
      </c>
      <c r="N2413" s="4" t="str" cm="1">
        <f t="array" ref="N2413">_xlfn.IFS(C2413&gt;35,"HIGH",C2413&gt;25,"MIDDLE",TRUE,"LOW")</f>
        <v>HIGH</v>
      </c>
      <c r="O2413" s="4" t="str">
        <f t="shared" si="112"/>
        <v>PREMINUM MORNING</v>
      </c>
      <c r="P2413" s="4" t="str">
        <f t="shared" si="113"/>
        <v>PREMINUM MORNING</v>
      </c>
    </row>
    <row r="2414" spans="1:16" x14ac:dyDescent="0.3">
      <c r="A2414" s="4">
        <v>10</v>
      </c>
      <c r="B2414" t="s">
        <v>11</v>
      </c>
      <c r="C2414" s="4">
        <v>35.76</v>
      </c>
      <c r="D2414" t="s">
        <v>29</v>
      </c>
      <c r="E2414" t="s">
        <v>13</v>
      </c>
      <c r="F2414" s="4" t="s">
        <v>23</v>
      </c>
      <c r="G2414" s="4" t="s">
        <v>39</v>
      </c>
      <c r="H2414" s="4">
        <v>7</v>
      </c>
      <c r="I2414" s="4">
        <v>12</v>
      </c>
      <c r="J2414" s="1">
        <v>45634</v>
      </c>
      <c r="K2414" s="2">
        <v>3.0355324074074073E-2</v>
      </c>
      <c r="M2414" s="4" t="str">
        <f t="shared" si="111"/>
        <v>HIGH</v>
      </c>
      <c r="N2414" s="4" t="str" cm="1">
        <f t="array" ref="N2414">_xlfn.IFS(C2414&gt;35,"HIGH",C2414&gt;25,"MIDDLE",TRUE,"LOW")</f>
        <v>HIGH</v>
      </c>
      <c r="O2414" s="4" t="str">
        <f t="shared" si="112"/>
        <v>PREMINUM MORNING</v>
      </c>
      <c r="P2414" s="4" t="str">
        <f t="shared" si="113"/>
        <v>PREMINUM MORNING</v>
      </c>
    </row>
    <row r="2415" spans="1:16" x14ac:dyDescent="0.3">
      <c r="A2415" s="4">
        <v>12</v>
      </c>
      <c r="B2415" t="s">
        <v>11</v>
      </c>
      <c r="C2415" s="4">
        <v>25.96</v>
      </c>
      <c r="D2415" t="s">
        <v>24</v>
      </c>
      <c r="E2415" t="s">
        <v>17</v>
      </c>
      <c r="F2415" s="4" t="s">
        <v>23</v>
      </c>
      <c r="G2415" s="4" t="s">
        <v>39</v>
      </c>
      <c r="H2415" s="4">
        <v>7</v>
      </c>
      <c r="I2415" s="4">
        <v>12</v>
      </c>
      <c r="J2415" s="1">
        <v>45634</v>
      </c>
      <c r="K2415" s="2">
        <v>3.5890046296296295E-2</v>
      </c>
      <c r="M2415" s="4" t="str">
        <f t="shared" si="111"/>
        <v>LOW</v>
      </c>
      <c r="N2415" s="4" t="str" cm="1">
        <f t="array" ref="N2415">_xlfn.IFS(C2415&gt;35,"HIGH",C2415&gt;25,"MIDDLE",TRUE,"LOW")</f>
        <v>MIDDLE</v>
      </c>
      <c r="O2415" s="4" t="str">
        <f t="shared" si="112"/>
        <v>OTHERS</v>
      </c>
      <c r="P2415" s="4" t="str">
        <f t="shared" si="113"/>
        <v>OTHERS</v>
      </c>
    </row>
    <row r="2416" spans="1:16" x14ac:dyDescent="0.3">
      <c r="A2416" s="4">
        <v>13</v>
      </c>
      <c r="B2416" t="s">
        <v>11</v>
      </c>
      <c r="C2416" s="4">
        <v>30.86</v>
      </c>
      <c r="D2416" t="s">
        <v>19</v>
      </c>
      <c r="E2416" t="s">
        <v>17</v>
      </c>
      <c r="F2416" s="4" t="s">
        <v>23</v>
      </c>
      <c r="G2416" s="4" t="s">
        <v>39</v>
      </c>
      <c r="H2416" s="4">
        <v>7</v>
      </c>
      <c r="I2416" s="4">
        <v>12</v>
      </c>
      <c r="J2416" s="1">
        <v>45634</v>
      </c>
      <c r="K2416" s="2">
        <v>1.8078703703703703E-3</v>
      </c>
      <c r="M2416" s="4" t="str">
        <f t="shared" si="111"/>
        <v>LOW</v>
      </c>
      <c r="N2416" s="4" t="str" cm="1">
        <f t="array" ref="N2416">_xlfn.IFS(C2416&gt;35,"HIGH",C2416&gt;25,"MIDDLE",TRUE,"LOW")</f>
        <v>MIDDLE</v>
      </c>
      <c r="O2416" s="4" t="str">
        <f t="shared" si="112"/>
        <v>OTHERS</v>
      </c>
      <c r="P2416" s="4" t="str">
        <f t="shared" si="113"/>
        <v>OTHERS</v>
      </c>
    </row>
    <row r="2417" spans="1:16" x14ac:dyDescent="0.3">
      <c r="A2417" s="4">
        <v>13</v>
      </c>
      <c r="B2417" t="s">
        <v>11</v>
      </c>
      <c r="C2417" s="4">
        <v>30.86</v>
      </c>
      <c r="D2417" t="s">
        <v>19</v>
      </c>
      <c r="E2417" t="s">
        <v>17</v>
      </c>
      <c r="F2417" s="4" t="s">
        <v>23</v>
      </c>
      <c r="G2417" s="4" t="s">
        <v>39</v>
      </c>
      <c r="H2417" s="4">
        <v>7</v>
      </c>
      <c r="I2417" s="4">
        <v>12</v>
      </c>
      <c r="J2417" s="1">
        <v>45634</v>
      </c>
      <c r="K2417" s="2">
        <v>2.5312500000000001E-3</v>
      </c>
      <c r="M2417" s="4" t="str">
        <f t="shared" si="111"/>
        <v>LOW</v>
      </c>
      <c r="N2417" s="4" t="str" cm="1">
        <f t="array" ref="N2417">_xlfn.IFS(C2417&gt;35,"HIGH",C2417&gt;25,"MIDDLE",TRUE,"LOW")</f>
        <v>MIDDLE</v>
      </c>
      <c r="O2417" s="4" t="str">
        <f t="shared" si="112"/>
        <v>OTHERS</v>
      </c>
      <c r="P2417" s="4" t="str">
        <f t="shared" si="113"/>
        <v>OTHERS</v>
      </c>
    </row>
    <row r="2418" spans="1:16" x14ac:dyDescent="0.3">
      <c r="A2418" s="4">
        <v>17</v>
      </c>
      <c r="B2418" t="s">
        <v>11</v>
      </c>
      <c r="C2418" s="4">
        <v>35.76</v>
      </c>
      <c r="D2418" t="s">
        <v>29</v>
      </c>
      <c r="E2418" t="s">
        <v>20</v>
      </c>
      <c r="F2418" s="4" t="s">
        <v>23</v>
      </c>
      <c r="G2418" s="4" t="s">
        <v>39</v>
      </c>
      <c r="H2418" s="4">
        <v>7</v>
      </c>
      <c r="I2418" s="4">
        <v>12</v>
      </c>
      <c r="J2418" s="1">
        <v>45634</v>
      </c>
      <c r="K2418" s="2">
        <v>1.8394675925925925E-2</v>
      </c>
      <c r="M2418" s="4" t="str">
        <f t="shared" si="111"/>
        <v>HIGH</v>
      </c>
      <c r="N2418" s="4" t="str" cm="1">
        <f t="array" ref="N2418">_xlfn.IFS(C2418&gt;35,"HIGH",C2418&gt;25,"MIDDLE",TRUE,"LOW")</f>
        <v>HIGH</v>
      </c>
      <c r="O2418" s="4" t="str">
        <f t="shared" si="112"/>
        <v>OTHERS</v>
      </c>
      <c r="P2418" s="4" t="str">
        <f t="shared" si="113"/>
        <v>PREMINUM MORNING</v>
      </c>
    </row>
    <row r="2419" spans="1:16" x14ac:dyDescent="0.3">
      <c r="A2419" s="4">
        <v>18</v>
      </c>
      <c r="B2419" t="s">
        <v>11</v>
      </c>
      <c r="C2419" s="4">
        <v>21.06</v>
      </c>
      <c r="D2419" t="s">
        <v>26</v>
      </c>
      <c r="E2419" t="s">
        <v>20</v>
      </c>
      <c r="F2419" s="4" t="s">
        <v>23</v>
      </c>
      <c r="G2419" s="4" t="s">
        <v>39</v>
      </c>
      <c r="H2419" s="4">
        <v>7</v>
      </c>
      <c r="I2419" s="4">
        <v>12</v>
      </c>
      <c r="J2419" s="1">
        <v>45634</v>
      </c>
      <c r="K2419" s="2">
        <v>2.9037037037037038E-2</v>
      </c>
      <c r="M2419" s="4" t="str">
        <f t="shared" si="111"/>
        <v>LOW</v>
      </c>
      <c r="N2419" s="4" t="str" cm="1">
        <f t="array" ref="N2419">_xlfn.IFS(C2419&gt;35,"HIGH",C2419&gt;25,"MIDDLE",TRUE,"LOW")</f>
        <v>LOW</v>
      </c>
      <c r="O2419" s="4" t="str">
        <f t="shared" si="112"/>
        <v>OTHERS</v>
      </c>
      <c r="P2419" s="4" t="str">
        <f t="shared" si="113"/>
        <v>OTHERS</v>
      </c>
    </row>
    <row r="2420" spans="1:16" x14ac:dyDescent="0.3">
      <c r="A2420" s="4">
        <v>20</v>
      </c>
      <c r="B2420" t="s">
        <v>11</v>
      </c>
      <c r="C2420" s="4">
        <v>35.76</v>
      </c>
      <c r="D2420" t="s">
        <v>29</v>
      </c>
      <c r="E2420" t="s">
        <v>20</v>
      </c>
      <c r="F2420" s="4" t="s">
        <v>23</v>
      </c>
      <c r="G2420" s="4" t="s">
        <v>39</v>
      </c>
      <c r="H2420" s="4">
        <v>7</v>
      </c>
      <c r="I2420" s="4">
        <v>12</v>
      </c>
      <c r="J2420" s="1">
        <v>45634</v>
      </c>
      <c r="K2420" s="2">
        <v>3.2857638888888888E-2</v>
      </c>
      <c r="M2420" s="4" t="str">
        <f t="shared" si="111"/>
        <v>HIGH</v>
      </c>
      <c r="N2420" s="4" t="str" cm="1">
        <f t="array" ref="N2420">_xlfn.IFS(C2420&gt;35,"HIGH",C2420&gt;25,"MIDDLE",TRUE,"LOW")</f>
        <v>HIGH</v>
      </c>
      <c r="O2420" s="4" t="str">
        <f t="shared" si="112"/>
        <v>OTHERS</v>
      </c>
      <c r="P2420" s="4" t="str">
        <f t="shared" si="113"/>
        <v>PREMINUM MORNING</v>
      </c>
    </row>
    <row r="2421" spans="1:16" x14ac:dyDescent="0.3">
      <c r="A2421" s="4">
        <v>21</v>
      </c>
      <c r="B2421" t="s">
        <v>11</v>
      </c>
      <c r="C2421" s="4">
        <v>30.86</v>
      </c>
      <c r="D2421" t="s">
        <v>19</v>
      </c>
      <c r="E2421" t="s">
        <v>20</v>
      </c>
      <c r="F2421" s="4" t="s">
        <v>23</v>
      </c>
      <c r="G2421" s="4" t="s">
        <v>39</v>
      </c>
      <c r="H2421" s="4">
        <v>7</v>
      </c>
      <c r="I2421" s="4">
        <v>12</v>
      </c>
      <c r="J2421" s="1">
        <v>45634</v>
      </c>
      <c r="K2421" s="2">
        <v>1.9792824074074074E-2</v>
      </c>
      <c r="M2421" s="4" t="str">
        <f t="shared" si="111"/>
        <v>LOW</v>
      </c>
      <c r="N2421" s="4" t="str" cm="1">
        <f t="array" ref="N2421">_xlfn.IFS(C2421&gt;35,"HIGH",C2421&gt;25,"MIDDLE",TRUE,"LOW")</f>
        <v>MIDDLE</v>
      </c>
      <c r="O2421" s="4" t="str">
        <f t="shared" si="112"/>
        <v>OTHERS</v>
      </c>
      <c r="P2421" s="4" t="str">
        <f t="shared" si="113"/>
        <v>OTHERS</v>
      </c>
    </row>
    <row r="2422" spans="1:16" x14ac:dyDescent="0.3">
      <c r="A2422" s="4">
        <v>21</v>
      </c>
      <c r="B2422" t="s">
        <v>11</v>
      </c>
      <c r="C2422" s="4">
        <v>30.86</v>
      </c>
      <c r="D2422" t="s">
        <v>19</v>
      </c>
      <c r="E2422" t="s">
        <v>20</v>
      </c>
      <c r="F2422" s="4" t="s">
        <v>23</v>
      </c>
      <c r="G2422" s="4" t="s">
        <v>39</v>
      </c>
      <c r="H2422" s="4">
        <v>7</v>
      </c>
      <c r="I2422" s="4">
        <v>12</v>
      </c>
      <c r="J2422" s="1">
        <v>45634</v>
      </c>
      <c r="K2422" s="2">
        <v>2.8744212962962964E-2</v>
      </c>
      <c r="M2422" s="4" t="str">
        <f t="shared" si="111"/>
        <v>LOW</v>
      </c>
      <c r="N2422" s="4" t="str" cm="1">
        <f t="array" ref="N2422">_xlfn.IFS(C2422&gt;35,"HIGH",C2422&gt;25,"MIDDLE",TRUE,"LOW")</f>
        <v>MIDDLE</v>
      </c>
      <c r="O2422" s="4" t="str">
        <f t="shared" si="112"/>
        <v>OTHERS</v>
      </c>
      <c r="P2422" s="4" t="str">
        <f t="shared" si="113"/>
        <v>OTHERS</v>
      </c>
    </row>
    <row r="2423" spans="1:16" x14ac:dyDescent="0.3">
      <c r="A2423" s="4">
        <v>8</v>
      </c>
      <c r="B2423" t="s">
        <v>11</v>
      </c>
      <c r="C2423" s="4">
        <v>35.76</v>
      </c>
      <c r="D2423" t="s">
        <v>29</v>
      </c>
      <c r="E2423" t="s">
        <v>13</v>
      </c>
      <c r="F2423" s="4" t="s">
        <v>25</v>
      </c>
      <c r="G2423" s="4" t="s">
        <v>39</v>
      </c>
      <c r="H2423" s="4">
        <v>1</v>
      </c>
      <c r="I2423" s="4">
        <v>12</v>
      </c>
      <c r="J2423" s="1">
        <v>45635</v>
      </c>
      <c r="K2423" s="2">
        <v>2.2694444444444444E-2</v>
      </c>
      <c r="M2423" s="4" t="str">
        <f t="shared" si="111"/>
        <v>HIGH</v>
      </c>
      <c r="N2423" s="4" t="str" cm="1">
        <f t="array" ref="N2423">_xlfn.IFS(C2423&gt;35,"HIGH",C2423&gt;25,"MIDDLE",TRUE,"LOW")</f>
        <v>HIGH</v>
      </c>
      <c r="O2423" s="4" t="str">
        <f t="shared" si="112"/>
        <v>PREMINUM MORNING</v>
      </c>
      <c r="P2423" s="4" t="str">
        <f t="shared" si="113"/>
        <v>PREMINUM MORNING</v>
      </c>
    </row>
    <row r="2424" spans="1:16" x14ac:dyDescent="0.3">
      <c r="A2424" s="4">
        <v>9</v>
      </c>
      <c r="B2424" t="s">
        <v>11</v>
      </c>
      <c r="C2424" s="4">
        <v>25.96</v>
      </c>
      <c r="D2424" t="s">
        <v>18</v>
      </c>
      <c r="E2424" t="s">
        <v>13</v>
      </c>
      <c r="F2424" s="4" t="s">
        <v>25</v>
      </c>
      <c r="G2424" s="4" t="s">
        <v>39</v>
      </c>
      <c r="H2424" s="4">
        <v>1</v>
      </c>
      <c r="I2424" s="4">
        <v>12</v>
      </c>
      <c r="J2424" s="1">
        <v>45635</v>
      </c>
      <c r="K2424" s="2">
        <v>8.6250000000000007E-3</v>
      </c>
      <c r="M2424" s="4" t="str">
        <f t="shared" si="111"/>
        <v>LOW</v>
      </c>
      <c r="N2424" s="4" t="str" cm="1">
        <f t="array" ref="N2424">_xlfn.IFS(C2424&gt;35,"HIGH",C2424&gt;25,"MIDDLE",TRUE,"LOW")</f>
        <v>MIDDLE</v>
      </c>
      <c r="O2424" s="4" t="str">
        <f t="shared" si="112"/>
        <v>OTHERS</v>
      </c>
      <c r="P2424" s="4" t="str">
        <f t="shared" si="113"/>
        <v>PREMINUM MORNING</v>
      </c>
    </row>
    <row r="2425" spans="1:16" x14ac:dyDescent="0.3">
      <c r="A2425" s="4">
        <v>9</v>
      </c>
      <c r="B2425" t="s">
        <v>11</v>
      </c>
      <c r="C2425" s="4">
        <v>30.86</v>
      </c>
      <c r="D2425" t="s">
        <v>19</v>
      </c>
      <c r="E2425" t="s">
        <v>13</v>
      </c>
      <c r="F2425" s="4" t="s">
        <v>25</v>
      </c>
      <c r="G2425" s="4" t="s">
        <v>39</v>
      </c>
      <c r="H2425" s="4">
        <v>1</v>
      </c>
      <c r="I2425" s="4">
        <v>12</v>
      </c>
      <c r="J2425" s="1">
        <v>45635</v>
      </c>
      <c r="K2425" s="2">
        <v>2.3581018518518519E-2</v>
      </c>
      <c r="M2425" s="4" t="str">
        <f t="shared" si="111"/>
        <v>LOW</v>
      </c>
      <c r="N2425" s="4" t="str" cm="1">
        <f t="array" ref="N2425">_xlfn.IFS(C2425&gt;35,"HIGH",C2425&gt;25,"MIDDLE",TRUE,"LOW")</f>
        <v>MIDDLE</v>
      </c>
      <c r="O2425" s="4" t="str">
        <f t="shared" si="112"/>
        <v>OTHERS</v>
      </c>
      <c r="P2425" s="4" t="str">
        <f t="shared" si="113"/>
        <v>PREMINUM MORNING</v>
      </c>
    </row>
    <row r="2426" spans="1:16" x14ac:dyDescent="0.3">
      <c r="A2426" s="4">
        <v>13</v>
      </c>
      <c r="B2426" t="s">
        <v>11</v>
      </c>
      <c r="C2426" s="4">
        <v>25.96</v>
      </c>
      <c r="D2426" t="s">
        <v>24</v>
      </c>
      <c r="E2426" t="s">
        <v>17</v>
      </c>
      <c r="F2426" s="4" t="s">
        <v>25</v>
      </c>
      <c r="G2426" s="4" t="s">
        <v>39</v>
      </c>
      <c r="H2426" s="4">
        <v>1</v>
      </c>
      <c r="I2426" s="4">
        <v>12</v>
      </c>
      <c r="J2426" s="1">
        <v>45635</v>
      </c>
      <c r="K2426" s="2">
        <v>6.3541666666666662E-4</v>
      </c>
      <c r="M2426" s="4" t="str">
        <f t="shared" si="111"/>
        <v>LOW</v>
      </c>
      <c r="N2426" s="4" t="str" cm="1">
        <f t="array" ref="N2426">_xlfn.IFS(C2426&gt;35,"HIGH",C2426&gt;25,"MIDDLE",TRUE,"LOW")</f>
        <v>MIDDLE</v>
      </c>
      <c r="O2426" s="4" t="str">
        <f t="shared" si="112"/>
        <v>OTHERS</v>
      </c>
      <c r="P2426" s="4" t="str">
        <f t="shared" si="113"/>
        <v>OTHERS</v>
      </c>
    </row>
    <row r="2427" spans="1:16" x14ac:dyDescent="0.3">
      <c r="A2427" s="4">
        <v>21</v>
      </c>
      <c r="B2427" t="s">
        <v>11</v>
      </c>
      <c r="C2427" s="4">
        <v>35.76</v>
      </c>
      <c r="D2427" t="s">
        <v>21</v>
      </c>
      <c r="E2427" t="s">
        <v>20</v>
      </c>
      <c r="F2427" s="4" t="s">
        <v>25</v>
      </c>
      <c r="G2427" s="4" t="s">
        <v>39</v>
      </c>
      <c r="H2427" s="4">
        <v>1</v>
      </c>
      <c r="I2427" s="4">
        <v>12</v>
      </c>
      <c r="J2427" s="1">
        <v>45635</v>
      </c>
      <c r="K2427" s="2">
        <v>1.5177083333333332E-2</v>
      </c>
      <c r="M2427" s="4" t="str">
        <f t="shared" si="111"/>
        <v>HIGH</v>
      </c>
      <c r="N2427" s="4" t="str" cm="1">
        <f t="array" ref="N2427">_xlfn.IFS(C2427&gt;35,"HIGH",C2427&gt;25,"MIDDLE",TRUE,"LOW")</f>
        <v>HIGH</v>
      </c>
      <c r="O2427" s="4" t="str">
        <f t="shared" si="112"/>
        <v>OTHERS</v>
      </c>
      <c r="P2427" s="4" t="str">
        <f t="shared" si="113"/>
        <v>PREMINUM MORNING</v>
      </c>
    </row>
    <row r="2428" spans="1:16" x14ac:dyDescent="0.3">
      <c r="A2428" s="4">
        <v>12</v>
      </c>
      <c r="B2428" t="s">
        <v>11</v>
      </c>
      <c r="C2428" s="4">
        <v>25.96</v>
      </c>
      <c r="D2428" t="s">
        <v>24</v>
      </c>
      <c r="E2428" t="s">
        <v>17</v>
      </c>
      <c r="F2428" s="4" t="s">
        <v>27</v>
      </c>
      <c r="G2428" s="4" t="s">
        <v>39</v>
      </c>
      <c r="H2428" s="4">
        <v>2</v>
      </c>
      <c r="I2428" s="4">
        <v>12</v>
      </c>
      <c r="J2428" s="1">
        <v>45636</v>
      </c>
      <c r="K2428" s="2">
        <v>1.7937499999999999E-2</v>
      </c>
      <c r="M2428" s="4" t="str">
        <f t="shared" si="111"/>
        <v>LOW</v>
      </c>
      <c r="N2428" s="4" t="str" cm="1">
        <f t="array" ref="N2428">_xlfn.IFS(C2428&gt;35,"HIGH",C2428&gt;25,"MIDDLE",TRUE,"LOW")</f>
        <v>MIDDLE</v>
      </c>
      <c r="O2428" s="4" t="str">
        <f t="shared" si="112"/>
        <v>OTHERS</v>
      </c>
      <c r="P2428" s="4" t="str">
        <f t="shared" si="113"/>
        <v>OTHERS</v>
      </c>
    </row>
    <row r="2429" spans="1:16" x14ac:dyDescent="0.3">
      <c r="A2429" s="4">
        <v>18</v>
      </c>
      <c r="B2429" t="s">
        <v>11</v>
      </c>
      <c r="C2429" s="4">
        <v>35.76</v>
      </c>
      <c r="D2429" t="s">
        <v>16</v>
      </c>
      <c r="E2429" t="s">
        <v>20</v>
      </c>
      <c r="F2429" s="4" t="s">
        <v>27</v>
      </c>
      <c r="G2429" s="4" t="s">
        <v>39</v>
      </c>
      <c r="H2429" s="4">
        <v>2</v>
      </c>
      <c r="I2429" s="4">
        <v>12</v>
      </c>
      <c r="J2429" s="1">
        <v>45636</v>
      </c>
      <c r="K2429" s="2">
        <v>1.5252314814814814E-2</v>
      </c>
      <c r="M2429" s="4" t="str">
        <f t="shared" si="111"/>
        <v>HIGH</v>
      </c>
      <c r="N2429" s="4" t="str" cm="1">
        <f t="array" ref="N2429">_xlfn.IFS(C2429&gt;35,"HIGH",C2429&gt;25,"MIDDLE",TRUE,"LOW")</f>
        <v>HIGH</v>
      </c>
      <c r="O2429" s="4" t="str">
        <f t="shared" si="112"/>
        <v>OTHERS</v>
      </c>
      <c r="P2429" s="4" t="str">
        <f t="shared" si="113"/>
        <v>PREMINUM MORNING</v>
      </c>
    </row>
    <row r="2430" spans="1:16" x14ac:dyDescent="0.3">
      <c r="A2430" s="4">
        <v>7</v>
      </c>
      <c r="B2430" t="s">
        <v>11</v>
      </c>
      <c r="C2430" s="4">
        <v>35.76</v>
      </c>
      <c r="D2430" t="s">
        <v>12</v>
      </c>
      <c r="E2430" t="s">
        <v>13</v>
      </c>
      <c r="F2430" s="4" t="s">
        <v>28</v>
      </c>
      <c r="G2430" s="4" t="s">
        <v>39</v>
      </c>
      <c r="H2430" s="4">
        <v>3</v>
      </c>
      <c r="I2430" s="4">
        <v>12</v>
      </c>
      <c r="J2430" s="1">
        <v>45637</v>
      </c>
      <c r="K2430" s="2">
        <v>3.4560185185185187E-2</v>
      </c>
      <c r="M2430" s="4" t="str">
        <f t="shared" si="111"/>
        <v>HIGH</v>
      </c>
      <c r="N2430" s="4" t="str" cm="1">
        <f t="array" ref="N2430">_xlfn.IFS(C2430&gt;35,"HIGH",C2430&gt;25,"MIDDLE",TRUE,"LOW")</f>
        <v>HIGH</v>
      </c>
      <c r="O2430" s="4" t="str">
        <f t="shared" si="112"/>
        <v>PREMINUM MORNING</v>
      </c>
      <c r="P2430" s="4" t="str">
        <f t="shared" si="113"/>
        <v>PREMINUM MORNING</v>
      </c>
    </row>
    <row r="2431" spans="1:16" x14ac:dyDescent="0.3">
      <c r="A2431" s="4">
        <v>10</v>
      </c>
      <c r="B2431" t="s">
        <v>11</v>
      </c>
      <c r="C2431" s="4">
        <v>25.96</v>
      </c>
      <c r="D2431" t="s">
        <v>24</v>
      </c>
      <c r="E2431" t="s">
        <v>13</v>
      </c>
      <c r="F2431" s="4" t="s">
        <v>28</v>
      </c>
      <c r="G2431" s="4" t="s">
        <v>39</v>
      </c>
      <c r="H2431" s="4">
        <v>3</v>
      </c>
      <c r="I2431" s="4">
        <v>12</v>
      </c>
      <c r="J2431" s="1">
        <v>45637</v>
      </c>
      <c r="K2431" s="2">
        <v>3.1804398148148151E-2</v>
      </c>
      <c r="M2431" s="4" t="str">
        <f t="shared" si="111"/>
        <v>LOW</v>
      </c>
      <c r="N2431" s="4" t="str" cm="1">
        <f t="array" ref="N2431">_xlfn.IFS(C2431&gt;35,"HIGH",C2431&gt;25,"MIDDLE",TRUE,"LOW")</f>
        <v>MIDDLE</v>
      </c>
      <c r="O2431" s="4" t="str">
        <f t="shared" si="112"/>
        <v>OTHERS</v>
      </c>
      <c r="P2431" s="4" t="str">
        <f t="shared" si="113"/>
        <v>PREMINUM MORNING</v>
      </c>
    </row>
    <row r="2432" spans="1:16" x14ac:dyDescent="0.3">
      <c r="A2432" s="4">
        <v>12</v>
      </c>
      <c r="B2432" t="s">
        <v>11</v>
      </c>
      <c r="C2432" s="4">
        <v>35.76</v>
      </c>
      <c r="D2432" t="s">
        <v>16</v>
      </c>
      <c r="E2432" t="s">
        <v>17</v>
      </c>
      <c r="F2432" s="4" t="s">
        <v>28</v>
      </c>
      <c r="G2432" s="4" t="s">
        <v>39</v>
      </c>
      <c r="H2432" s="4">
        <v>3</v>
      </c>
      <c r="I2432" s="4">
        <v>12</v>
      </c>
      <c r="J2432" s="1">
        <v>45637</v>
      </c>
      <c r="K2432" s="2">
        <v>9.1006944444444442E-3</v>
      </c>
      <c r="M2432" s="4" t="str">
        <f t="shared" si="111"/>
        <v>HIGH</v>
      </c>
      <c r="N2432" s="4" t="str" cm="1">
        <f t="array" ref="N2432">_xlfn.IFS(C2432&gt;35,"HIGH",C2432&gt;25,"MIDDLE",TRUE,"LOW")</f>
        <v>HIGH</v>
      </c>
      <c r="O2432" s="4" t="str">
        <f t="shared" si="112"/>
        <v>OTHERS</v>
      </c>
      <c r="P2432" s="4" t="str">
        <f t="shared" si="113"/>
        <v>PREMINUM MORNING</v>
      </c>
    </row>
    <row r="2433" spans="1:16" x14ac:dyDescent="0.3">
      <c r="A2433" s="4">
        <v>12</v>
      </c>
      <c r="B2433" t="s">
        <v>11</v>
      </c>
      <c r="C2433" s="4">
        <v>21.06</v>
      </c>
      <c r="D2433" t="s">
        <v>26</v>
      </c>
      <c r="E2433" t="s">
        <v>17</v>
      </c>
      <c r="F2433" s="4" t="s">
        <v>28</v>
      </c>
      <c r="G2433" s="4" t="s">
        <v>39</v>
      </c>
      <c r="H2433" s="4">
        <v>3</v>
      </c>
      <c r="I2433" s="4">
        <v>12</v>
      </c>
      <c r="J2433" s="1">
        <v>45637</v>
      </c>
      <c r="K2433" s="2">
        <v>3.9442129629629633E-2</v>
      </c>
      <c r="M2433" s="4" t="str">
        <f t="shared" si="111"/>
        <v>LOW</v>
      </c>
      <c r="N2433" s="4" t="str" cm="1">
        <f t="array" ref="N2433">_xlfn.IFS(C2433&gt;35,"HIGH",C2433&gt;25,"MIDDLE",TRUE,"LOW")</f>
        <v>LOW</v>
      </c>
      <c r="O2433" s="4" t="str">
        <f t="shared" si="112"/>
        <v>OTHERS</v>
      </c>
      <c r="P2433" s="4" t="str">
        <f t="shared" si="113"/>
        <v>OTHERS</v>
      </c>
    </row>
    <row r="2434" spans="1:16" x14ac:dyDescent="0.3">
      <c r="A2434" s="4">
        <v>17</v>
      </c>
      <c r="B2434" t="s">
        <v>11</v>
      </c>
      <c r="C2434" s="4">
        <v>35.76</v>
      </c>
      <c r="D2434" t="s">
        <v>21</v>
      </c>
      <c r="E2434" t="s">
        <v>20</v>
      </c>
      <c r="F2434" s="4" t="s">
        <v>28</v>
      </c>
      <c r="G2434" s="4" t="s">
        <v>39</v>
      </c>
      <c r="H2434" s="4">
        <v>3</v>
      </c>
      <c r="I2434" s="4">
        <v>12</v>
      </c>
      <c r="J2434" s="1">
        <v>45637</v>
      </c>
      <c r="K2434" s="2">
        <v>4.1267361111111109E-2</v>
      </c>
      <c r="M2434" s="4" t="str">
        <f t="shared" si="111"/>
        <v>HIGH</v>
      </c>
      <c r="N2434" s="4" t="str" cm="1">
        <f t="array" ref="N2434">_xlfn.IFS(C2434&gt;35,"HIGH",C2434&gt;25,"MIDDLE",TRUE,"LOW")</f>
        <v>HIGH</v>
      </c>
      <c r="O2434" s="4" t="str">
        <f t="shared" si="112"/>
        <v>OTHERS</v>
      </c>
      <c r="P2434" s="4" t="str">
        <f t="shared" si="113"/>
        <v>PREMINUM MORNING</v>
      </c>
    </row>
    <row r="2435" spans="1:16" x14ac:dyDescent="0.3">
      <c r="A2435" s="4">
        <v>21</v>
      </c>
      <c r="B2435" t="s">
        <v>11</v>
      </c>
      <c r="C2435" s="4">
        <v>35.76</v>
      </c>
      <c r="D2435" t="s">
        <v>12</v>
      </c>
      <c r="E2435" t="s">
        <v>20</v>
      </c>
      <c r="F2435" s="4" t="s">
        <v>28</v>
      </c>
      <c r="G2435" s="4" t="s">
        <v>39</v>
      </c>
      <c r="H2435" s="4">
        <v>3</v>
      </c>
      <c r="I2435" s="4">
        <v>12</v>
      </c>
      <c r="J2435" s="1">
        <v>45637</v>
      </c>
      <c r="K2435" s="2">
        <v>7.8240740740740734E-4</v>
      </c>
      <c r="M2435" s="4" t="str">
        <f t="shared" ref="M2435:M2498" si="114">IF(C2435&gt;35,"HIGH","LOW")</f>
        <v>HIGH</v>
      </c>
      <c r="N2435" s="4" t="str" cm="1">
        <f t="array" ref="N2435">_xlfn.IFS(C2435&gt;35,"HIGH",C2435&gt;25,"MIDDLE",TRUE,"LOW")</f>
        <v>HIGH</v>
      </c>
      <c r="O2435" s="4" t="str">
        <f t="shared" ref="O2435:O2498" si="115">IF(AND(C2435&gt;35,E2435="MORNING"),"PREMINUM MORNING","OTHERS")</f>
        <v>OTHERS</v>
      </c>
      <c r="P2435" s="4" t="str">
        <f t="shared" ref="P2435:P2498" si="116">IF(OR(C2435&gt;35,E2435="MORNING"),"PREMINUM MORNING","OTHERS")</f>
        <v>PREMINUM MORNING</v>
      </c>
    </row>
    <row r="2436" spans="1:16" x14ac:dyDescent="0.3">
      <c r="A2436" s="4">
        <v>21</v>
      </c>
      <c r="B2436" t="s">
        <v>11</v>
      </c>
      <c r="C2436" s="4">
        <v>35.76</v>
      </c>
      <c r="D2436" t="s">
        <v>12</v>
      </c>
      <c r="E2436" t="s">
        <v>20</v>
      </c>
      <c r="F2436" s="4" t="s">
        <v>28</v>
      </c>
      <c r="G2436" s="4" t="s">
        <v>39</v>
      </c>
      <c r="H2436" s="4">
        <v>3</v>
      </c>
      <c r="I2436" s="4">
        <v>12</v>
      </c>
      <c r="J2436" s="1">
        <v>45637</v>
      </c>
      <c r="K2436" s="2">
        <v>1.2699074074074074E-2</v>
      </c>
      <c r="M2436" s="4" t="str">
        <f t="shared" si="114"/>
        <v>HIGH</v>
      </c>
      <c r="N2436" s="4" t="str" cm="1">
        <f t="array" ref="N2436">_xlfn.IFS(C2436&gt;35,"HIGH",C2436&gt;25,"MIDDLE",TRUE,"LOW")</f>
        <v>HIGH</v>
      </c>
      <c r="O2436" s="4" t="str">
        <f t="shared" si="115"/>
        <v>OTHERS</v>
      </c>
      <c r="P2436" s="4" t="str">
        <f t="shared" si="116"/>
        <v>PREMINUM MORNING</v>
      </c>
    </row>
    <row r="2437" spans="1:16" x14ac:dyDescent="0.3">
      <c r="A2437" s="4">
        <v>7</v>
      </c>
      <c r="B2437" t="s">
        <v>11</v>
      </c>
      <c r="C2437" s="4">
        <v>30.86</v>
      </c>
      <c r="D2437" t="s">
        <v>19</v>
      </c>
      <c r="E2437" t="s">
        <v>13</v>
      </c>
      <c r="F2437" s="4" t="s">
        <v>30</v>
      </c>
      <c r="G2437" s="4" t="s">
        <v>39</v>
      </c>
      <c r="H2437" s="4">
        <v>4</v>
      </c>
      <c r="I2437" s="4">
        <v>12</v>
      </c>
      <c r="J2437" s="1">
        <v>45638</v>
      </c>
      <c r="K2437" s="2">
        <v>4.0638888888888884E-2</v>
      </c>
      <c r="M2437" s="4" t="str">
        <f t="shared" si="114"/>
        <v>LOW</v>
      </c>
      <c r="N2437" s="4" t="str" cm="1">
        <f t="array" ref="N2437">_xlfn.IFS(C2437&gt;35,"HIGH",C2437&gt;25,"MIDDLE",TRUE,"LOW")</f>
        <v>MIDDLE</v>
      </c>
      <c r="O2437" s="4" t="str">
        <f t="shared" si="115"/>
        <v>OTHERS</v>
      </c>
      <c r="P2437" s="4" t="str">
        <f t="shared" si="116"/>
        <v>PREMINUM MORNING</v>
      </c>
    </row>
    <row r="2438" spans="1:16" x14ac:dyDescent="0.3">
      <c r="A2438" s="4">
        <v>12</v>
      </c>
      <c r="B2438" t="s">
        <v>11</v>
      </c>
      <c r="C2438" s="4">
        <v>25.96</v>
      </c>
      <c r="D2438" t="s">
        <v>18</v>
      </c>
      <c r="E2438" t="s">
        <v>17</v>
      </c>
      <c r="F2438" s="4" t="s">
        <v>30</v>
      </c>
      <c r="G2438" s="4" t="s">
        <v>39</v>
      </c>
      <c r="H2438" s="4">
        <v>4</v>
      </c>
      <c r="I2438" s="4">
        <v>12</v>
      </c>
      <c r="J2438" s="1">
        <v>45638</v>
      </c>
      <c r="K2438" s="2">
        <v>3.430208333333333E-2</v>
      </c>
      <c r="M2438" s="4" t="str">
        <f t="shared" si="114"/>
        <v>LOW</v>
      </c>
      <c r="N2438" s="4" t="str" cm="1">
        <f t="array" ref="N2438">_xlfn.IFS(C2438&gt;35,"HIGH",C2438&gt;25,"MIDDLE",TRUE,"LOW")</f>
        <v>MIDDLE</v>
      </c>
      <c r="O2438" s="4" t="str">
        <f t="shared" si="115"/>
        <v>OTHERS</v>
      </c>
      <c r="P2438" s="4" t="str">
        <f t="shared" si="116"/>
        <v>OTHERS</v>
      </c>
    </row>
    <row r="2439" spans="1:16" x14ac:dyDescent="0.3">
      <c r="A2439" s="4">
        <v>16</v>
      </c>
      <c r="B2439" t="s">
        <v>11</v>
      </c>
      <c r="C2439" s="4">
        <v>21.06</v>
      </c>
      <c r="D2439" t="s">
        <v>26</v>
      </c>
      <c r="E2439" t="s">
        <v>17</v>
      </c>
      <c r="F2439" s="4" t="s">
        <v>30</v>
      </c>
      <c r="G2439" s="4" t="s">
        <v>39</v>
      </c>
      <c r="H2439" s="4">
        <v>4</v>
      </c>
      <c r="I2439" s="4">
        <v>12</v>
      </c>
      <c r="J2439" s="1">
        <v>45638</v>
      </c>
      <c r="K2439" s="2">
        <v>3.8218749999999996E-2</v>
      </c>
      <c r="M2439" s="4" t="str">
        <f t="shared" si="114"/>
        <v>LOW</v>
      </c>
      <c r="N2439" s="4" t="str" cm="1">
        <f t="array" ref="N2439">_xlfn.IFS(C2439&gt;35,"HIGH",C2439&gt;25,"MIDDLE",TRUE,"LOW")</f>
        <v>LOW</v>
      </c>
      <c r="O2439" s="4" t="str">
        <f t="shared" si="115"/>
        <v>OTHERS</v>
      </c>
      <c r="P2439" s="4" t="str">
        <f t="shared" si="116"/>
        <v>OTHERS</v>
      </c>
    </row>
    <row r="2440" spans="1:16" x14ac:dyDescent="0.3">
      <c r="A2440" s="4">
        <v>16</v>
      </c>
      <c r="B2440" t="s">
        <v>11</v>
      </c>
      <c r="C2440" s="4">
        <v>21.06</v>
      </c>
      <c r="D2440" t="s">
        <v>26</v>
      </c>
      <c r="E2440" t="s">
        <v>17</v>
      </c>
      <c r="F2440" s="4" t="s">
        <v>30</v>
      </c>
      <c r="G2440" s="4" t="s">
        <v>39</v>
      </c>
      <c r="H2440" s="4">
        <v>4</v>
      </c>
      <c r="I2440" s="4">
        <v>12</v>
      </c>
      <c r="J2440" s="1">
        <v>45638</v>
      </c>
      <c r="K2440" s="2">
        <v>3.8762731481481481E-2</v>
      </c>
      <c r="M2440" s="4" t="str">
        <f t="shared" si="114"/>
        <v>LOW</v>
      </c>
      <c r="N2440" s="4" t="str" cm="1">
        <f t="array" ref="N2440">_xlfn.IFS(C2440&gt;35,"HIGH",C2440&gt;25,"MIDDLE",TRUE,"LOW")</f>
        <v>LOW</v>
      </c>
      <c r="O2440" s="4" t="str">
        <f t="shared" si="115"/>
        <v>OTHERS</v>
      </c>
      <c r="P2440" s="4" t="str">
        <f t="shared" si="116"/>
        <v>OTHERS</v>
      </c>
    </row>
    <row r="2441" spans="1:16" x14ac:dyDescent="0.3">
      <c r="A2441" s="4">
        <v>16</v>
      </c>
      <c r="B2441" t="s">
        <v>11</v>
      </c>
      <c r="C2441" s="4">
        <v>25.96</v>
      </c>
      <c r="D2441" t="s">
        <v>18</v>
      </c>
      <c r="E2441" t="s">
        <v>17</v>
      </c>
      <c r="F2441" s="4" t="s">
        <v>30</v>
      </c>
      <c r="G2441" s="4" t="s">
        <v>39</v>
      </c>
      <c r="H2441" s="4">
        <v>4</v>
      </c>
      <c r="I2441" s="4">
        <v>12</v>
      </c>
      <c r="J2441" s="1">
        <v>45638</v>
      </c>
      <c r="K2441" s="2">
        <v>3.9596064814814813E-2</v>
      </c>
      <c r="M2441" s="4" t="str">
        <f t="shared" si="114"/>
        <v>LOW</v>
      </c>
      <c r="N2441" s="4" t="str" cm="1">
        <f t="array" ref="N2441">_xlfn.IFS(C2441&gt;35,"HIGH",C2441&gt;25,"MIDDLE",TRUE,"LOW")</f>
        <v>MIDDLE</v>
      </c>
      <c r="O2441" s="4" t="str">
        <f t="shared" si="115"/>
        <v>OTHERS</v>
      </c>
      <c r="P2441" s="4" t="str">
        <f t="shared" si="116"/>
        <v>OTHERS</v>
      </c>
    </row>
    <row r="2442" spans="1:16" x14ac:dyDescent="0.3">
      <c r="A2442" s="4">
        <v>19</v>
      </c>
      <c r="B2442" t="s">
        <v>11</v>
      </c>
      <c r="C2442" s="4">
        <v>35.76</v>
      </c>
      <c r="D2442" t="s">
        <v>21</v>
      </c>
      <c r="E2442" t="s">
        <v>20</v>
      </c>
      <c r="F2442" s="4" t="s">
        <v>30</v>
      </c>
      <c r="G2442" s="4" t="s">
        <v>39</v>
      </c>
      <c r="H2442" s="4">
        <v>4</v>
      </c>
      <c r="I2442" s="4">
        <v>12</v>
      </c>
      <c r="J2442" s="1">
        <v>45638</v>
      </c>
      <c r="K2442" s="2">
        <v>3.4732638888888889E-2</v>
      </c>
      <c r="M2442" s="4" t="str">
        <f t="shared" si="114"/>
        <v>HIGH</v>
      </c>
      <c r="N2442" s="4" t="str" cm="1">
        <f t="array" ref="N2442">_xlfn.IFS(C2442&gt;35,"HIGH",C2442&gt;25,"MIDDLE",TRUE,"LOW")</f>
        <v>HIGH</v>
      </c>
      <c r="O2442" s="4" t="str">
        <f t="shared" si="115"/>
        <v>OTHERS</v>
      </c>
      <c r="P2442" s="4" t="str">
        <f t="shared" si="116"/>
        <v>PREMINUM MORNING</v>
      </c>
    </row>
    <row r="2443" spans="1:16" x14ac:dyDescent="0.3">
      <c r="A2443" s="4">
        <v>19</v>
      </c>
      <c r="B2443" t="s">
        <v>11</v>
      </c>
      <c r="C2443" s="4">
        <v>35.76</v>
      </c>
      <c r="D2443" t="s">
        <v>21</v>
      </c>
      <c r="E2443" t="s">
        <v>20</v>
      </c>
      <c r="F2443" s="4" t="s">
        <v>30</v>
      </c>
      <c r="G2443" s="4" t="s">
        <v>39</v>
      </c>
      <c r="H2443" s="4">
        <v>4</v>
      </c>
      <c r="I2443" s="4">
        <v>12</v>
      </c>
      <c r="J2443" s="1">
        <v>45638</v>
      </c>
      <c r="K2443" s="2">
        <v>3.5390046296296294E-2</v>
      </c>
      <c r="M2443" s="4" t="str">
        <f t="shared" si="114"/>
        <v>HIGH</v>
      </c>
      <c r="N2443" s="4" t="str" cm="1">
        <f t="array" ref="N2443">_xlfn.IFS(C2443&gt;35,"HIGH",C2443&gt;25,"MIDDLE",TRUE,"LOW")</f>
        <v>HIGH</v>
      </c>
      <c r="O2443" s="4" t="str">
        <f t="shared" si="115"/>
        <v>OTHERS</v>
      </c>
      <c r="P2443" s="4" t="str">
        <f t="shared" si="116"/>
        <v>PREMINUM MORNING</v>
      </c>
    </row>
    <row r="2444" spans="1:16" x14ac:dyDescent="0.3">
      <c r="A2444" s="4">
        <v>12</v>
      </c>
      <c r="B2444" t="s">
        <v>11</v>
      </c>
      <c r="C2444" s="4">
        <v>25.96</v>
      </c>
      <c r="D2444" t="s">
        <v>18</v>
      </c>
      <c r="E2444" t="s">
        <v>17</v>
      </c>
      <c r="F2444" s="4" t="s">
        <v>14</v>
      </c>
      <c r="G2444" s="4" t="s">
        <v>39</v>
      </c>
      <c r="H2444" s="4">
        <v>5</v>
      </c>
      <c r="I2444" s="4">
        <v>12</v>
      </c>
      <c r="J2444" s="1">
        <v>45639</v>
      </c>
      <c r="K2444" s="2">
        <v>1.9045138888888889E-2</v>
      </c>
      <c r="M2444" s="4" t="str">
        <f t="shared" si="114"/>
        <v>LOW</v>
      </c>
      <c r="N2444" s="4" t="str" cm="1">
        <f t="array" ref="N2444">_xlfn.IFS(C2444&gt;35,"HIGH",C2444&gt;25,"MIDDLE",TRUE,"LOW")</f>
        <v>MIDDLE</v>
      </c>
      <c r="O2444" s="4" t="str">
        <f t="shared" si="115"/>
        <v>OTHERS</v>
      </c>
      <c r="P2444" s="4" t="str">
        <f t="shared" si="116"/>
        <v>OTHERS</v>
      </c>
    </row>
    <row r="2445" spans="1:16" x14ac:dyDescent="0.3">
      <c r="A2445" s="4">
        <v>12</v>
      </c>
      <c r="B2445" t="s">
        <v>11</v>
      </c>
      <c r="C2445" s="4">
        <v>25.96</v>
      </c>
      <c r="D2445" t="s">
        <v>18</v>
      </c>
      <c r="E2445" t="s">
        <v>17</v>
      </c>
      <c r="F2445" s="4" t="s">
        <v>14</v>
      </c>
      <c r="G2445" s="4" t="s">
        <v>39</v>
      </c>
      <c r="H2445" s="4">
        <v>5</v>
      </c>
      <c r="I2445" s="4">
        <v>12</v>
      </c>
      <c r="J2445" s="1">
        <v>45639</v>
      </c>
      <c r="K2445" s="2">
        <v>3.6870370370370366E-2</v>
      </c>
      <c r="M2445" s="4" t="str">
        <f t="shared" si="114"/>
        <v>LOW</v>
      </c>
      <c r="N2445" s="4" t="str" cm="1">
        <f t="array" ref="N2445">_xlfn.IFS(C2445&gt;35,"HIGH",C2445&gt;25,"MIDDLE",TRUE,"LOW")</f>
        <v>MIDDLE</v>
      </c>
      <c r="O2445" s="4" t="str">
        <f t="shared" si="115"/>
        <v>OTHERS</v>
      </c>
      <c r="P2445" s="4" t="str">
        <f t="shared" si="116"/>
        <v>OTHERS</v>
      </c>
    </row>
    <row r="2446" spans="1:16" x14ac:dyDescent="0.3">
      <c r="A2446" s="4">
        <v>12</v>
      </c>
      <c r="B2446" t="s">
        <v>11</v>
      </c>
      <c r="C2446" s="4">
        <v>35.76</v>
      </c>
      <c r="D2446" t="s">
        <v>16</v>
      </c>
      <c r="E2446" t="s">
        <v>17</v>
      </c>
      <c r="F2446" s="4" t="s">
        <v>14</v>
      </c>
      <c r="G2446" s="4" t="s">
        <v>39</v>
      </c>
      <c r="H2446" s="4">
        <v>5</v>
      </c>
      <c r="I2446" s="4">
        <v>12</v>
      </c>
      <c r="J2446" s="1">
        <v>45639</v>
      </c>
      <c r="K2446" s="2">
        <v>3.7965277777777778E-2</v>
      </c>
      <c r="M2446" s="4" t="str">
        <f t="shared" si="114"/>
        <v>HIGH</v>
      </c>
      <c r="N2446" s="4" t="str" cm="1">
        <f t="array" ref="N2446">_xlfn.IFS(C2446&gt;35,"HIGH",C2446&gt;25,"MIDDLE",TRUE,"LOW")</f>
        <v>HIGH</v>
      </c>
      <c r="O2446" s="4" t="str">
        <f t="shared" si="115"/>
        <v>OTHERS</v>
      </c>
      <c r="P2446" s="4" t="str">
        <f t="shared" si="116"/>
        <v>PREMINUM MORNING</v>
      </c>
    </row>
    <row r="2447" spans="1:16" x14ac:dyDescent="0.3">
      <c r="A2447" s="4">
        <v>14</v>
      </c>
      <c r="B2447" t="s">
        <v>11</v>
      </c>
      <c r="C2447" s="4">
        <v>35.76</v>
      </c>
      <c r="D2447" t="s">
        <v>16</v>
      </c>
      <c r="E2447" t="s">
        <v>17</v>
      </c>
      <c r="F2447" s="4" t="s">
        <v>14</v>
      </c>
      <c r="G2447" s="4" t="s">
        <v>39</v>
      </c>
      <c r="H2447" s="4">
        <v>5</v>
      </c>
      <c r="I2447" s="4">
        <v>12</v>
      </c>
      <c r="J2447" s="1">
        <v>45639</v>
      </c>
      <c r="K2447" s="2">
        <v>1.3668981481481481E-3</v>
      </c>
      <c r="M2447" s="4" t="str">
        <f t="shared" si="114"/>
        <v>HIGH</v>
      </c>
      <c r="N2447" s="4" t="str" cm="1">
        <f t="array" ref="N2447">_xlfn.IFS(C2447&gt;35,"HIGH",C2447&gt;25,"MIDDLE",TRUE,"LOW")</f>
        <v>HIGH</v>
      </c>
      <c r="O2447" s="4" t="str">
        <f t="shared" si="115"/>
        <v>OTHERS</v>
      </c>
      <c r="P2447" s="4" t="str">
        <f t="shared" si="116"/>
        <v>PREMINUM MORNING</v>
      </c>
    </row>
    <row r="2448" spans="1:16" x14ac:dyDescent="0.3">
      <c r="A2448" s="4">
        <v>16</v>
      </c>
      <c r="B2448" t="s">
        <v>11</v>
      </c>
      <c r="C2448" s="4">
        <v>35.76</v>
      </c>
      <c r="D2448" t="s">
        <v>21</v>
      </c>
      <c r="E2448" t="s">
        <v>17</v>
      </c>
      <c r="F2448" s="4" t="s">
        <v>14</v>
      </c>
      <c r="G2448" s="4" t="s">
        <v>39</v>
      </c>
      <c r="H2448" s="4">
        <v>5</v>
      </c>
      <c r="I2448" s="4">
        <v>12</v>
      </c>
      <c r="J2448" s="1">
        <v>45639</v>
      </c>
      <c r="K2448" s="2">
        <v>1.6248842592592593E-2</v>
      </c>
      <c r="M2448" s="4" t="str">
        <f t="shared" si="114"/>
        <v>HIGH</v>
      </c>
      <c r="N2448" s="4" t="str" cm="1">
        <f t="array" ref="N2448">_xlfn.IFS(C2448&gt;35,"HIGH",C2448&gt;25,"MIDDLE",TRUE,"LOW")</f>
        <v>HIGH</v>
      </c>
      <c r="O2448" s="4" t="str">
        <f t="shared" si="115"/>
        <v>OTHERS</v>
      </c>
      <c r="P2448" s="4" t="str">
        <f t="shared" si="116"/>
        <v>PREMINUM MORNING</v>
      </c>
    </row>
    <row r="2449" spans="1:16" x14ac:dyDescent="0.3">
      <c r="A2449" s="4">
        <v>19</v>
      </c>
      <c r="B2449" t="s">
        <v>11</v>
      </c>
      <c r="C2449" s="4">
        <v>35.76</v>
      </c>
      <c r="D2449" t="s">
        <v>29</v>
      </c>
      <c r="E2449" t="s">
        <v>20</v>
      </c>
      <c r="F2449" s="4" t="s">
        <v>14</v>
      </c>
      <c r="G2449" s="4" t="s">
        <v>39</v>
      </c>
      <c r="H2449" s="4">
        <v>5</v>
      </c>
      <c r="I2449" s="4">
        <v>12</v>
      </c>
      <c r="J2449" s="1">
        <v>45639</v>
      </c>
      <c r="K2449" s="2">
        <v>1.3238425925925926E-2</v>
      </c>
      <c r="M2449" s="4" t="str">
        <f t="shared" si="114"/>
        <v>HIGH</v>
      </c>
      <c r="N2449" s="4" t="str" cm="1">
        <f t="array" ref="N2449">_xlfn.IFS(C2449&gt;35,"HIGH",C2449&gt;25,"MIDDLE",TRUE,"LOW")</f>
        <v>HIGH</v>
      </c>
      <c r="O2449" s="4" t="str">
        <f t="shared" si="115"/>
        <v>OTHERS</v>
      </c>
      <c r="P2449" s="4" t="str">
        <f t="shared" si="116"/>
        <v>PREMINUM MORNING</v>
      </c>
    </row>
    <row r="2450" spans="1:16" x14ac:dyDescent="0.3">
      <c r="A2450" s="4">
        <v>19</v>
      </c>
      <c r="B2450" t="s">
        <v>11</v>
      </c>
      <c r="C2450" s="4">
        <v>35.76</v>
      </c>
      <c r="D2450" t="s">
        <v>29</v>
      </c>
      <c r="E2450" t="s">
        <v>20</v>
      </c>
      <c r="F2450" s="4" t="s">
        <v>14</v>
      </c>
      <c r="G2450" s="4" t="s">
        <v>39</v>
      </c>
      <c r="H2450" s="4">
        <v>5</v>
      </c>
      <c r="I2450" s="4">
        <v>12</v>
      </c>
      <c r="J2450" s="1">
        <v>45639</v>
      </c>
      <c r="K2450" s="2">
        <v>1.4005787037037035E-2</v>
      </c>
      <c r="M2450" s="4" t="str">
        <f t="shared" si="114"/>
        <v>HIGH</v>
      </c>
      <c r="N2450" s="4" t="str" cm="1">
        <f t="array" ref="N2450">_xlfn.IFS(C2450&gt;35,"HIGH",C2450&gt;25,"MIDDLE",TRUE,"LOW")</f>
        <v>HIGH</v>
      </c>
      <c r="O2450" s="4" t="str">
        <f t="shared" si="115"/>
        <v>OTHERS</v>
      </c>
      <c r="P2450" s="4" t="str">
        <f t="shared" si="116"/>
        <v>PREMINUM MORNING</v>
      </c>
    </row>
    <row r="2451" spans="1:16" x14ac:dyDescent="0.3">
      <c r="A2451" s="4">
        <v>21</v>
      </c>
      <c r="B2451" t="s">
        <v>11</v>
      </c>
      <c r="C2451" s="4">
        <v>35.76</v>
      </c>
      <c r="D2451" t="s">
        <v>12</v>
      </c>
      <c r="E2451" t="s">
        <v>20</v>
      </c>
      <c r="F2451" s="4" t="s">
        <v>14</v>
      </c>
      <c r="G2451" s="4" t="s">
        <v>39</v>
      </c>
      <c r="H2451" s="4">
        <v>5</v>
      </c>
      <c r="I2451" s="4">
        <v>12</v>
      </c>
      <c r="J2451" s="1">
        <v>45639</v>
      </c>
      <c r="K2451" s="2">
        <v>2.4791666666666667E-2</v>
      </c>
      <c r="M2451" s="4" t="str">
        <f t="shared" si="114"/>
        <v>HIGH</v>
      </c>
      <c r="N2451" s="4" t="str" cm="1">
        <f t="array" ref="N2451">_xlfn.IFS(C2451&gt;35,"HIGH",C2451&gt;25,"MIDDLE",TRUE,"LOW")</f>
        <v>HIGH</v>
      </c>
      <c r="O2451" s="4" t="str">
        <f t="shared" si="115"/>
        <v>OTHERS</v>
      </c>
      <c r="P2451" s="4" t="str">
        <f t="shared" si="116"/>
        <v>PREMINUM MORNING</v>
      </c>
    </row>
    <row r="2452" spans="1:16" x14ac:dyDescent="0.3">
      <c r="A2452" s="4">
        <v>8</v>
      </c>
      <c r="B2452" t="s">
        <v>11</v>
      </c>
      <c r="C2452" s="4">
        <v>30.86</v>
      </c>
      <c r="D2452" t="s">
        <v>19</v>
      </c>
      <c r="E2452" t="s">
        <v>13</v>
      </c>
      <c r="F2452" s="4" t="s">
        <v>22</v>
      </c>
      <c r="G2452" s="4" t="s">
        <v>39</v>
      </c>
      <c r="H2452" s="4">
        <v>6</v>
      </c>
      <c r="I2452" s="4">
        <v>12</v>
      </c>
      <c r="J2452" s="1">
        <v>45640</v>
      </c>
      <c r="K2452" s="2">
        <v>1.9121527777777775E-2</v>
      </c>
      <c r="M2452" s="4" t="str">
        <f t="shared" si="114"/>
        <v>LOW</v>
      </c>
      <c r="N2452" s="4" t="str" cm="1">
        <f t="array" ref="N2452">_xlfn.IFS(C2452&gt;35,"HIGH",C2452&gt;25,"MIDDLE",TRUE,"LOW")</f>
        <v>MIDDLE</v>
      </c>
      <c r="O2452" s="4" t="str">
        <f t="shared" si="115"/>
        <v>OTHERS</v>
      </c>
      <c r="P2452" s="4" t="str">
        <f t="shared" si="116"/>
        <v>PREMINUM MORNING</v>
      </c>
    </row>
    <row r="2453" spans="1:16" x14ac:dyDescent="0.3">
      <c r="A2453" s="4">
        <v>9</v>
      </c>
      <c r="B2453" t="s">
        <v>11</v>
      </c>
      <c r="C2453" s="4">
        <v>35.76</v>
      </c>
      <c r="D2453" t="s">
        <v>21</v>
      </c>
      <c r="E2453" t="s">
        <v>13</v>
      </c>
      <c r="F2453" s="4" t="s">
        <v>22</v>
      </c>
      <c r="G2453" s="4" t="s">
        <v>39</v>
      </c>
      <c r="H2453" s="4">
        <v>6</v>
      </c>
      <c r="I2453" s="4">
        <v>12</v>
      </c>
      <c r="J2453" s="1">
        <v>45640</v>
      </c>
      <c r="K2453" s="2">
        <v>2.1481481481481482E-3</v>
      </c>
      <c r="M2453" s="4" t="str">
        <f t="shared" si="114"/>
        <v>HIGH</v>
      </c>
      <c r="N2453" s="4" t="str" cm="1">
        <f t="array" ref="N2453">_xlfn.IFS(C2453&gt;35,"HIGH",C2453&gt;25,"MIDDLE",TRUE,"LOW")</f>
        <v>HIGH</v>
      </c>
      <c r="O2453" s="4" t="str">
        <f t="shared" si="115"/>
        <v>PREMINUM MORNING</v>
      </c>
      <c r="P2453" s="4" t="str">
        <f t="shared" si="116"/>
        <v>PREMINUM MORNING</v>
      </c>
    </row>
    <row r="2454" spans="1:16" x14ac:dyDescent="0.3">
      <c r="A2454" s="4">
        <v>11</v>
      </c>
      <c r="B2454" t="s">
        <v>11</v>
      </c>
      <c r="C2454" s="4">
        <v>35.76</v>
      </c>
      <c r="D2454" t="s">
        <v>29</v>
      </c>
      <c r="E2454" t="s">
        <v>13</v>
      </c>
      <c r="F2454" s="4" t="s">
        <v>22</v>
      </c>
      <c r="G2454" s="4" t="s">
        <v>39</v>
      </c>
      <c r="H2454" s="4">
        <v>6</v>
      </c>
      <c r="I2454" s="4">
        <v>12</v>
      </c>
      <c r="J2454" s="1">
        <v>45640</v>
      </c>
      <c r="K2454" s="2">
        <v>2.9141203703703707E-2</v>
      </c>
      <c r="M2454" s="4" t="str">
        <f t="shared" si="114"/>
        <v>HIGH</v>
      </c>
      <c r="N2454" s="4" t="str" cm="1">
        <f t="array" ref="N2454">_xlfn.IFS(C2454&gt;35,"HIGH",C2454&gt;25,"MIDDLE",TRUE,"LOW")</f>
        <v>HIGH</v>
      </c>
      <c r="O2454" s="4" t="str">
        <f t="shared" si="115"/>
        <v>PREMINUM MORNING</v>
      </c>
      <c r="P2454" s="4" t="str">
        <f t="shared" si="116"/>
        <v>PREMINUM MORNING</v>
      </c>
    </row>
    <row r="2455" spans="1:16" x14ac:dyDescent="0.3">
      <c r="A2455" s="4">
        <v>13</v>
      </c>
      <c r="B2455" t="s">
        <v>11</v>
      </c>
      <c r="C2455" s="4">
        <v>25.96</v>
      </c>
      <c r="D2455" t="s">
        <v>18</v>
      </c>
      <c r="E2455" t="s">
        <v>17</v>
      </c>
      <c r="F2455" s="4" t="s">
        <v>22</v>
      </c>
      <c r="G2455" s="4" t="s">
        <v>39</v>
      </c>
      <c r="H2455" s="4">
        <v>6</v>
      </c>
      <c r="I2455" s="4">
        <v>12</v>
      </c>
      <c r="J2455" s="1">
        <v>45640</v>
      </c>
      <c r="K2455" s="2">
        <v>1.3275462962962963E-2</v>
      </c>
      <c r="M2455" s="4" t="str">
        <f t="shared" si="114"/>
        <v>LOW</v>
      </c>
      <c r="N2455" s="4" t="str" cm="1">
        <f t="array" ref="N2455">_xlfn.IFS(C2455&gt;35,"HIGH",C2455&gt;25,"MIDDLE",TRUE,"LOW")</f>
        <v>MIDDLE</v>
      </c>
      <c r="O2455" s="4" t="str">
        <f t="shared" si="115"/>
        <v>OTHERS</v>
      </c>
      <c r="P2455" s="4" t="str">
        <f t="shared" si="116"/>
        <v>OTHERS</v>
      </c>
    </row>
    <row r="2456" spans="1:16" x14ac:dyDescent="0.3">
      <c r="A2456" s="4">
        <v>13</v>
      </c>
      <c r="B2456" t="s">
        <v>11</v>
      </c>
      <c r="C2456" s="4">
        <v>35.76</v>
      </c>
      <c r="D2456" t="s">
        <v>12</v>
      </c>
      <c r="E2456" t="s">
        <v>17</v>
      </c>
      <c r="F2456" s="4" t="s">
        <v>22</v>
      </c>
      <c r="G2456" s="4" t="s">
        <v>39</v>
      </c>
      <c r="H2456" s="4">
        <v>6</v>
      </c>
      <c r="I2456" s="4">
        <v>12</v>
      </c>
      <c r="J2456" s="1">
        <v>45640</v>
      </c>
      <c r="K2456" s="2">
        <v>1.3988425925925925E-2</v>
      </c>
      <c r="M2456" s="4" t="str">
        <f t="shared" si="114"/>
        <v>HIGH</v>
      </c>
      <c r="N2456" s="4" t="str" cm="1">
        <f t="array" ref="N2456">_xlfn.IFS(C2456&gt;35,"HIGH",C2456&gt;25,"MIDDLE",TRUE,"LOW")</f>
        <v>HIGH</v>
      </c>
      <c r="O2456" s="4" t="str">
        <f t="shared" si="115"/>
        <v>OTHERS</v>
      </c>
      <c r="P2456" s="4" t="str">
        <f t="shared" si="116"/>
        <v>PREMINUM MORNING</v>
      </c>
    </row>
    <row r="2457" spans="1:16" x14ac:dyDescent="0.3">
      <c r="A2457" s="4">
        <v>16</v>
      </c>
      <c r="B2457" t="s">
        <v>11</v>
      </c>
      <c r="C2457" s="4">
        <v>35.76</v>
      </c>
      <c r="D2457" t="s">
        <v>21</v>
      </c>
      <c r="E2457" t="s">
        <v>17</v>
      </c>
      <c r="F2457" s="4" t="s">
        <v>22</v>
      </c>
      <c r="G2457" s="4" t="s">
        <v>39</v>
      </c>
      <c r="H2457" s="4">
        <v>6</v>
      </c>
      <c r="I2457" s="4">
        <v>12</v>
      </c>
      <c r="J2457" s="1">
        <v>45640</v>
      </c>
      <c r="K2457" s="2">
        <v>7.2916666666666668E-3</v>
      </c>
      <c r="M2457" s="4" t="str">
        <f t="shared" si="114"/>
        <v>HIGH</v>
      </c>
      <c r="N2457" s="4" t="str" cm="1">
        <f t="array" ref="N2457">_xlfn.IFS(C2457&gt;35,"HIGH",C2457&gt;25,"MIDDLE",TRUE,"LOW")</f>
        <v>HIGH</v>
      </c>
      <c r="O2457" s="4" t="str">
        <f t="shared" si="115"/>
        <v>OTHERS</v>
      </c>
      <c r="P2457" s="4" t="str">
        <f t="shared" si="116"/>
        <v>PREMINUM MORNING</v>
      </c>
    </row>
    <row r="2458" spans="1:16" x14ac:dyDescent="0.3">
      <c r="A2458" s="4">
        <v>16</v>
      </c>
      <c r="B2458" t="s">
        <v>11</v>
      </c>
      <c r="C2458" s="4">
        <v>25.96</v>
      </c>
      <c r="D2458" t="s">
        <v>18</v>
      </c>
      <c r="E2458" t="s">
        <v>17</v>
      </c>
      <c r="F2458" s="4" t="s">
        <v>22</v>
      </c>
      <c r="G2458" s="4" t="s">
        <v>39</v>
      </c>
      <c r="H2458" s="4">
        <v>6</v>
      </c>
      <c r="I2458" s="4">
        <v>12</v>
      </c>
      <c r="J2458" s="1">
        <v>45640</v>
      </c>
      <c r="K2458" s="2">
        <v>2.0820601851851854E-2</v>
      </c>
      <c r="M2458" s="4" t="str">
        <f t="shared" si="114"/>
        <v>LOW</v>
      </c>
      <c r="N2458" s="4" t="str" cm="1">
        <f t="array" ref="N2458">_xlfn.IFS(C2458&gt;35,"HIGH",C2458&gt;25,"MIDDLE",TRUE,"LOW")</f>
        <v>MIDDLE</v>
      </c>
      <c r="O2458" s="4" t="str">
        <f t="shared" si="115"/>
        <v>OTHERS</v>
      </c>
      <c r="P2458" s="4" t="str">
        <f t="shared" si="116"/>
        <v>OTHERS</v>
      </c>
    </row>
    <row r="2459" spans="1:16" x14ac:dyDescent="0.3">
      <c r="A2459" s="4">
        <v>16</v>
      </c>
      <c r="B2459" t="s">
        <v>11</v>
      </c>
      <c r="C2459" s="4">
        <v>25.96</v>
      </c>
      <c r="D2459" t="s">
        <v>18</v>
      </c>
      <c r="E2459" t="s">
        <v>17</v>
      </c>
      <c r="F2459" s="4" t="s">
        <v>22</v>
      </c>
      <c r="G2459" s="4" t="s">
        <v>39</v>
      </c>
      <c r="H2459" s="4">
        <v>6</v>
      </c>
      <c r="I2459" s="4">
        <v>12</v>
      </c>
      <c r="J2459" s="1">
        <v>45640</v>
      </c>
      <c r="K2459" s="2">
        <v>2.1409722222222222E-2</v>
      </c>
      <c r="M2459" s="4" t="str">
        <f t="shared" si="114"/>
        <v>LOW</v>
      </c>
      <c r="N2459" s="4" t="str" cm="1">
        <f t="array" ref="N2459">_xlfn.IFS(C2459&gt;35,"HIGH",C2459&gt;25,"MIDDLE",TRUE,"LOW")</f>
        <v>MIDDLE</v>
      </c>
      <c r="O2459" s="4" t="str">
        <f t="shared" si="115"/>
        <v>OTHERS</v>
      </c>
      <c r="P2459" s="4" t="str">
        <f t="shared" si="116"/>
        <v>OTHERS</v>
      </c>
    </row>
    <row r="2460" spans="1:16" x14ac:dyDescent="0.3">
      <c r="A2460" s="4">
        <v>17</v>
      </c>
      <c r="B2460" t="s">
        <v>11</v>
      </c>
      <c r="C2460" s="4">
        <v>25.96</v>
      </c>
      <c r="D2460" t="s">
        <v>18</v>
      </c>
      <c r="E2460" t="s">
        <v>20</v>
      </c>
      <c r="F2460" s="4" t="s">
        <v>22</v>
      </c>
      <c r="G2460" s="4" t="s">
        <v>39</v>
      </c>
      <c r="H2460" s="4">
        <v>6</v>
      </c>
      <c r="I2460" s="4">
        <v>12</v>
      </c>
      <c r="J2460" s="1">
        <v>45640</v>
      </c>
      <c r="K2460" s="2">
        <v>1.8402777777777778E-4</v>
      </c>
      <c r="M2460" s="4" t="str">
        <f t="shared" si="114"/>
        <v>LOW</v>
      </c>
      <c r="N2460" s="4" t="str" cm="1">
        <f t="array" ref="N2460">_xlfn.IFS(C2460&gt;35,"HIGH",C2460&gt;25,"MIDDLE",TRUE,"LOW")</f>
        <v>MIDDLE</v>
      </c>
      <c r="O2460" s="4" t="str">
        <f t="shared" si="115"/>
        <v>OTHERS</v>
      </c>
      <c r="P2460" s="4" t="str">
        <f t="shared" si="116"/>
        <v>OTHERS</v>
      </c>
    </row>
    <row r="2461" spans="1:16" x14ac:dyDescent="0.3">
      <c r="A2461" s="4">
        <v>17</v>
      </c>
      <c r="B2461" t="s">
        <v>11</v>
      </c>
      <c r="C2461" s="4">
        <v>25.96</v>
      </c>
      <c r="D2461" t="s">
        <v>18</v>
      </c>
      <c r="E2461" t="s">
        <v>20</v>
      </c>
      <c r="F2461" s="4" t="s">
        <v>22</v>
      </c>
      <c r="G2461" s="4" t="s">
        <v>39</v>
      </c>
      <c r="H2461" s="4">
        <v>6</v>
      </c>
      <c r="I2461" s="4">
        <v>12</v>
      </c>
      <c r="J2461" s="1">
        <v>45640</v>
      </c>
      <c r="K2461" s="2">
        <v>1.0324074074074074E-3</v>
      </c>
      <c r="M2461" s="4" t="str">
        <f t="shared" si="114"/>
        <v>LOW</v>
      </c>
      <c r="N2461" s="4" t="str" cm="1">
        <f t="array" ref="N2461">_xlfn.IFS(C2461&gt;35,"HIGH",C2461&gt;25,"MIDDLE",TRUE,"LOW")</f>
        <v>MIDDLE</v>
      </c>
      <c r="O2461" s="4" t="str">
        <f t="shared" si="115"/>
        <v>OTHERS</v>
      </c>
      <c r="P2461" s="4" t="str">
        <f t="shared" si="116"/>
        <v>OTHERS</v>
      </c>
    </row>
    <row r="2462" spans="1:16" x14ac:dyDescent="0.3">
      <c r="A2462" s="4">
        <v>18</v>
      </c>
      <c r="B2462" t="s">
        <v>11</v>
      </c>
      <c r="C2462" s="4">
        <v>30.86</v>
      </c>
      <c r="D2462" t="s">
        <v>19</v>
      </c>
      <c r="E2462" t="s">
        <v>20</v>
      </c>
      <c r="F2462" s="4" t="s">
        <v>22</v>
      </c>
      <c r="G2462" s="4" t="s">
        <v>39</v>
      </c>
      <c r="H2462" s="4">
        <v>6</v>
      </c>
      <c r="I2462" s="4">
        <v>12</v>
      </c>
      <c r="J2462" s="1">
        <v>45640</v>
      </c>
      <c r="K2462" s="2">
        <v>1.6483796296296298E-2</v>
      </c>
      <c r="M2462" s="4" t="str">
        <f t="shared" si="114"/>
        <v>LOW</v>
      </c>
      <c r="N2462" s="4" t="str" cm="1">
        <f t="array" ref="N2462">_xlfn.IFS(C2462&gt;35,"HIGH",C2462&gt;25,"MIDDLE",TRUE,"LOW")</f>
        <v>MIDDLE</v>
      </c>
      <c r="O2462" s="4" t="str">
        <f t="shared" si="115"/>
        <v>OTHERS</v>
      </c>
      <c r="P2462" s="4" t="str">
        <f t="shared" si="116"/>
        <v>OTHERS</v>
      </c>
    </row>
    <row r="2463" spans="1:16" x14ac:dyDescent="0.3">
      <c r="A2463" s="4">
        <v>11</v>
      </c>
      <c r="B2463" t="s">
        <v>11</v>
      </c>
      <c r="C2463" s="4">
        <v>35.76</v>
      </c>
      <c r="D2463" t="s">
        <v>12</v>
      </c>
      <c r="E2463" t="s">
        <v>13</v>
      </c>
      <c r="F2463" s="4" t="s">
        <v>23</v>
      </c>
      <c r="G2463" s="4" t="s">
        <v>39</v>
      </c>
      <c r="H2463" s="4">
        <v>7</v>
      </c>
      <c r="I2463" s="4">
        <v>12</v>
      </c>
      <c r="J2463" s="1">
        <v>45641</v>
      </c>
      <c r="K2463" s="2">
        <v>6.5370370370370365E-3</v>
      </c>
      <c r="M2463" s="4" t="str">
        <f t="shared" si="114"/>
        <v>HIGH</v>
      </c>
      <c r="N2463" s="4" t="str" cm="1">
        <f t="array" ref="N2463">_xlfn.IFS(C2463&gt;35,"HIGH",C2463&gt;25,"MIDDLE",TRUE,"LOW")</f>
        <v>HIGH</v>
      </c>
      <c r="O2463" s="4" t="str">
        <f t="shared" si="115"/>
        <v>PREMINUM MORNING</v>
      </c>
      <c r="P2463" s="4" t="str">
        <f t="shared" si="116"/>
        <v>PREMINUM MORNING</v>
      </c>
    </row>
    <row r="2464" spans="1:16" x14ac:dyDescent="0.3">
      <c r="A2464" s="4">
        <v>11</v>
      </c>
      <c r="B2464" t="s">
        <v>11</v>
      </c>
      <c r="C2464" s="4">
        <v>35.76</v>
      </c>
      <c r="D2464" t="s">
        <v>21</v>
      </c>
      <c r="E2464" t="s">
        <v>13</v>
      </c>
      <c r="F2464" s="4" t="s">
        <v>23</v>
      </c>
      <c r="G2464" s="4" t="s">
        <v>39</v>
      </c>
      <c r="H2464" s="4">
        <v>7</v>
      </c>
      <c r="I2464" s="4">
        <v>12</v>
      </c>
      <c r="J2464" s="1">
        <v>45641</v>
      </c>
      <c r="K2464" s="2">
        <v>7.2418981481481483E-3</v>
      </c>
      <c r="M2464" s="4" t="str">
        <f t="shared" si="114"/>
        <v>HIGH</v>
      </c>
      <c r="N2464" s="4" t="str" cm="1">
        <f t="array" ref="N2464">_xlfn.IFS(C2464&gt;35,"HIGH",C2464&gt;25,"MIDDLE",TRUE,"LOW")</f>
        <v>HIGH</v>
      </c>
      <c r="O2464" s="4" t="str">
        <f t="shared" si="115"/>
        <v>PREMINUM MORNING</v>
      </c>
      <c r="P2464" s="4" t="str">
        <f t="shared" si="116"/>
        <v>PREMINUM MORNING</v>
      </c>
    </row>
    <row r="2465" spans="1:16" x14ac:dyDescent="0.3">
      <c r="A2465" s="4">
        <v>17</v>
      </c>
      <c r="B2465" t="s">
        <v>11</v>
      </c>
      <c r="C2465" s="4">
        <v>35.76</v>
      </c>
      <c r="D2465" t="s">
        <v>16</v>
      </c>
      <c r="E2465" t="s">
        <v>20</v>
      </c>
      <c r="F2465" s="4" t="s">
        <v>23</v>
      </c>
      <c r="G2465" s="4" t="s">
        <v>39</v>
      </c>
      <c r="H2465" s="4">
        <v>7</v>
      </c>
      <c r="I2465" s="4">
        <v>12</v>
      </c>
      <c r="J2465" s="1">
        <v>45641</v>
      </c>
      <c r="K2465" s="2">
        <v>4.034027777777778E-2</v>
      </c>
      <c r="M2465" s="4" t="str">
        <f t="shared" si="114"/>
        <v>HIGH</v>
      </c>
      <c r="N2465" s="4" t="str" cm="1">
        <f t="array" ref="N2465">_xlfn.IFS(C2465&gt;35,"HIGH",C2465&gt;25,"MIDDLE",TRUE,"LOW")</f>
        <v>HIGH</v>
      </c>
      <c r="O2465" s="4" t="str">
        <f t="shared" si="115"/>
        <v>OTHERS</v>
      </c>
      <c r="P2465" s="4" t="str">
        <f t="shared" si="116"/>
        <v>PREMINUM MORNING</v>
      </c>
    </row>
    <row r="2466" spans="1:16" x14ac:dyDescent="0.3">
      <c r="A2466" s="4">
        <v>7</v>
      </c>
      <c r="B2466" t="s">
        <v>11</v>
      </c>
      <c r="C2466" s="4">
        <v>35.76</v>
      </c>
      <c r="D2466" t="s">
        <v>12</v>
      </c>
      <c r="E2466" t="s">
        <v>13</v>
      </c>
      <c r="F2466" s="4" t="s">
        <v>25</v>
      </c>
      <c r="G2466" s="4" t="s">
        <v>39</v>
      </c>
      <c r="H2466" s="4">
        <v>1</v>
      </c>
      <c r="I2466" s="4">
        <v>12</v>
      </c>
      <c r="J2466" s="1">
        <v>45642</v>
      </c>
      <c r="K2466" s="2">
        <v>3.6324074074074078E-2</v>
      </c>
      <c r="M2466" s="4" t="str">
        <f t="shared" si="114"/>
        <v>HIGH</v>
      </c>
      <c r="N2466" s="4" t="str" cm="1">
        <f t="array" ref="N2466">_xlfn.IFS(C2466&gt;35,"HIGH",C2466&gt;25,"MIDDLE",TRUE,"LOW")</f>
        <v>HIGH</v>
      </c>
      <c r="O2466" s="4" t="str">
        <f t="shared" si="115"/>
        <v>PREMINUM MORNING</v>
      </c>
      <c r="P2466" s="4" t="str">
        <f t="shared" si="116"/>
        <v>PREMINUM MORNING</v>
      </c>
    </row>
    <row r="2467" spans="1:16" x14ac:dyDescent="0.3">
      <c r="A2467" s="4">
        <v>8</v>
      </c>
      <c r="B2467" t="s">
        <v>11</v>
      </c>
      <c r="C2467" s="4">
        <v>35.76</v>
      </c>
      <c r="D2467" t="s">
        <v>16</v>
      </c>
      <c r="E2467" t="s">
        <v>13</v>
      </c>
      <c r="F2467" s="4" t="s">
        <v>25</v>
      </c>
      <c r="G2467" s="4" t="s">
        <v>39</v>
      </c>
      <c r="H2467" s="4">
        <v>1</v>
      </c>
      <c r="I2467" s="4">
        <v>12</v>
      </c>
      <c r="J2467" s="1">
        <v>45642</v>
      </c>
      <c r="K2467" s="2">
        <v>2.4432870370370368E-3</v>
      </c>
      <c r="M2467" s="4" t="str">
        <f t="shared" si="114"/>
        <v>HIGH</v>
      </c>
      <c r="N2467" s="4" t="str" cm="1">
        <f t="array" ref="N2467">_xlfn.IFS(C2467&gt;35,"HIGH",C2467&gt;25,"MIDDLE",TRUE,"LOW")</f>
        <v>HIGH</v>
      </c>
      <c r="O2467" s="4" t="str">
        <f t="shared" si="115"/>
        <v>PREMINUM MORNING</v>
      </c>
      <c r="P2467" s="4" t="str">
        <f t="shared" si="116"/>
        <v>PREMINUM MORNING</v>
      </c>
    </row>
    <row r="2468" spans="1:16" x14ac:dyDescent="0.3">
      <c r="A2468" s="4">
        <v>8</v>
      </c>
      <c r="B2468" t="s">
        <v>11</v>
      </c>
      <c r="C2468" s="4">
        <v>35.76</v>
      </c>
      <c r="D2468" t="s">
        <v>21</v>
      </c>
      <c r="E2468" t="s">
        <v>13</v>
      </c>
      <c r="F2468" s="4" t="s">
        <v>25</v>
      </c>
      <c r="G2468" s="4" t="s">
        <v>39</v>
      </c>
      <c r="H2468" s="4">
        <v>1</v>
      </c>
      <c r="I2468" s="4">
        <v>12</v>
      </c>
      <c r="J2468" s="1">
        <v>45642</v>
      </c>
      <c r="K2468" s="2">
        <v>3.2567129629629633E-2</v>
      </c>
      <c r="M2468" s="4" t="str">
        <f t="shared" si="114"/>
        <v>HIGH</v>
      </c>
      <c r="N2468" s="4" t="str" cm="1">
        <f t="array" ref="N2468">_xlfn.IFS(C2468&gt;35,"HIGH",C2468&gt;25,"MIDDLE",TRUE,"LOW")</f>
        <v>HIGH</v>
      </c>
      <c r="O2468" s="4" t="str">
        <f t="shared" si="115"/>
        <v>PREMINUM MORNING</v>
      </c>
      <c r="P2468" s="4" t="str">
        <f t="shared" si="116"/>
        <v>PREMINUM MORNING</v>
      </c>
    </row>
    <row r="2469" spans="1:16" x14ac:dyDescent="0.3">
      <c r="A2469" s="4">
        <v>12</v>
      </c>
      <c r="B2469" t="s">
        <v>11</v>
      </c>
      <c r="C2469" s="4">
        <v>30.86</v>
      </c>
      <c r="D2469" t="s">
        <v>19</v>
      </c>
      <c r="E2469" t="s">
        <v>17</v>
      </c>
      <c r="F2469" s="4" t="s">
        <v>25</v>
      </c>
      <c r="G2469" s="4" t="s">
        <v>39</v>
      </c>
      <c r="H2469" s="4">
        <v>1</v>
      </c>
      <c r="I2469" s="4">
        <v>12</v>
      </c>
      <c r="J2469" s="1">
        <v>45642</v>
      </c>
      <c r="K2469" s="2">
        <v>1.3288194444444443E-2</v>
      </c>
      <c r="M2469" s="4" t="str">
        <f t="shared" si="114"/>
        <v>LOW</v>
      </c>
      <c r="N2469" s="4" t="str" cm="1">
        <f t="array" ref="N2469">_xlfn.IFS(C2469&gt;35,"HIGH",C2469&gt;25,"MIDDLE",TRUE,"LOW")</f>
        <v>MIDDLE</v>
      </c>
      <c r="O2469" s="4" t="str">
        <f t="shared" si="115"/>
        <v>OTHERS</v>
      </c>
      <c r="P2469" s="4" t="str">
        <f t="shared" si="116"/>
        <v>OTHERS</v>
      </c>
    </row>
    <row r="2470" spans="1:16" x14ac:dyDescent="0.3">
      <c r="A2470" s="4">
        <v>13</v>
      </c>
      <c r="B2470" t="s">
        <v>11</v>
      </c>
      <c r="C2470" s="4">
        <v>35.76</v>
      </c>
      <c r="D2470" t="s">
        <v>12</v>
      </c>
      <c r="E2470" t="s">
        <v>17</v>
      </c>
      <c r="F2470" s="4" t="s">
        <v>25</v>
      </c>
      <c r="G2470" s="4" t="s">
        <v>39</v>
      </c>
      <c r="H2470" s="4">
        <v>1</v>
      </c>
      <c r="I2470" s="4">
        <v>12</v>
      </c>
      <c r="J2470" s="1">
        <v>45642</v>
      </c>
      <c r="K2470" s="2">
        <v>6.1643518518518523E-3</v>
      </c>
      <c r="M2470" s="4" t="str">
        <f t="shared" si="114"/>
        <v>HIGH</v>
      </c>
      <c r="N2470" s="4" t="str" cm="1">
        <f t="array" ref="N2470">_xlfn.IFS(C2470&gt;35,"HIGH",C2470&gt;25,"MIDDLE",TRUE,"LOW")</f>
        <v>HIGH</v>
      </c>
      <c r="O2470" s="4" t="str">
        <f t="shared" si="115"/>
        <v>OTHERS</v>
      </c>
      <c r="P2470" s="4" t="str">
        <f t="shared" si="116"/>
        <v>PREMINUM MORNING</v>
      </c>
    </row>
    <row r="2471" spans="1:16" x14ac:dyDescent="0.3">
      <c r="A2471" s="4">
        <v>14</v>
      </c>
      <c r="B2471" t="s">
        <v>11</v>
      </c>
      <c r="C2471" s="4">
        <v>35.76</v>
      </c>
      <c r="D2471" t="s">
        <v>16</v>
      </c>
      <c r="E2471" t="s">
        <v>17</v>
      </c>
      <c r="F2471" s="4" t="s">
        <v>25</v>
      </c>
      <c r="G2471" s="4" t="s">
        <v>39</v>
      </c>
      <c r="H2471" s="4">
        <v>1</v>
      </c>
      <c r="I2471" s="4">
        <v>12</v>
      </c>
      <c r="J2471" s="1">
        <v>45642</v>
      </c>
      <c r="K2471" s="2">
        <v>9.2372685185185179E-3</v>
      </c>
      <c r="M2471" s="4" t="str">
        <f t="shared" si="114"/>
        <v>HIGH</v>
      </c>
      <c r="N2471" s="4" t="str" cm="1">
        <f t="array" ref="N2471">_xlfn.IFS(C2471&gt;35,"HIGH",C2471&gt;25,"MIDDLE",TRUE,"LOW")</f>
        <v>HIGH</v>
      </c>
      <c r="O2471" s="4" t="str">
        <f t="shared" si="115"/>
        <v>OTHERS</v>
      </c>
      <c r="P2471" s="4" t="str">
        <f t="shared" si="116"/>
        <v>PREMINUM MORNING</v>
      </c>
    </row>
    <row r="2472" spans="1:16" x14ac:dyDescent="0.3">
      <c r="A2472" s="4">
        <v>18</v>
      </c>
      <c r="B2472" t="s">
        <v>11</v>
      </c>
      <c r="C2472" s="4">
        <v>35.76</v>
      </c>
      <c r="D2472" t="s">
        <v>12</v>
      </c>
      <c r="E2472" t="s">
        <v>20</v>
      </c>
      <c r="F2472" s="4" t="s">
        <v>25</v>
      </c>
      <c r="G2472" s="4" t="s">
        <v>39</v>
      </c>
      <c r="H2472" s="4">
        <v>1</v>
      </c>
      <c r="I2472" s="4">
        <v>12</v>
      </c>
      <c r="J2472" s="1">
        <v>45642</v>
      </c>
      <c r="K2472" s="2">
        <v>1.6053240740740739E-2</v>
      </c>
      <c r="M2472" s="4" t="str">
        <f t="shared" si="114"/>
        <v>HIGH</v>
      </c>
      <c r="N2472" s="4" t="str" cm="1">
        <f t="array" ref="N2472">_xlfn.IFS(C2472&gt;35,"HIGH",C2472&gt;25,"MIDDLE",TRUE,"LOW")</f>
        <v>HIGH</v>
      </c>
      <c r="O2472" s="4" t="str">
        <f t="shared" si="115"/>
        <v>OTHERS</v>
      </c>
      <c r="P2472" s="4" t="str">
        <f t="shared" si="116"/>
        <v>PREMINUM MORNING</v>
      </c>
    </row>
    <row r="2473" spans="1:16" x14ac:dyDescent="0.3">
      <c r="A2473" s="4">
        <v>18</v>
      </c>
      <c r="B2473" t="s">
        <v>11</v>
      </c>
      <c r="C2473" s="4">
        <v>30.86</v>
      </c>
      <c r="D2473" t="s">
        <v>19</v>
      </c>
      <c r="E2473" t="s">
        <v>20</v>
      </c>
      <c r="F2473" s="4" t="s">
        <v>25</v>
      </c>
      <c r="G2473" s="4" t="s">
        <v>39</v>
      </c>
      <c r="H2473" s="4">
        <v>1</v>
      </c>
      <c r="I2473" s="4">
        <v>12</v>
      </c>
      <c r="J2473" s="1">
        <v>45642</v>
      </c>
      <c r="K2473" s="2">
        <v>1.6682870370370372E-2</v>
      </c>
      <c r="M2473" s="4" t="str">
        <f t="shared" si="114"/>
        <v>LOW</v>
      </c>
      <c r="N2473" s="4" t="str" cm="1">
        <f t="array" ref="N2473">_xlfn.IFS(C2473&gt;35,"HIGH",C2473&gt;25,"MIDDLE",TRUE,"LOW")</f>
        <v>MIDDLE</v>
      </c>
      <c r="O2473" s="4" t="str">
        <f t="shared" si="115"/>
        <v>OTHERS</v>
      </c>
      <c r="P2473" s="4" t="str">
        <f t="shared" si="116"/>
        <v>OTHERS</v>
      </c>
    </row>
    <row r="2474" spans="1:16" x14ac:dyDescent="0.3">
      <c r="A2474" s="4">
        <v>8</v>
      </c>
      <c r="B2474" t="s">
        <v>11</v>
      </c>
      <c r="C2474" s="4">
        <v>25.96</v>
      </c>
      <c r="D2474" t="s">
        <v>24</v>
      </c>
      <c r="E2474" t="s">
        <v>13</v>
      </c>
      <c r="F2474" s="4" t="s">
        <v>27</v>
      </c>
      <c r="G2474" s="4" t="s">
        <v>39</v>
      </c>
      <c r="H2474" s="4">
        <v>2</v>
      </c>
      <c r="I2474" s="4">
        <v>12</v>
      </c>
      <c r="J2474" s="1">
        <v>45643</v>
      </c>
      <c r="K2474" s="2">
        <v>3.354398148148148E-2</v>
      </c>
      <c r="M2474" s="4" t="str">
        <f t="shared" si="114"/>
        <v>LOW</v>
      </c>
      <c r="N2474" s="4" t="str" cm="1">
        <f t="array" ref="N2474">_xlfn.IFS(C2474&gt;35,"HIGH",C2474&gt;25,"MIDDLE",TRUE,"LOW")</f>
        <v>MIDDLE</v>
      </c>
      <c r="O2474" s="4" t="str">
        <f t="shared" si="115"/>
        <v>OTHERS</v>
      </c>
      <c r="P2474" s="4" t="str">
        <f t="shared" si="116"/>
        <v>PREMINUM MORNING</v>
      </c>
    </row>
    <row r="2475" spans="1:16" x14ac:dyDescent="0.3">
      <c r="A2475" s="4">
        <v>8</v>
      </c>
      <c r="B2475" t="s">
        <v>11</v>
      </c>
      <c r="C2475" s="4">
        <v>35.76</v>
      </c>
      <c r="D2475" t="s">
        <v>29</v>
      </c>
      <c r="E2475" t="s">
        <v>13</v>
      </c>
      <c r="F2475" s="4" t="s">
        <v>27</v>
      </c>
      <c r="G2475" s="4" t="s">
        <v>39</v>
      </c>
      <c r="H2475" s="4">
        <v>2</v>
      </c>
      <c r="I2475" s="4">
        <v>12</v>
      </c>
      <c r="J2475" s="1">
        <v>45643</v>
      </c>
      <c r="K2475" s="2">
        <v>3.6488425925925924E-2</v>
      </c>
      <c r="M2475" s="4" t="str">
        <f t="shared" si="114"/>
        <v>HIGH</v>
      </c>
      <c r="N2475" s="4" t="str" cm="1">
        <f t="array" ref="N2475">_xlfn.IFS(C2475&gt;35,"HIGH",C2475&gt;25,"MIDDLE",TRUE,"LOW")</f>
        <v>HIGH</v>
      </c>
      <c r="O2475" s="4" t="str">
        <f t="shared" si="115"/>
        <v>PREMINUM MORNING</v>
      </c>
      <c r="P2475" s="4" t="str">
        <f t="shared" si="116"/>
        <v>PREMINUM MORNING</v>
      </c>
    </row>
    <row r="2476" spans="1:16" x14ac:dyDescent="0.3">
      <c r="A2476" s="4">
        <v>10</v>
      </c>
      <c r="B2476" t="s">
        <v>11</v>
      </c>
      <c r="C2476" s="4">
        <v>30.86</v>
      </c>
      <c r="D2476" t="s">
        <v>19</v>
      </c>
      <c r="E2476" t="s">
        <v>13</v>
      </c>
      <c r="F2476" s="4" t="s">
        <v>27</v>
      </c>
      <c r="G2476" s="4" t="s">
        <v>39</v>
      </c>
      <c r="H2476" s="4">
        <v>2</v>
      </c>
      <c r="I2476" s="4">
        <v>12</v>
      </c>
      <c r="J2476" s="1">
        <v>45643</v>
      </c>
      <c r="K2476" s="2">
        <v>3.4091435185185183E-2</v>
      </c>
      <c r="M2476" s="4" t="str">
        <f t="shared" si="114"/>
        <v>LOW</v>
      </c>
      <c r="N2476" s="4" t="str" cm="1">
        <f t="array" ref="N2476">_xlfn.IFS(C2476&gt;35,"HIGH",C2476&gt;25,"MIDDLE",TRUE,"LOW")</f>
        <v>MIDDLE</v>
      </c>
      <c r="O2476" s="4" t="str">
        <f t="shared" si="115"/>
        <v>OTHERS</v>
      </c>
      <c r="P2476" s="4" t="str">
        <f t="shared" si="116"/>
        <v>PREMINUM MORNING</v>
      </c>
    </row>
    <row r="2477" spans="1:16" x14ac:dyDescent="0.3">
      <c r="A2477" s="4">
        <v>16</v>
      </c>
      <c r="B2477" t="s">
        <v>11</v>
      </c>
      <c r="C2477" s="4">
        <v>25.96</v>
      </c>
      <c r="D2477" t="s">
        <v>18</v>
      </c>
      <c r="E2477" t="s">
        <v>17</v>
      </c>
      <c r="F2477" s="4" t="s">
        <v>27</v>
      </c>
      <c r="G2477" s="4" t="s">
        <v>39</v>
      </c>
      <c r="H2477" s="4">
        <v>2</v>
      </c>
      <c r="I2477" s="4">
        <v>12</v>
      </c>
      <c r="J2477" s="1">
        <v>45643</v>
      </c>
      <c r="K2477" s="2">
        <v>1.5684027777777776E-2</v>
      </c>
      <c r="M2477" s="4" t="str">
        <f t="shared" si="114"/>
        <v>LOW</v>
      </c>
      <c r="N2477" s="4" t="str" cm="1">
        <f t="array" ref="N2477">_xlfn.IFS(C2477&gt;35,"HIGH",C2477&gt;25,"MIDDLE",TRUE,"LOW")</f>
        <v>MIDDLE</v>
      </c>
      <c r="O2477" s="4" t="str">
        <f t="shared" si="115"/>
        <v>OTHERS</v>
      </c>
      <c r="P2477" s="4" t="str">
        <f t="shared" si="116"/>
        <v>OTHERS</v>
      </c>
    </row>
    <row r="2478" spans="1:16" x14ac:dyDescent="0.3">
      <c r="A2478" s="4">
        <v>16</v>
      </c>
      <c r="B2478" t="s">
        <v>11</v>
      </c>
      <c r="C2478" s="4">
        <v>35.76</v>
      </c>
      <c r="D2478" t="s">
        <v>21</v>
      </c>
      <c r="E2478" t="s">
        <v>17</v>
      </c>
      <c r="F2478" s="4" t="s">
        <v>27</v>
      </c>
      <c r="G2478" s="4" t="s">
        <v>39</v>
      </c>
      <c r="H2478" s="4">
        <v>2</v>
      </c>
      <c r="I2478" s="4">
        <v>12</v>
      </c>
      <c r="J2478" s="1">
        <v>45643</v>
      </c>
      <c r="K2478" s="2">
        <v>1.6395833333333332E-2</v>
      </c>
      <c r="M2478" s="4" t="str">
        <f t="shared" si="114"/>
        <v>HIGH</v>
      </c>
      <c r="N2478" s="4" t="str" cm="1">
        <f t="array" ref="N2478">_xlfn.IFS(C2478&gt;35,"HIGH",C2478&gt;25,"MIDDLE",TRUE,"LOW")</f>
        <v>HIGH</v>
      </c>
      <c r="O2478" s="4" t="str">
        <f t="shared" si="115"/>
        <v>OTHERS</v>
      </c>
      <c r="P2478" s="4" t="str">
        <f t="shared" si="116"/>
        <v>PREMINUM MORNING</v>
      </c>
    </row>
    <row r="2479" spans="1:16" x14ac:dyDescent="0.3">
      <c r="A2479" s="4">
        <v>17</v>
      </c>
      <c r="B2479" t="s">
        <v>11</v>
      </c>
      <c r="C2479" s="4">
        <v>35.76</v>
      </c>
      <c r="D2479" t="s">
        <v>29</v>
      </c>
      <c r="E2479" t="s">
        <v>20</v>
      </c>
      <c r="F2479" s="4" t="s">
        <v>27</v>
      </c>
      <c r="G2479" s="4" t="s">
        <v>39</v>
      </c>
      <c r="H2479" s="4">
        <v>2</v>
      </c>
      <c r="I2479" s="4">
        <v>12</v>
      </c>
      <c r="J2479" s="1">
        <v>45643</v>
      </c>
      <c r="K2479" s="2">
        <v>9.9780092592592594E-3</v>
      </c>
      <c r="M2479" s="4" t="str">
        <f t="shared" si="114"/>
        <v>HIGH</v>
      </c>
      <c r="N2479" s="4" t="str" cm="1">
        <f t="array" ref="N2479">_xlfn.IFS(C2479&gt;35,"HIGH",C2479&gt;25,"MIDDLE",TRUE,"LOW")</f>
        <v>HIGH</v>
      </c>
      <c r="O2479" s="4" t="str">
        <f t="shared" si="115"/>
        <v>OTHERS</v>
      </c>
      <c r="P2479" s="4" t="str">
        <f t="shared" si="116"/>
        <v>PREMINUM MORNING</v>
      </c>
    </row>
    <row r="2480" spans="1:16" x14ac:dyDescent="0.3">
      <c r="A2480" s="4">
        <v>18</v>
      </c>
      <c r="B2480" t="s">
        <v>11</v>
      </c>
      <c r="C2480" s="4">
        <v>35.76</v>
      </c>
      <c r="D2480" t="s">
        <v>21</v>
      </c>
      <c r="E2480" t="s">
        <v>20</v>
      </c>
      <c r="F2480" s="4" t="s">
        <v>27</v>
      </c>
      <c r="G2480" s="4" t="s">
        <v>39</v>
      </c>
      <c r="H2480" s="4">
        <v>2</v>
      </c>
      <c r="I2480" s="4">
        <v>12</v>
      </c>
      <c r="J2480" s="1">
        <v>45643</v>
      </c>
      <c r="K2480" s="2">
        <v>3.8163194444444444E-2</v>
      </c>
      <c r="M2480" s="4" t="str">
        <f t="shared" si="114"/>
        <v>HIGH</v>
      </c>
      <c r="N2480" s="4" t="str" cm="1">
        <f t="array" ref="N2480">_xlfn.IFS(C2480&gt;35,"HIGH",C2480&gt;25,"MIDDLE",TRUE,"LOW")</f>
        <v>HIGH</v>
      </c>
      <c r="O2480" s="4" t="str">
        <f t="shared" si="115"/>
        <v>OTHERS</v>
      </c>
      <c r="P2480" s="4" t="str">
        <f t="shared" si="116"/>
        <v>PREMINUM MORNING</v>
      </c>
    </row>
    <row r="2481" spans="1:16" x14ac:dyDescent="0.3">
      <c r="A2481" s="4">
        <v>9</v>
      </c>
      <c r="B2481" t="s">
        <v>11</v>
      </c>
      <c r="C2481" s="4">
        <v>35.76</v>
      </c>
      <c r="D2481" t="s">
        <v>12</v>
      </c>
      <c r="E2481" t="s">
        <v>13</v>
      </c>
      <c r="F2481" s="4" t="s">
        <v>28</v>
      </c>
      <c r="G2481" s="4" t="s">
        <v>39</v>
      </c>
      <c r="H2481" s="4">
        <v>3</v>
      </c>
      <c r="I2481" s="4">
        <v>12</v>
      </c>
      <c r="J2481" s="1">
        <v>45644</v>
      </c>
      <c r="K2481" s="2">
        <v>2.116087962962963E-2</v>
      </c>
      <c r="M2481" s="4" t="str">
        <f t="shared" si="114"/>
        <v>HIGH</v>
      </c>
      <c r="N2481" s="4" t="str" cm="1">
        <f t="array" ref="N2481">_xlfn.IFS(C2481&gt;35,"HIGH",C2481&gt;25,"MIDDLE",TRUE,"LOW")</f>
        <v>HIGH</v>
      </c>
      <c r="O2481" s="4" t="str">
        <f t="shared" si="115"/>
        <v>PREMINUM MORNING</v>
      </c>
      <c r="P2481" s="4" t="str">
        <f t="shared" si="116"/>
        <v>PREMINUM MORNING</v>
      </c>
    </row>
    <row r="2482" spans="1:16" x14ac:dyDescent="0.3">
      <c r="A2482" s="4">
        <v>10</v>
      </c>
      <c r="B2482" t="s">
        <v>11</v>
      </c>
      <c r="C2482" s="4">
        <v>30.86</v>
      </c>
      <c r="D2482" t="s">
        <v>19</v>
      </c>
      <c r="E2482" t="s">
        <v>13</v>
      </c>
      <c r="F2482" s="4" t="s">
        <v>28</v>
      </c>
      <c r="G2482" s="4" t="s">
        <v>39</v>
      </c>
      <c r="H2482" s="4">
        <v>3</v>
      </c>
      <c r="I2482" s="4">
        <v>12</v>
      </c>
      <c r="J2482" s="1">
        <v>45644</v>
      </c>
      <c r="K2482" s="2">
        <v>9.4328703703703708E-4</v>
      </c>
      <c r="M2482" s="4" t="str">
        <f t="shared" si="114"/>
        <v>LOW</v>
      </c>
      <c r="N2482" s="4" t="str" cm="1">
        <f t="array" ref="N2482">_xlfn.IFS(C2482&gt;35,"HIGH",C2482&gt;25,"MIDDLE",TRUE,"LOW")</f>
        <v>MIDDLE</v>
      </c>
      <c r="O2482" s="4" t="str">
        <f t="shared" si="115"/>
        <v>OTHERS</v>
      </c>
      <c r="P2482" s="4" t="str">
        <f t="shared" si="116"/>
        <v>PREMINUM MORNING</v>
      </c>
    </row>
    <row r="2483" spans="1:16" x14ac:dyDescent="0.3">
      <c r="A2483" s="4">
        <v>10</v>
      </c>
      <c r="B2483" t="s">
        <v>11</v>
      </c>
      <c r="C2483" s="4">
        <v>35.76</v>
      </c>
      <c r="D2483" t="s">
        <v>12</v>
      </c>
      <c r="E2483" t="s">
        <v>13</v>
      </c>
      <c r="F2483" s="4" t="s">
        <v>28</v>
      </c>
      <c r="G2483" s="4" t="s">
        <v>39</v>
      </c>
      <c r="H2483" s="4">
        <v>3</v>
      </c>
      <c r="I2483" s="4">
        <v>12</v>
      </c>
      <c r="J2483" s="1">
        <v>45644</v>
      </c>
      <c r="K2483" s="2">
        <v>2.1076388888888889E-3</v>
      </c>
      <c r="M2483" s="4" t="str">
        <f t="shared" si="114"/>
        <v>HIGH</v>
      </c>
      <c r="N2483" s="4" t="str" cm="1">
        <f t="array" ref="N2483">_xlfn.IFS(C2483&gt;35,"HIGH",C2483&gt;25,"MIDDLE",TRUE,"LOW")</f>
        <v>HIGH</v>
      </c>
      <c r="O2483" s="4" t="str">
        <f t="shared" si="115"/>
        <v>PREMINUM MORNING</v>
      </c>
      <c r="P2483" s="4" t="str">
        <f t="shared" si="116"/>
        <v>PREMINUM MORNING</v>
      </c>
    </row>
    <row r="2484" spans="1:16" x14ac:dyDescent="0.3">
      <c r="A2484" s="4">
        <v>10</v>
      </c>
      <c r="B2484" t="s">
        <v>11</v>
      </c>
      <c r="C2484" s="4">
        <v>35.76</v>
      </c>
      <c r="D2484" t="s">
        <v>29</v>
      </c>
      <c r="E2484" t="s">
        <v>13</v>
      </c>
      <c r="F2484" s="4" t="s">
        <v>28</v>
      </c>
      <c r="G2484" s="4" t="s">
        <v>39</v>
      </c>
      <c r="H2484" s="4">
        <v>3</v>
      </c>
      <c r="I2484" s="4">
        <v>12</v>
      </c>
      <c r="J2484" s="1">
        <v>45644</v>
      </c>
      <c r="K2484" s="2">
        <v>2.8171296296296295E-3</v>
      </c>
      <c r="M2484" s="4" t="str">
        <f t="shared" si="114"/>
        <v>HIGH</v>
      </c>
      <c r="N2484" s="4" t="str" cm="1">
        <f t="array" ref="N2484">_xlfn.IFS(C2484&gt;35,"HIGH",C2484&gt;25,"MIDDLE",TRUE,"LOW")</f>
        <v>HIGH</v>
      </c>
      <c r="O2484" s="4" t="str">
        <f t="shared" si="115"/>
        <v>PREMINUM MORNING</v>
      </c>
      <c r="P2484" s="4" t="str">
        <f t="shared" si="116"/>
        <v>PREMINUM MORNING</v>
      </c>
    </row>
    <row r="2485" spans="1:16" x14ac:dyDescent="0.3">
      <c r="A2485" s="4">
        <v>10</v>
      </c>
      <c r="B2485" t="s">
        <v>11</v>
      </c>
      <c r="C2485" s="4">
        <v>35.76</v>
      </c>
      <c r="D2485" t="s">
        <v>16</v>
      </c>
      <c r="E2485" t="s">
        <v>13</v>
      </c>
      <c r="F2485" s="4" t="s">
        <v>30</v>
      </c>
      <c r="G2485" s="4" t="s">
        <v>39</v>
      </c>
      <c r="H2485" s="4">
        <v>4</v>
      </c>
      <c r="I2485" s="4">
        <v>12</v>
      </c>
      <c r="J2485" s="1">
        <v>45645</v>
      </c>
      <c r="K2485" s="2">
        <v>8.4629629629629638E-3</v>
      </c>
      <c r="M2485" s="4" t="str">
        <f t="shared" si="114"/>
        <v>HIGH</v>
      </c>
      <c r="N2485" s="4" t="str" cm="1">
        <f t="array" ref="N2485">_xlfn.IFS(C2485&gt;35,"HIGH",C2485&gt;25,"MIDDLE",TRUE,"LOW")</f>
        <v>HIGH</v>
      </c>
      <c r="O2485" s="4" t="str">
        <f t="shared" si="115"/>
        <v>PREMINUM MORNING</v>
      </c>
      <c r="P2485" s="4" t="str">
        <f t="shared" si="116"/>
        <v>PREMINUM MORNING</v>
      </c>
    </row>
    <row r="2486" spans="1:16" x14ac:dyDescent="0.3">
      <c r="A2486" s="4">
        <v>11</v>
      </c>
      <c r="B2486" t="s">
        <v>11</v>
      </c>
      <c r="C2486" s="4">
        <v>30.86</v>
      </c>
      <c r="D2486" t="s">
        <v>19</v>
      </c>
      <c r="E2486" t="s">
        <v>13</v>
      </c>
      <c r="F2486" s="4" t="s">
        <v>30</v>
      </c>
      <c r="G2486" s="4" t="s">
        <v>39</v>
      </c>
      <c r="H2486" s="4">
        <v>4</v>
      </c>
      <c r="I2486" s="4">
        <v>12</v>
      </c>
      <c r="J2486" s="1">
        <v>45645</v>
      </c>
      <c r="K2486" s="2">
        <v>1.7869212962962965E-2</v>
      </c>
      <c r="M2486" s="4" t="str">
        <f t="shared" si="114"/>
        <v>LOW</v>
      </c>
      <c r="N2486" s="4" t="str" cm="1">
        <f t="array" ref="N2486">_xlfn.IFS(C2486&gt;35,"HIGH",C2486&gt;25,"MIDDLE",TRUE,"LOW")</f>
        <v>MIDDLE</v>
      </c>
      <c r="O2486" s="4" t="str">
        <f t="shared" si="115"/>
        <v>OTHERS</v>
      </c>
      <c r="P2486" s="4" t="str">
        <f t="shared" si="116"/>
        <v>PREMINUM MORNING</v>
      </c>
    </row>
    <row r="2487" spans="1:16" x14ac:dyDescent="0.3">
      <c r="A2487" s="4">
        <v>12</v>
      </c>
      <c r="B2487" t="s">
        <v>11</v>
      </c>
      <c r="C2487" s="4">
        <v>21.06</v>
      </c>
      <c r="D2487" t="s">
        <v>26</v>
      </c>
      <c r="E2487" t="s">
        <v>17</v>
      </c>
      <c r="F2487" s="4" t="s">
        <v>30</v>
      </c>
      <c r="G2487" s="4" t="s">
        <v>39</v>
      </c>
      <c r="H2487" s="4">
        <v>4</v>
      </c>
      <c r="I2487" s="4">
        <v>12</v>
      </c>
      <c r="J2487" s="1">
        <v>45645</v>
      </c>
      <c r="K2487" s="2">
        <v>7.5497685185185182E-3</v>
      </c>
      <c r="M2487" s="4" t="str">
        <f t="shared" si="114"/>
        <v>LOW</v>
      </c>
      <c r="N2487" s="4" t="str" cm="1">
        <f t="array" ref="N2487">_xlfn.IFS(C2487&gt;35,"HIGH",C2487&gt;25,"MIDDLE",TRUE,"LOW")</f>
        <v>LOW</v>
      </c>
      <c r="O2487" s="4" t="str">
        <f t="shared" si="115"/>
        <v>OTHERS</v>
      </c>
      <c r="P2487" s="4" t="str">
        <f t="shared" si="116"/>
        <v>OTHERS</v>
      </c>
    </row>
    <row r="2488" spans="1:16" x14ac:dyDescent="0.3">
      <c r="A2488" s="4">
        <v>13</v>
      </c>
      <c r="B2488" t="s">
        <v>11</v>
      </c>
      <c r="C2488" s="4">
        <v>35.76</v>
      </c>
      <c r="D2488" t="s">
        <v>16</v>
      </c>
      <c r="E2488" t="s">
        <v>17</v>
      </c>
      <c r="F2488" s="4" t="s">
        <v>30</v>
      </c>
      <c r="G2488" s="4" t="s">
        <v>39</v>
      </c>
      <c r="H2488" s="4">
        <v>4</v>
      </c>
      <c r="I2488" s="4">
        <v>12</v>
      </c>
      <c r="J2488" s="1">
        <v>45645</v>
      </c>
      <c r="K2488" s="2">
        <v>2.7046296296296297E-2</v>
      </c>
      <c r="M2488" s="4" t="str">
        <f t="shared" si="114"/>
        <v>HIGH</v>
      </c>
      <c r="N2488" s="4" t="str" cm="1">
        <f t="array" ref="N2488">_xlfn.IFS(C2488&gt;35,"HIGH",C2488&gt;25,"MIDDLE",TRUE,"LOW")</f>
        <v>HIGH</v>
      </c>
      <c r="O2488" s="4" t="str">
        <f t="shared" si="115"/>
        <v>OTHERS</v>
      </c>
      <c r="P2488" s="4" t="str">
        <f t="shared" si="116"/>
        <v>PREMINUM MORNING</v>
      </c>
    </row>
    <row r="2489" spans="1:16" x14ac:dyDescent="0.3">
      <c r="A2489" s="4">
        <v>19</v>
      </c>
      <c r="B2489" t="s">
        <v>11</v>
      </c>
      <c r="C2489" s="4">
        <v>35.76</v>
      </c>
      <c r="D2489" t="s">
        <v>29</v>
      </c>
      <c r="E2489" t="s">
        <v>20</v>
      </c>
      <c r="F2489" s="4" t="s">
        <v>30</v>
      </c>
      <c r="G2489" s="4" t="s">
        <v>39</v>
      </c>
      <c r="H2489" s="4">
        <v>4</v>
      </c>
      <c r="I2489" s="4">
        <v>12</v>
      </c>
      <c r="J2489" s="1">
        <v>45645</v>
      </c>
      <c r="K2489" s="2">
        <v>6.5162037037037033E-4</v>
      </c>
      <c r="M2489" s="4" t="str">
        <f t="shared" si="114"/>
        <v>HIGH</v>
      </c>
      <c r="N2489" s="4" t="str" cm="1">
        <f t="array" ref="N2489">_xlfn.IFS(C2489&gt;35,"HIGH",C2489&gt;25,"MIDDLE",TRUE,"LOW")</f>
        <v>HIGH</v>
      </c>
      <c r="O2489" s="4" t="str">
        <f t="shared" si="115"/>
        <v>OTHERS</v>
      </c>
      <c r="P2489" s="4" t="str">
        <f t="shared" si="116"/>
        <v>PREMINUM MORNING</v>
      </c>
    </row>
    <row r="2490" spans="1:16" x14ac:dyDescent="0.3">
      <c r="A2490" s="4">
        <v>19</v>
      </c>
      <c r="B2490" t="s">
        <v>11</v>
      </c>
      <c r="C2490" s="4">
        <v>35.76</v>
      </c>
      <c r="D2490" t="s">
        <v>29</v>
      </c>
      <c r="E2490" t="s">
        <v>20</v>
      </c>
      <c r="F2490" s="4" t="s">
        <v>30</v>
      </c>
      <c r="G2490" s="4" t="s">
        <v>39</v>
      </c>
      <c r="H2490" s="4">
        <v>4</v>
      </c>
      <c r="I2490" s="4">
        <v>12</v>
      </c>
      <c r="J2490" s="1">
        <v>45645</v>
      </c>
      <c r="K2490" s="2">
        <v>7.4143518518518525E-3</v>
      </c>
      <c r="M2490" s="4" t="str">
        <f t="shared" si="114"/>
        <v>HIGH</v>
      </c>
      <c r="N2490" s="4" t="str" cm="1">
        <f t="array" ref="N2490">_xlfn.IFS(C2490&gt;35,"HIGH",C2490&gt;25,"MIDDLE",TRUE,"LOW")</f>
        <v>HIGH</v>
      </c>
      <c r="O2490" s="4" t="str">
        <f t="shared" si="115"/>
        <v>OTHERS</v>
      </c>
      <c r="P2490" s="4" t="str">
        <f t="shared" si="116"/>
        <v>PREMINUM MORNING</v>
      </c>
    </row>
    <row r="2491" spans="1:16" x14ac:dyDescent="0.3">
      <c r="A2491" s="4">
        <v>19</v>
      </c>
      <c r="B2491" t="s">
        <v>11</v>
      </c>
      <c r="C2491" s="4">
        <v>30.86</v>
      </c>
      <c r="D2491" t="s">
        <v>19</v>
      </c>
      <c r="E2491" t="s">
        <v>20</v>
      </c>
      <c r="F2491" s="4" t="s">
        <v>30</v>
      </c>
      <c r="G2491" s="4" t="s">
        <v>39</v>
      </c>
      <c r="H2491" s="4">
        <v>4</v>
      </c>
      <c r="I2491" s="4">
        <v>12</v>
      </c>
      <c r="J2491" s="1">
        <v>45645</v>
      </c>
      <c r="K2491" s="2">
        <v>3.3541666666666664E-2</v>
      </c>
      <c r="M2491" s="4" t="str">
        <f t="shared" si="114"/>
        <v>LOW</v>
      </c>
      <c r="N2491" s="4" t="str" cm="1">
        <f t="array" ref="N2491">_xlfn.IFS(C2491&gt;35,"HIGH",C2491&gt;25,"MIDDLE",TRUE,"LOW")</f>
        <v>MIDDLE</v>
      </c>
      <c r="O2491" s="4" t="str">
        <f t="shared" si="115"/>
        <v>OTHERS</v>
      </c>
      <c r="P2491" s="4" t="str">
        <f t="shared" si="116"/>
        <v>OTHERS</v>
      </c>
    </row>
    <row r="2492" spans="1:16" x14ac:dyDescent="0.3">
      <c r="A2492" s="4">
        <v>19</v>
      </c>
      <c r="B2492" t="s">
        <v>11</v>
      </c>
      <c r="C2492" s="4">
        <v>35.76</v>
      </c>
      <c r="D2492" t="s">
        <v>16</v>
      </c>
      <c r="E2492" t="s">
        <v>20</v>
      </c>
      <c r="F2492" s="4" t="s">
        <v>30</v>
      </c>
      <c r="G2492" s="4" t="s">
        <v>39</v>
      </c>
      <c r="H2492" s="4">
        <v>4</v>
      </c>
      <c r="I2492" s="4">
        <v>12</v>
      </c>
      <c r="J2492" s="1">
        <v>45645</v>
      </c>
      <c r="K2492" s="2">
        <v>3.4520833333333334E-2</v>
      </c>
      <c r="M2492" s="4" t="str">
        <f t="shared" si="114"/>
        <v>HIGH</v>
      </c>
      <c r="N2492" s="4" t="str" cm="1">
        <f t="array" ref="N2492">_xlfn.IFS(C2492&gt;35,"HIGH",C2492&gt;25,"MIDDLE",TRUE,"LOW")</f>
        <v>HIGH</v>
      </c>
      <c r="O2492" s="4" t="str">
        <f t="shared" si="115"/>
        <v>OTHERS</v>
      </c>
      <c r="P2492" s="4" t="str">
        <f t="shared" si="116"/>
        <v>PREMINUM MORNING</v>
      </c>
    </row>
    <row r="2493" spans="1:16" x14ac:dyDescent="0.3">
      <c r="A2493" s="4">
        <v>21</v>
      </c>
      <c r="B2493" t="s">
        <v>11</v>
      </c>
      <c r="C2493" s="4">
        <v>35.76</v>
      </c>
      <c r="D2493" t="s">
        <v>12</v>
      </c>
      <c r="E2493" t="s">
        <v>20</v>
      </c>
      <c r="F2493" s="4" t="s">
        <v>30</v>
      </c>
      <c r="G2493" s="4" t="s">
        <v>39</v>
      </c>
      <c r="H2493" s="4">
        <v>4</v>
      </c>
      <c r="I2493" s="4">
        <v>12</v>
      </c>
      <c r="J2493" s="1">
        <v>45645</v>
      </c>
      <c r="K2493" s="2">
        <v>5.6921296296296294E-3</v>
      </c>
      <c r="M2493" s="4" t="str">
        <f t="shared" si="114"/>
        <v>HIGH</v>
      </c>
      <c r="N2493" s="4" t="str" cm="1">
        <f t="array" ref="N2493">_xlfn.IFS(C2493&gt;35,"HIGH",C2493&gt;25,"MIDDLE",TRUE,"LOW")</f>
        <v>HIGH</v>
      </c>
      <c r="O2493" s="4" t="str">
        <f t="shared" si="115"/>
        <v>OTHERS</v>
      </c>
      <c r="P2493" s="4" t="str">
        <f t="shared" si="116"/>
        <v>PREMINUM MORNING</v>
      </c>
    </row>
    <row r="2494" spans="1:16" x14ac:dyDescent="0.3">
      <c r="A2494" s="4">
        <v>21</v>
      </c>
      <c r="B2494" t="s">
        <v>11</v>
      </c>
      <c r="C2494" s="4">
        <v>35.76</v>
      </c>
      <c r="D2494" t="s">
        <v>29</v>
      </c>
      <c r="E2494" t="s">
        <v>20</v>
      </c>
      <c r="F2494" s="4" t="s">
        <v>30</v>
      </c>
      <c r="G2494" s="4" t="s">
        <v>39</v>
      </c>
      <c r="H2494" s="4">
        <v>4</v>
      </c>
      <c r="I2494" s="4">
        <v>12</v>
      </c>
      <c r="J2494" s="1">
        <v>45645</v>
      </c>
      <c r="K2494" s="2">
        <v>6.4317129629629637E-3</v>
      </c>
      <c r="M2494" s="4" t="str">
        <f t="shared" si="114"/>
        <v>HIGH</v>
      </c>
      <c r="N2494" s="4" t="str" cm="1">
        <f t="array" ref="N2494">_xlfn.IFS(C2494&gt;35,"HIGH",C2494&gt;25,"MIDDLE",TRUE,"LOW")</f>
        <v>HIGH</v>
      </c>
      <c r="O2494" s="4" t="str">
        <f t="shared" si="115"/>
        <v>OTHERS</v>
      </c>
      <c r="P2494" s="4" t="str">
        <f t="shared" si="116"/>
        <v>PREMINUM MORNING</v>
      </c>
    </row>
    <row r="2495" spans="1:16" x14ac:dyDescent="0.3">
      <c r="A2495" s="4">
        <v>8</v>
      </c>
      <c r="B2495" t="s">
        <v>11</v>
      </c>
      <c r="C2495" s="4">
        <v>25.96</v>
      </c>
      <c r="D2495" t="s">
        <v>24</v>
      </c>
      <c r="E2495" t="s">
        <v>13</v>
      </c>
      <c r="F2495" s="4" t="s">
        <v>14</v>
      </c>
      <c r="G2495" s="4" t="s">
        <v>39</v>
      </c>
      <c r="H2495" s="4">
        <v>5</v>
      </c>
      <c r="I2495" s="4">
        <v>12</v>
      </c>
      <c r="J2495" s="1">
        <v>45646</v>
      </c>
      <c r="K2495" s="2">
        <v>1.0324074074074074E-2</v>
      </c>
      <c r="M2495" s="4" t="str">
        <f t="shared" si="114"/>
        <v>LOW</v>
      </c>
      <c r="N2495" s="4" t="str" cm="1">
        <f t="array" ref="N2495">_xlfn.IFS(C2495&gt;35,"HIGH",C2495&gt;25,"MIDDLE",TRUE,"LOW")</f>
        <v>MIDDLE</v>
      </c>
      <c r="O2495" s="4" t="str">
        <f t="shared" si="115"/>
        <v>OTHERS</v>
      </c>
      <c r="P2495" s="4" t="str">
        <f t="shared" si="116"/>
        <v>PREMINUM MORNING</v>
      </c>
    </row>
    <row r="2496" spans="1:16" x14ac:dyDescent="0.3">
      <c r="A2496" s="4">
        <v>9</v>
      </c>
      <c r="B2496" t="s">
        <v>11</v>
      </c>
      <c r="C2496" s="4">
        <v>30.86</v>
      </c>
      <c r="D2496" t="s">
        <v>19</v>
      </c>
      <c r="E2496" t="s">
        <v>13</v>
      </c>
      <c r="F2496" s="4" t="s">
        <v>14</v>
      </c>
      <c r="G2496" s="4" t="s">
        <v>39</v>
      </c>
      <c r="H2496" s="4">
        <v>5</v>
      </c>
      <c r="I2496" s="4">
        <v>12</v>
      </c>
      <c r="J2496" s="1">
        <v>45646</v>
      </c>
      <c r="K2496" s="2">
        <v>2.7429398148148151E-2</v>
      </c>
      <c r="M2496" s="4" t="str">
        <f t="shared" si="114"/>
        <v>LOW</v>
      </c>
      <c r="N2496" s="4" t="str" cm="1">
        <f t="array" ref="N2496">_xlfn.IFS(C2496&gt;35,"HIGH",C2496&gt;25,"MIDDLE",TRUE,"LOW")</f>
        <v>MIDDLE</v>
      </c>
      <c r="O2496" s="4" t="str">
        <f t="shared" si="115"/>
        <v>OTHERS</v>
      </c>
      <c r="P2496" s="4" t="str">
        <f t="shared" si="116"/>
        <v>PREMINUM MORNING</v>
      </c>
    </row>
    <row r="2497" spans="1:16" x14ac:dyDescent="0.3">
      <c r="A2497" s="4">
        <v>10</v>
      </c>
      <c r="B2497" t="s">
        <v>11</v>
      </c>
      <c r="C2497" s="4">
        <v>35.76</v>
      </c>
      <c r="D2497" t="s">
        <v>29</v>
      </c>
      <c r="E2497" t="s">
        <v>13</v>
      </c>
      <c r="F2497" s="4" t="s">
        <v>14</v>
      </c>
      <c r="G2497" s="4" t="s">
        <v>39</v>
      </c>
      <c r="H2497" s="4">
        <v>5</v>
      </c>
      <c r="I2497" s="4">
        <v>12</v>
      </c>
      <c r="J2497" s="1">
        <v>45646</v>
      </c>
      <c r="K2497" s="2">
        <v>8.8287037037037032E-3</v>
      </c>
      <c r="M2497" s="4" t="str">
        <f t="shared" si="114"/>
        <v>HIGH</v>
      </c>
      <c r="N2497" s="4" t="str" cm="1">
        <f t="array" ref="N2497">_xlfn.IFS(C2497&gt;35,"HIGH",C2497&gt;25,"MIDDLE",TRUE,"LOW")</f>
        <v>HIGH</v>
      </c>
      <c r="O2497" s="4" t="str">
        <f t="shared" si="115"/>
        <v>PREMINUM MORNING</v>
      </c>
      <c r="P2497" s="4" t="str">
        <f t="shared" si="116"/>
        <v>PREMINUM MORNING</v>
      </c>
    </row>
    <row r="2498" spans="1:16" x14ac:dyDescent="0.3">
      <c r="A2498" s="4">
        <v>10</v>
      </c>
      <c r="B2498" t="s">
        <v>11</v>
      </c>
      <c r="C2498" s="4">
        <v>25.96</v>
      </c>
      <c r="D2498" t="s">
        <v>24</v>
      </c>
      <c r="E2498" t="s">
        <v>13</v>
      </c>
      <c r="F2498" s="4" t="s">
        <v>14</v>
      </c>
      <c r="G2498" s="4" t="s">
        <v>39</v>
      </c>
      <c r="H2498" s="4">
        <v>5</v>
      </c>
      <c r="I2498" s="4">
        <v>12</v>
      </c>
      <c r="J2498" s="1">
        <v>45646</v>
      </c>
      <c r="K2498" s="2">
        <v>3.8531249999999996E-2</v>
      </c>
      <c r="M2498" s="4" t="str">
        <f t="shared" si="114"/>
        <v>LOW</v>
      </c>
      <c r="N2498" s="4" t="str" cm="1">
        <f t="array" ref="N2498">_xlfn.IFS(C2498&gt;35,"HIGH",C2498&gt;25,"MIDDLE",TRUE,"LOW")</f>
        <v>MIDDLE</v>
      </c>
      <c r="O2498" s="4" t="str">
        <f t="shared" si="115"/>
        <v>OTHERS</v>
      </c>
      <c r="P2498" s="4" t="str">
        <f t="shared" si="116"/>
        <v>PREMINUM MORNING</v>
      </c>
    </row>
    <row r="2499" spans="1:16" x14ac:dyDescent="0.3">
      <c r="A2499" s="4">
        <v>12</v>
      </c>
      <c r="B2499" t="s">
        <v>11</v>
      </c>
      <c r="C2499" s="4">
        <v>21.06</v>
      </c>
      <c r="D2499" t="s">
        <v>26</v>
      </c>
      <c r="E2499" t="s">
        <v>17</v>
      </c>
      <c r="F2499" s="4" t="s">
        <v>14</v>
      </c>
      <c r="G2499" s="4" t="s">
        <v>39</v>
      </c>
      <c r="H2499" s="4">
        <v>5</v>
      </c>
      <c r="I2499" s="4">
        <v>12</v>
      </c>
      <c r="J2499" s="1">
        <v>45646</v>
      </c>
      <c r="K2499" s="2">
        <v>1.4782407407407407E-2</v>
      </c>
      <c r="M2499" s="4" t="str">
        <f t="shared" ref="M2499:M2562" si="117">IF(C2499&gt;35,"HIGH","LOW")</f>
        <v>LOW</v>
      </c>
      <c r="N2499" s="4" t="str" cm="1">
        <f t="array" ref="N2499">_xlfn.IFS(C2499&gt;35,"HIGH",C2499&gt;25,"MIDDLE",TRUE,"LOW")</f>
        <v>LOW</v>
      </c>
      <c r="O2499" s="4" t="str">
        <f t="shared" ref="O2499:O2562" si="118">IF(AND(C2499&gt;35,E2499="MORNING"),"PREMINUM MORNING","OTHERS")</f>
        <v>OTHERS</v>
      </c>
      <c r="P2499" s="4" t="str">
        <f t="shared" ref="P2499:P2562" si="119">IF(OR(C2499&gt;35,E2499="MORNING"),"PREMINUM MORNING","OTHERS")</f>
        <v>OTHERS</v>
      </c>
    </row>
    <row r="2500" spans="1:16" x14ac:dyDescent="0.3">
      <c r="A2500" s="4">
        <v>12</v>
      </c>
      <c r="B2500" t="s">
        <v>11</v>
      </c>
      <c r="C2500" s="4">
        <v>30.86</v>
      </c>
      <c r="D2500" t="s">
        <v>19</v>
      </c>
      <c r="E2500" t="s">
        <v>17</v>
      </c>
      <c r="F2500" s="4" t="s">
        <v>14</v>
      </c>
      <c r="G2500" s="4" t="s">
        <v>39</v>
      </c>
      <c r="H2500" s="4">
        <v>5</v>
      </c>
      <c r="I2500" s="4">
        <v>12</v>
      </c>
      <c r="J2500" s="1">
        <v>45646</v>
      </c>
      <c r="K2500" s="2">
        <v>1.5849537037037037E-2</v>
      </c>
      <c r="M2500" s="4" t="str">
        <f t="shared" si="117"/>
        <v>LOW</v>
      </c>
      <c r="N2500" s="4" t="str" cm="1">
        <f t="array" ref="N2500">_xlfn.IFS(C2500&gt;35,"HIGH",C2500&gt;25,"MIDDLE",TRUE,"LOW")</f>
        <v>MIDDLE</v>
      </c>
      <c r="O2500" s="4" t="str">
        <f t="shared" si="118"/>
        <v>OTHERS</v>
      </c>
      <c r="P2500" s="4" t="str">
        <f t="shared" si="119"/>
        <v>OTHERS</v>
      </c>
    </row>
    <row r="2501" spans="1:16" x14ac:dyDescent="0.3">
      <c r="A2501" s="4">
        <v>14</v>
      </c>
      <c r="B2501" t="s">
        <v>11</v>
      </c>
      <c r="C2501" s="4">
        <v>25.96</v>
      </c>
      <c r="D2501" t="s">
        <v>24</v>
      </c>
      <c r="E2501" t="s">
        <v>17</v>
      </c>
      <c r="F2501" s="4" t="s">
        <v>14</v>
      </c>
      <c r="G2501" s="4" t="s">
        <v>39</v>
      </c>
      <c r="H2501" s="4">
        <v>5</v>
      </c>
      <c r="I2501" s="4">
        <v>12</v>
      </c>
      <c r="J2501" s="1">
        <v>45646</v>
      </c>
      <c r="K2501" s="2">
        <v>4.0512731481481483E-2</v>
      </c>
      <c r="M2501" s="4" t="str">
        <f t="shared" si="117"/>
        <v>LOW</v>
      </c>
      <c r="N2501" s="4" t="str" cm="1">
        <f t="array" ref="N2501">_xlfn.IFS(C2501&gt;35,"HIGH",C2501&gt;25,"MIDDLE",TRUE,"LOW")</f>
        <v>MIDDLE</v>
      </c>
      <c r="O2501" s="4" t="str">
        <f t="shared" si="118"/>
        <v>OTHERS</v>
      </c>
      <c r="P2501" s="4" t="str">
        <f t="shared" si="119"/>
        <v>OTHERS</v>
      </c>
    </row>
    <row r="2502" spans="1:16" x14ac:dyDescent="0.3">
      <c r="A2502" s="4">
        <v>18</v>
      </c>
      <c r="B2502" t="s">
        <v>11</v>
      </c>
      <c r="C2502" s="4">
        <v>35.76</v>
      </c>
      <c r="D2502" t="s">
        <v>29</v>
      </c>
      <c r="E2502" t="s">
        <v>20</v>
      </c>
      <c r="F2502" s="4" t="s">
        <v>14</v>
      </c>
      <c r="G2502" s="4" t="s">
        <v>39</v>
      </c>
      <c r="H2502" s="4">
        <v>5</v>
      </c>
      <c r="I2502" s="4">
        <v>12</v>
      </c>
      <c r="J2502" s="1">
        <v>45646</v>
      </c>
      <c r="K2502" s="2">
        <v>1.970138888888889E-2</v>
      </c>
      <c r="M2502" s="4" t="str">
        <f t="shared" si="117"/>
        <v>HIGH</v>
      </c>
      <c r="N2502" s="4" t="str" cm="1">
        <f t="array" ref="N2502">_xlfn.IFS(C2502&gt;35,"HIGH",C2502&gt;25,"MIDDLE",TRUE,"LOW")</f>
        <v>HIGH</v>
      </c>
      <c r="O2502" s="4" t="str">
        <f t="shared" si="118"/>
        <v>OTHERS</v>
      </c>
      <c r="P2502" s="4" t="str">
        <f t="shared" si="119"/>
        <v>PREMINUM MORNING</v>
      </c>
    </row>
    <row r="2503" spans="1:16" x14ac:dyDescent="0.3">
      <c r="A2503" s="4">
        <v>18</v>
      </c>
      <c r="B2503" t="s">
        <v>11</v>
      </c>
      <c r="C2503" s="4">
        <v>35.76</v>
      </c>
      <c r="D2503" t="s">
        <v>29</v>
      </c>
      <c r="E2503" t="s">
        <v>20</v>
      </c>
      <c r="F2503" s="4" t="s">
        <v>14</v>
      </c>
      <c r="G2503" s="4" t="s">
        <v>39</v>
      </c>
      <c r="H2503" s="4">
        <v>5</v>
      </c>
      <c r="I2503" s="4">
        <v>12</v>
      </c>
      <c r="J2503" s="1">
        <v>45646</v>
      </c>
      <c r="K2503" s="2">
        <v>3.9737268518518519E-2</v>
      </c>
      <c r="M2503" s="4" t="str">
        <f t="shared" si="117"/>
        <v>HIGH</v>
      </c>
      <c r="N2503" s="4" t="str" cm="1">
        <f t="array" ref="N2503">_xlfn.IFS(C2503&gt;35,"HIGH",C2503&gt;25,"MIDDLE",TRUE,"LOW")</f>
        <v>HIGH</v>
      </c>
      <c r="O2503" s="4" t="str">
        <f t="shared" si="118"/>
        <v>OTHERS</v>
      </c>
      <c r="P2503" s="4" t="str">
        <f t="shared" si="119"/>
        <v>PREMINUM MORNING</v>
      </c>
    </row>
    <row r="2504" spans="1:16" x14ac:dyDescent="0.3">
      <c r="A2504" s="4">
        <v>10</v>
      </c>
      <c r="B2504" t="s">
        <v>11</v>
      </c>
      <c r="C2504" s="4">
        <v>35.76</v>
      </c>
      <c r="D2504" t="s">
        <v>29</v>
      </c>
      <c r="E2504" t="s">
        <v>13</v>
      </c>
      <c r="F2504" s="4" t="s">
        <v>22</v>
      </c>
      <c r="G2504" s="4" t="s">
        <v>39</v>
      </c>
      <c r="H2504" s="4">
        <v>6</v>
      </c>
      <c r="I2504" s="4">
        <v>12</v>
      </c>
      <c r="J2504" s="1">
        <v>45647</v>
      </c>
      <c r="K2504" s="2">
        <v>1.3471064814814816E-2</v>
      </c>
      <c r="M2504" s="4" t="str">
        <f t="shared" si="117"/>
        <v>HIGH</v>
      </c>
      <c r="N2504" s="4" t="str" cm="1">
        <f t="array" ref="N2504">_xlfn.IFS(C2504&gt;35,"HIGH",C2504&gt;25,"MIDDLE",TRUE,"LOW")</f>
        <v>HIGH</v>
      </c>
      <c r="O2504" s="4" t="str">
        <f t="shared" si="118"/>
        <v>PREMINUM MORNING</v>
      </c>
      <c r="P2504" s="4" t="str">
        <f t="shared" si="119"/>
        <v>PREMINUM MORNING</v>
      </c>
    </row>
    <row r="2505" spans="1:16" x14ac:dyDescent="0.3">
      <c r="A2505" s="4">
        <v>10</v>
      </c>
      <c r="B2505" t="s">
        <v>11</v>
      </c>
      <c r="C2505" s="4">
        <v>35.76</v>
      </c>
      <c r="D2505" t="s">
        <v>12</v>
      </c>
      <c r="E2505" t="s">
        <v>13</v>
      </c>
      <c r="F2505" s="4" t="s">
        <v>22</v>
      </c>
      <c r="G2505" s="4" t="s">
        <v>39</v>
      </c>
      <c r="H2505" s="4">
        <v>6</v>
      </c>
      <c r="I2505" s="4">
        <v>12</v>
      </c>
      <c r="J2505" s="1">
        <v>45647</v>
      </c>
      <c r="K2505" s="2">
        <v>1.4364583333333332E-2</v>
      </c>
      <c r="M2505" s="4" t="str">
        <f t="shared" si="117"/>
        <v>HIGH</v>
      </c>
      <c r="N2505" s="4" t="str" cm="1">
        <f t="array" ref="N2505">_xlfn.IFS(C2505&gt;35,"HIGH",C2505&gt;25,"MIDDLE",TRUE,"LOW")</f>
        <v>HIGH</v>
      </c>
      <c r="O2505" s="4" t="str">
        <f t="shared" si="118"/>
        <v>PREMINUM MORNING</v>
      </c>
      <c r="P2505" s="4" t="str">
        <f t="shared" si="119"/>
        <v>PREMINUM MORNING</v>
      </c>
    </row>
    <row r="2506" spans="1:16" x14ac:dyDescent="0.3">
      <c r="A2506" s="4">
        <v>10</v>
      </c>
      <c r="B2506" t="s">
        <v>11</v>
      </c>
      <c r="C2506" s="4">
        <v>25.96</v>
      </c>
      <c r="D2506" t="s">
        <v>18</v>
      </c>
      <c r="E2506" t="s">
        <v>13</v>
      </c>
      <c r="F2506" s="4" t="s">
        <v>22</v>
      </c>
      <c r="G2506" s="4" t="s">
        <v>39</v>
      </c>
      <c r="H2506" s="4">
        <v>6</v>
      </c>
      <c r="I2506" s="4">
        <v>12</v>
      </c>
      <c r="J2506" s="1">
        <v>45647</v>
      </c>
      <c r="K2506" s="2">
        <v>2.2254629629629628E-2</v>
      </c>
      <c r="M2506" s="4" t="str">
        <f t="shared" si="117"/>
        <v>LOW</v>
      </c>
      <c r="N2506" s="4" t="str" cm="1">
        <f t="array" ref="N2506">_xlfn.IFS(C2506&gt;35,"HIGH",C2506&gt;25,"MIDDLE",TRUE,"LOW")</f>
        <v>MIDDLE</v>
      </c>
      <c r="O2506" s="4" t="str">
        <f t="shared" si="118"/>
        <v>OTHERS</v>
      </c>
      <c r="P2506" s="4" t="str">
        <f t="shared" si="119"/>
        <v>PREMINUM MORNING</v>
      </c>
    </row>
    <row r="2507" spans="1:16" x14ac:dyDescent="0.3">
      <c r="A2507" s="4">
        <v>15</v>
      </c>
      <c r="B2507" t="s">
        <v>11</v>
      </c>
      <c r="C2507" s="4">
        <v>35.76</v>
      </c>
      <c r="D2507" t="s">
        <v>16</v>
      </c>
      <c r="E2507" t="s">
        <v>17</v>
      </c>
      <c r="F2507" s="4" t="s">
        <v>22</v>
      </c>
      <c r="G2507" s="4" t="s">
        <v>39</v>
      </c>
      <c r="H2507" s="4">
        <v>6</v>
      </c>
      <c r="I2507" s="4">
        <v>12</v>
      </c>
      <c r="J2507" s="1">
        <v>45647</v>
      </c>
      <c r="K2507" s="2">
        <v>2.2958333333333331E-2</v>
      </c>
      <c r="M2507" s="4" t="str">
        <f t="shared" si="117"/>
        <v>HIGH</v>
      </c>
      <c r="N2507" s="4" t="str" cm="1">
        <f t="array" ref="N2507">_xlfn.IFS(C2507&gt;35,"HIGH",C2507&gt;25,"MIDDLE",TRUE,"LOW")</f>
        <v>HIGH</v>
      </c>
      <c r="O2507" s="4" t="str">
        <f t="shared" si="118"/>
        <v>OTHERS</v>
      </c>
      <c r="P2507" s="4" t="str">
        <f t="shared" si="119"/>
        <v>PREMINUM MORNING</v>
      </c>
    </row>
    <row r="2508" spans="1:16" x14ac:dyDescent="0.3">
      <c r="A2508" s="4">
        <v>15</v>
      </c>
      <c r="B2508" t="s">
        <v>11</v>
      </c>
      <c r="C2508" s="4">
        <v>35.76</v>
      </c>
      <c r="D2508" t="s">
        <v>12</v>
      </c>
      <c r="E2508" t="s">
        <v>17</v>
      </c>
      <c r="F2508" s="4" t="s">
        <v>22</v>
      </c>
      <c r="G2508" s="4" t="s">
        <v>39</v>
      </c>
      <c r="H2508" s="4">
        <v>6</v>
      </c>
      <c r="I2508" s="4">
        <v>12</v>
      </c>
      <c r="J2508" s="1">
        <v>45647</v>
      </c>
      <c r="K2508" s="2">
        <v>2.3490740740740739E-2</v>
      </c>
      <c r="M2508" s="4" t="str">
        <f t="shared" si="117"/>
        <v>HIGH</v>
      </c>
      <c r="N2508" s="4" t="str" cm="1">
        <f t="array" ref="N2508">_xlfn.IFS(C2508&gt;35,"HIGH",C2508&gt;25,"MIDDLE",TRUE,"LOW")</f>
        <v>HIGH</v>
      </c>
      <c r="O2508" s="4" t="str">
        <f t="shared" si="118"/>
        <v>OTHERS</v>
      </c>
      <c r="P2508" s="4" t="str">
        <f t="shared" si="119"/>
        <v>PREMINUM MORNING</v>
      </c>
    </row>
    <row r="2509" spans="1:16" x14ac:dyDescent="0.3">
      <c r="A2509" s="4">
        <v>15</v>
      </c>
      <c r="B2509" t="s">
        <v>11</v>
      </c>
      <c r="C2509" s="4">
        <v>30.86</v>
      </c>
      <c r="D2509" t="s">
        <v>19</v>
      </c>
      <c r="E2509" t="s">
        <v>17</v>
      </c>
      <c r="F2509" s="4" t="s">
        <v>22</v>
      </c>
      <c r="G2509" s="4" t="s">
        <v>39</v>
      </c>
      <c r="H2509" s="4">
        <v>6</v>
      </c>
      <c r="I2509" s="4">
        <v>12</v>
      </c>
      <c r="J2509" s="1">
        <v>45647</v>
      </c>
      <c r="K2509" s="2">
        <v>2.4645833333333336E-2</v>
      </c>
      <c r="M2509" s="4" t="str">
        <f t="shared" si="117"/>
        <v>LOW</v>
      </c>
      <c r="N2509" s="4" t="str" cm="1">
        <f t="array" ref="N2509">_xlfn.IFS(C2509&gt;35,"HIGH",C2509&gt;25,"MIDDLE",TRUE,"LOW")</f>
        <v>MIDDLE</v>
      </c>
      <c r="O2509" s="4" t="str">
        <f t="shared" si="118"/>
        <v>OTHERS</v>
      </c>
      <c r="P2509" s="4" t="str">
        <f t="shared" si="119"/>
        <v>OTHERS</v>
      </c>
    </row>
    <row r="2510" spans="1:16" x14ac:dyDescent="0.3">
      <c r="A2510" s="4">
        <v>15</v>
      </c>
      <c r="B2510" t="s">
        <v>11</v>
      </c>
      <c r="C2510" s="4">
        <v>35.76</v>
      </c>
      <c r="D2510" t="s">
        <v>12</v>
      </c>
      <c r="E2510" t="s">
        <v>17</v>
      </c>
      <c r="F2510" s="4" t="s">
        <v>22</v>
      </c>
      <c r="G2510" s="4" t="s">
        <v>39</v>
      </c>
      <c r="H2510" s="4">
        <v>6</v>
      </c>
      <c r="I2510" s="4">
        <v>12</v>
      </c>
      <c r="J2510" s="1">
        <v>45647</v>
      </c>
      <c r="K2510" s="2">
        <v>4.0358796296296295E-2</v>
      </c>
      <c r="M2510" s="4" t="str">
        <f t="shared" si="117"/>
        <v>HIGH</v>
      </c>
      <c r="N2510" s="4" t="str" cm="1">
        <f t="array" ref="N2510">_xlfn.IFS(C2510&gt;35,"HIGH",C2510&gt;25,"MIDDLE",TRUE,"LOW")</f>
        <v>HIGH</v>
      </c>
      <c r="O2510" s="4" t="str">
        <f t="shared" si="118"/>
        <v>OTHERS</v>
      </c>
      <c r="P2510" s="4" t="str">
        <f t="shared" si="119"/>
        <v>PREMINUM MORNING</v>
      </c>
    </row>
    <row r="2511" spans="1:16" x14ac:dyDescent="0.3">
      <c r="A2511" s="4">
        <v>17</v>
      </c>
      <c r="B2511" t="s">
        <v>11</v>
      </c>
      <c r="C2511" s="4">
        <v>35.76</v>
      </c>
      <c r="D2511" t="s">
        <v>21</v>
      </c>
      <c r="E2511" t="s">
        <v>20</v>
      </c>
      <c r="F2511" s="4" t="s">
        <v>22</v>
      </c>
      <c r="G2511" s="4" t="s">
        <v>39</v>
      </c>
      <c r="H2511" s="4">
        <v>6</v>
      </c>
      <c r="I2511" s="4">
        <v>12</v>
      </c>
      <c r="J2511" s="1">
        <v>45647</v>
      </c>
      <c r="K2511" s="2">
        <v>3.2961805555555557E-2</v>
      </c>
      <c r="M2511" s="4" t="str">
        <f t="shared" si="117"/>
        <v>HIGH</v>
      </c>
      <c r="N2511" s="4" t="str" cm="1">
        <f t="array" ref="N2511">_xlfn.IFS(C2511&gt;35,"HIGH",C2511&gt;25,"MIDDLE",TRUE,"LOW")</f>
        <v>HIGH</v>
      </c>
      <c r="O2511" s="4" t="str">
        <f t="shared" si="118"/>
        <v>OTHERS</v>
      </c>
      <c r="P2511" s="4" t="str">
        <f t="shared" si="119"/>
        <v>PREMINUM MORNING</v>
      </c>
    </row>
    <row r="2512" spans="1:16" x14ac:dyDescent="0.3">
      <c r="A2512" s="4">
        <v>18</v>
      </c>
      <c r="B2512" t="s">
        <v>11</v>
      </c>
      <c r="C2512" s="4">
        <v>35.76</v>
      </c>
      <c r="D2512" t="s">
        <v>16</v>
      </c>
      <c r="E2512" t="s">
        <v>20</v>
      </c>
      <c r="F2512" s="4" t="s">
        <v>22</v>
      </c>
      <c r="G2512" s="4" t="s">
        <v>39</v>
      </c>
      <c r="H2512" s="4">
        <v>6</v>
      </c>
      <c r="I2512" s="4">
        <v>12</v>
      </c>
      <c r="J2512" s="1">
        <v>45647</v>
      </c>
      <c r="K2512" s="2">
        <v>1.8159722222222223E-3</v>
      </c>
      <c r="M2512" s="4" t="str">
        <f t="shared" si="117"/>
        <v>HIGH</v>
      </c>
      <c r="N2512" s="4" t="str" cm="1">
        <f t="array" ref="N2512">_xlfn.IFS(C2512&gt;35,"HIGH",C2512&gt;25,"MIDDLE",TRUE,"LOW")</f>
        <v>HIGH</v>
      </c>
      <c r="O2512" s="4" t="str">
        <f t="shared" si="118"/>
        <v>OTHERS</v>
      </c>
      <c r="P2512" s="4" t="str">
        <f t="shared" si="119"/>
        <v>PREMINUM MORNING</v>
      </c>
    </row>
    <row r="2513" spans="1:16" x14ac:dyDescent="0.3">
      <c r="A2513" s="4">
        <v>18</v>
      </c>
      <c r="B2513" t="s">
        <v>11</v>
      </c>
      <c r="C2513" s="4">
        <v>25.96</v>
      </c>
      <c r="D2513" t="s">
        <v>24</v>
      </c>
      <c r="E2513" t="s">
        <v>20</v>
      </c>
      <c r="F2513" s="4" t="s">
        <v>22</v>
      </c>
      <c r="G2513" s="4" t="s">
        <v>39</v>
      </c>
      <c r="H2513" s="4">
        <v>6</v>
      </c>
      <c r="I2513" s="4">
        <v>12</v>
      </c>
      <c r="J2513" s="1">
        <v>45647</v>
      </c>
      <c r="K2513" s="2">
        <v>5.7546296296296295E-3</v>
      </c>
      <c r="M2513" s="4" t="str">
        <f t="shared" si="117"/>
        <v>LOW</v>
      </c>
      <c r="N2513" s="4" t="str" cm="1">
        <f t="array" ref="N2513">_xlfn.IFS(C2513&gt;35,"HIGH",C2513&gt;25,"MIDDLE",TRUE,"LOW")</f>
        <v>MIDDLE</v>
      </c>
      <c r="O2513" s="4" t="str">
        <f t="shared" si="118"/>
        <v>OTHERS</v>
      </c>
      <c r="P2513" s="4" t="str">
        <f t="shared" si="119"/>
        <v>OTHERS</v>
      </c>
    </row>
    <row r="2514" spans="1:16" x14ac:dyDescent="0.3">
      <c r="A2514" s="4">
        <v>19</v>
      </c>
      <c r="B2514" t="s">
        <v>11</v>
      </c>
      <c r="C2514" s="4">
        <v>30.86</v>
      </c>
      <c r="D2514" t="s">
        <v>19</v>
      </c>
      <c r="E2514" t="s">
        <v>20</v>
      </c>
      <c r="F2514" s="4" t="s">
        <v>22</v>
      </c>
      <c r="G2514" s="4" t="s">
        <v>39</v>
      </c>
      <c r="H2514" s="4">
        <v>6</v>
      </c>
      <c r="I2514" s="4">
        <v>12</v>
      </c>
      <c r="J2514" s="1">
        <v>45647</v>
      </c>
      <c r="K2514" s="2">
        <v>3.3489583333333336E-2</v>
      </c>
      <c r="M2514" s="4" t="str">
        <f t="shared" si="117"/>
        <v>LOW</v>
      </c>
      <c r="N2514" s="4" t="str" cm="1">
        <f t="array" ref="N2514">_xlfn.IFS(C2514&gt;35,"HIGH",C2514&gt;25,"MIDDLE",TRUE,"LOW")</f>
        <v>MIDDLE</v>
      </c>
      <c r="O2514" s="4" t="str">
        <f t="shared" si="118"/>
        <v>OTHERS</v>
      </c>
      <c r="P2514" s="4" t="str">
        <f t="shared" si="119"/>
        <v>OTHERS</v>
      </c>
    </row>
    <row r="2515" spans="1:16" x14ac:dyDescent="0.3">
      <c r="A2515" s="4">
        <v>19</v>
      </c>
      <c r="B2515" t="s">
        <v>11</v>
      </c>
      <c r="C2515" s="4">
        <v>25.96</v>
      </c>
      <c r="D2515" t="s">
        <v>24</v>
      </c>
      <c r="E2515" t="s">
        <v>20</v>
      </c>
      <c r="F2515" s="4" t="s">
        <v>22</v>
      </c>
      <c r="G2515" s="4" t="s">
        <v>39</v>
      </c>
      <c r="H2515" s="4">
        <v>6</v>
      </c>
      <c r="I2515" s="4">
        <v>12</v>
      </c>
      <c r="J2515" s="1">
        <v>45647</v>
      </c>
      <c r="K2515" s="2">
        <v>3.4557870370370371E-2</v>
      </c>
      <c r="M2515" s="4" t="str">
        <f t="shared" si="117"/>
        <v>LOW</v>
      </c>
      <c r="N2515" s="4" t="str" cm="1">
        <f t="array" ref="N2515">_xlfn.IFS(C2515&gt;35,"HIGH",C2515&gt;25,"MIDDLE",TRUE,"LOW")</f>
        <v>MIDDLE</v>
      </c>
      <c r="O2515" s="4" t="str">
        <f t="shared" si="118"/>
        <v>OTHERS</v>
      </c>
      <c r="P2515" s="4" t="str">
        <f t="shared" si="119"/>
        <v>OTHERS</v>
      </c>
    </row>
    <row r="2516" spans="1:16" x14ac:dyDescent="0.3">
      <c r="A2516" s="4">
        <v>21</v>
      </c>
      <c r="B2516" t="s">
        <v>11</v>
      </c>
      <c r="C2516" s="4">
        <v>25.96</v>
      </c>
      <c r="D2516" t="s">
        <v>24</v>
      </c>
      <c r="E2516" t="s">
        <v>20</v>
      </c>
      <c r="F2516" s="4" t="s">
        <v>22</v>
      </c>
      <c r="G2516" s="4" t="s">
        <v>39</v>
      </c>
      <c r="H2516" s="4">
        <v>6</v>
      </c>
      <c r="I2516" s="4">
        <v>12</v>
      </c>
      <c r="J2516" s="1">
        <v>45647</v>
      </c>
      <c r="K2516" s="2">
        <v>3.4575231481481485E-2</v>
      </c>
      <c r="M2516" s="4" t="str">
        <f t="shared" si="117"/>
        <v>LOW</v>
      </c>
      <c r="N2516" s="4" t="str" cm="1">
        <f t="array" ref="N2516">_xlfn.IFS(C2516&gt;35,"HIGH",C2516&gt;25,"MIDDLE",TRUE,"LOW")</f>
        <v>MIDDLE</v>
      </c>
      <c r="O2516" s="4" t="str">
        <f t="shared" si="118"/>
        <v>OTHERS</v>
      </c>
      <c r="P2516" s="4" t="str">
        <f t="shared" si="119"/>
        <v>OTHERS</v>
      </c>
    </row>
    <row r="2517" spans="1:16" x14ac:dyDescent="0.3">
      <c r="A2517" s="4">
        <v>21</v>
      </c>
      <c r="B2517" t="s">
        <v>11</v>
      </c>
      <c r="C2517" s="4">
        <v>35.76</v>
      </c>
      <c r="D2517" t="s">
        <v>12</v>
      </c>
      <c r="E2517" t="s">
        <v>20</v>
      </c>
      <c r="F2517" s="4" t="s">
        <v>22</v>
      </c>
      <c r="G2517" s="4" t="s">
        <v>39</v>
      </c>
      <c r="H2517" s="4">
        <v>6</v>
      </c>
      <c r="I2517" s="4">
        <v>12</v>
      </c>
      <c r="J2517" s="1">
        <v>45647</v>
      </c>
      <c r="K2517" s="2">
        <v>4.0842592592592597E-2</v>
      </c>
      <c r="M2517" s="4" t="str">
        <f t="shared" si="117"/>
        <v>HIGH</v>
      </c>
      <c r="N2517" s="4" t="str" cm="1">
        <f t="array" ref="N2517">_xlfn.IFS(C2517&gt;35,"HIGH",C2517&gt;25,"MIDDLE",TRUE,"LOW")</f>
        <v>HIGH</v>
      </c>
      <c r="O2517" s="4" t="str">
        <f t="shared" si="118"/>
        <v>OTHERS</v>
      </c>
      <c r="P2517" s="4" t="str">
        <f t="shared" si="119"/>
        <v>PREMINUM MORNING</v>
      </c>
    </row>
    <row r="2518" spans="1:16" x14ac:dyDescent="0.3">
      <c r="A2518" s="4">
        <v>22</v>
      </c>
      <c r="B2518" t="s">
        <v>11</v>
      </c>
      <c r="C2518" s="4">
        <v>25.96</v>
      </c>
      <c r="D2518" t="s">
        <v>24</v>
      </c>
      <c r="E2518" t="s">
        <v>20</v>
      </c>
      <c r="F2518" s="4" t="s">
        <v>22</v>
      </c>
      <c r="G2518" s="4" t="s">
        <v>39</v>
      </c>
      <c r="H2518" s="4">
        <v>6</v>
      </c>
      <c r="I2518" s="4">
        <v>12</v>
      </c>
      <c r="J2518" s="1">
        <v>45647</v>
      </c>
      <c r="K2518" s="2">
        <v>1.1274305555555557E-2</v>
      </c>
      <c r="M2518" s="4" t="str">
        <f t="shared" si="117"/>
        <v>LOW</v>
      </c>
      <c r="N2518" s="4" t="str" cm="1">
        <f t="array" ref="N2518">_xlfn.IFS(C2518&gt;35,"HIGH",C2518&gt;25,"MIDDLE",TRUE,"LOW")</f>
        <v>MIDDLE</v>
      </c>
      <c r="O2518" s="4" t="str">
        <f t="shared" si="118"/>
        <v>OTHERS</v>
      </c>
      <c r="P2518" s="4" t="str">
        <f t="shared" si="119"/>
        <v>OTHERS</v>
      </c>
    </row>
    <row r="2519" spans="1:16" x14ac:dyDescent="0.3">
      <c r="A2519" s="4">
        <v>10</v>
      </c>
      <c r="B2519" t="s">
        <v>11</v>
      </c>
      <c r="C2519" s="4">
        <v>35.76</v>
      </c>
      <c r="D2519" t="s">
        <v>29</v>
      </c>
      <c r="E2519" t="s">
        <v>13</v>
      </c>
      <c r="F2519" s="4" t="s">
        <v>23</v>
      </c>
      <c r="G2519" s="4" t="s">
        <v>39</v>
      </c>
      <c r="H2519" s="4">
        <v>7</v>
      </c>
      <c r="I2519" s="4">
        <v>12</v>
      </c>
      <c r="J2519" s="1">
        <v>45648</v>
      </c>
      <c r="K2519" s="2">
        <v>2.9815972222222223E-2</v>
      </c>
      <c r="M2519" s="4" t="str">
        <f t="shared" si="117"/>
        <v>HIGH</v>
      </c>
      <c r="N2519" s="4" t="str" cm="1">
        <f t="array" ref="N2519">_xlfn.IFS(C2519&gt;35,"HIGH",C2519&gt;25,"MIDDLE",TRUE,"LOW")</f>
        <v>HIGH</v>
      </c>
      <c r="O2519" s="4" t="str">
        <f t="shared" si="118"/>
        <v>PREMINUM MORNING</v>
      </c>
      <c r="P2519" s="4" t="str">
        <f t="shared" si="119"/>
        <v>PREMINUM MORNING</v>
      </c>
    </row>
    <row r="2520" spans="1:16" x14ac:dyDescent="0.3">
      <c r="A2520" s="4">
        <v>18</v>
      </c>
      <c r="B2520" t="s">
        <v>11</v>
      </c>
      <c r="C2520" s="4">
        <v>35.76</v>
      </c>
      <c r="D2520" t="s">
        <v>29</v>
      </c>
      <c r="E2520" t="s">
        <v>20</v>
      </c>
      <c r="F2520" s="4" t="s">
        <v>23</v>
      </c>
      <c r="G2520" s="4" t="s">
        <v>39</v>
      </c>
      <c r="H2520" s="4">
        <v>7</v>
      </c>
      <c r="I2520" s="4">
        <v>12</v>
      </c>
      <c r="J2520" s="1">
        <v>45648</v>
      </c>
      <c r="K2520" s="2">
        <v>3.8709490740740739E-2</v>
      </c>
      <c r="M2520" s="4" t="str">
        <f t="shared" si="117"/>
        <v>HIGH</v>
      </c>
      <c r="N2520" s="4" t="str" cm="1">
        <f t="array" ref="N2520">_xlfn.IFS(C2520&gt;35,"HIGH",C2520&gt;25,"MIDDLE",TRUE,"LOW")</f>
        <v>HIGH</v>
      </c>
      <c r="O2520" s="4" t="str">
        <f t="shared" si="118"/>
        <v>OTHERS</v>
      </c>
      <c r="P2520" s="4" t="str">
        <f t="shared" si="119"/>
        <v>PREMINUM MORNING</v>
      </c>
    </row>
    <row r="2521" spans="1:16" x14ac:dyDescent="0.3">
      <c r="A2521" s="4">
        <v>19</v>
      </c>
      <c r="B2521" t="s">
        <v>11</v>
      </c>
      <c r="C2521" s="4">
        <v>35.76</v>
      </c>
      <c r="D2521" t="s">
        <v>16</v>
      </c>
      <c r="E2521" t="s">
        <v>20</v>
      </c>
      <c r="F2521" s="4" t="s">
        <v>23</v>
      </c>
      <c r="G2521" s="4" t="s">
        <v>39</v>
      </c>
      <c r="H2521" s="4">
        <v>7</v>
      </c>
      <c r="I2521" s="4">
        <v>12</v>
      </c>
      <c r="J2521" s="1">
        <v>45648</v>
      </c>
      <c r="K2521" s="2">
        <v>2.4835648148148152E-2</v>
      </c>
      <c r="M2521" s="4" t="str">
        <f t="shared" si="117"/>
        <v>HIGH</v>
      </c>
      <c r="N2521" s="4" t="str" cm="1">
        <f t="array" ref="N2521">_xlfn.IFS(C2521&gt;35,"HIGH",C2521&gt;25,"MIDDLE",TRUE,"LOW")</f>
        <v>HIGH</v>
      </c>
      <c r="O2521" s="4" t="str">
        <f t="shared" si="118"/>
        <v>OTHERS</v>
      </c>
      <c r="P2521" s="4" t="str">
        <f t="shared" si="119"/>
        <v>PREMINUM MORNING</v>
      </c>
    </row>
    <row r="2522" spans="1:16" x14ac:dyDescent="0.3">
      <c r="A2522" s="4">
        <v>19</v>
      </c>
      <c r="B2522" t="s">
        <v>11</v>
      </c>
      <c r="C2522" s="4">
        <v>35.76</v>
      </c>
      <c r="D2522" t="s">
        <v>16</v>
      </c>
      <c r="E2522" t="s">
        <v>20</v>
      </c>
      <c r="F2522" s="4" t="s">
        <v>23</v>
      </c>
      <c r="G2522" s="4" t="s">
        <v>39</v>
      </c>
      <c r="H2522" s="4">
        <v>7</v>
      </c>
      <c r="I2522" s="4">
        <v>12</v>
      </c>
      <c r="J2522" s="1">
        <v>45648</v>
      </c>
      <c r="K2522" s="2">
        <v>2.5346064814814814E-2</v>
      </c>
      <c r="M2522" s="4" t="str">
        <f t="shared" si="117"/>
        <v>HIGH</v>
      </c>
      <c r="N2522" s="4" t="str" cm="1">
        <f t="array" ref="N2522">_xlfn.IFS(C2522&gt;35,"HIGH",C2522&gt;25,"MIDDLE",TRUE,"LOW")</f>
        <v>HIGH</v>
      </c>
      <c r="O2522" s="4" t="str">
        <f t="shared" si="118"/>
        <v>OTHERS</v>
      </c>
      <c r="P2522" s="4" t="str">
        <f t="shared" si="119"/>
        <v>PREMINUM MORNING</v>
      </c>
    </row>
    <row r="2523" spans="1:16" x14ac:dyDescent="0.3">
      <c r="A2523" s="4">
        <v>20</v>
      </c>
      <c r="B2523" t="s">
        <v>11</v>
      </c>
      <c r="C2523" s="4">
        <v>35.76</v>
      </c>
      <c r="D2523" t="s">
        <v>16</v>
      </c>
      <c r="E2523" t="s">
        <v>20</v>
      </c>
      <c r="F2523" s="4" t="s">
        <v>23</v>
      </c>
      <c r="G2523" s="4" t="s">
        <v>39</v>
      </c>
      <c r="H2523" s="4">
        <v>7</v>
      </c>
      <c r="I2523" s="4">
        <v>12</v>
      </c>
      <c r="J2523" s="1">
        <v>45648</v>
      </c>
      <c r="K2523" s="2">
        <v>1.8480324074074076E-2</v>
      </c>
      <c r="M2523" s="4" t="str">
        <f t="shared" si="117"/>
        <v>HIGH</v>
      </c>
      <c r="N2523" s="4" t="str" cm="1">
        <f t="array" ref="N2523">_xlfn.IFS(C2523&gt;35,"HIGH",C2523&gt;25,"MIDDLE",TRUE,"LOW")</f>
        <v>HIGH</v>
      </c>
      <c r="O2523" s="4" t="str">
        <f t="shared" si="118"/>
        <v>OTHERS</v>
      </c>
      <c r="P2523" s="4" t="str">
        <f t="shared" si="119"/>
        <v>PREMINUM MORNING</v>
      </c>
    </row>
    <row r="2524" spans="1:16" x14ac:dyDescent="0.3">
      <c r="A2524" s="4">
        <v>21</v>
      </c>
      <c r="B2524" t="s">
        <v>11</v>
      </c>
      <c r="C2524" s="4">
        <v>35.76</v>
      </c>
      <c r="D2524" t="s">
        <v>21</v>
      </c>
      <c r="E2524" t="s">
        <v>20</v>
      </c>
      <c r="F2524" s="4" t="s">
        <v>23</v>
      </c>
      <c r="G2524" s="4" t="s">
        <v>39</v>
      </c>
      <c r="H2524" s="4">
        <v>7</v>
      </c>
      <c r="I2524" s="4">
        <v>12</v>
      </c>
      <c r="J2524" s="1">
        <v>45648</v>
      </c>
      <c r="K2524" s="2">
        <v>3.8412037037037036E-2</v>
      </c>
      <c r="M2524" s="4" t="str">
        <f t="shared" si="117"/>
        <v>HIGH</v>
      </c>
      <c r="N2524" s="4" t="str" cm="1">
        <f t="array" ref="N2524">_xlfn.IFS(C2524&gt;35,"HIGH",C2524&gt;25,"MIDDLE",TRUE,"LOW")</f>
        <v>HIGH</v>
      </c>
      <c r="O2524" s="4" t="str">
        <f t="shared" si="118"/>
        <v>OTHERS</v>
      </c>
      <c r="P2524" s="4" t="str">
        <f t="shared" si="119"/>
        <v>PREMINUM MORNING</v>
      </c>
    </row>
    <row r="2525" spans="1:16" x14ac:dyDescent="0.3">
      <c r="A2525" s="4">
        <v>21</v>
      </c>
      <c r="B2525" t="s">
        <v>11</v>
      </c>
      <c r="C2525" s="4">
        <v>25.96</v>
      </c>
      <c r="D2525" t="s">
        <v>24</v>
      </c>
      <c r="E2525" t="s">
        <v>20</v>
      </c>
      <c r="F2525" s="4" t="s">
        <v>23</v>
      </c>
      <c r="G2525" s="4" t="s">
        <v>39</v>
      </c>
      <c r="H2525" s="4">
        <v>7</v>
      </c>
      <c r="I2525" s="4">
        <v>12</v>
      </c>
      <c r="J2525" s="1">
        <v>45648</v>
      </c>
      <c r="K2525" s="2">
        <v>3.9540509259259261E-2</v>
      </c>
      <c r="M2525" s="4" t="str">
        <f t="shared" si="117"/>
        <v>LOW</v>
      </c>
      <c r="N2525" s="4" t="str" cm="1">
        <f t="array" ref="N2525">_xlfn.IFS(C2525&gt;35,"HIGH",C2525&gt;25,"MIDDLE",TRUE,"LOW")</f>
        <v>MIDDLE</v>
      </c>
      <c r="O2525" s="4" t="str">
        <f t="shared" si="118"/>
        <v>OTHERS</v>
      </c>
      <c r="P2525" s="4" t="str">
        <f t="shared" si="119"/>
        <v>OTHERS</v>
      </c>
    </row>
    <row r="2526" spans="1:16" x14ac:dyDescent="0.3">
      <c r="A2526" s="4">
        <v>9</v>
      </c>
      <c r="B2526" t="s">
        <v>11</v>
      </c>
      <c r="C2526" s="4">
        <v>25.96</v>
      </c>
      <c r="D2526" t="s">
        <v>24</v>
      </c>
      <c r="E2526" t="s">
        <v>13</v>
      </c>
      <c r="F2526" s="4" t="s">
        <v>25</v>
      </c>
      <c r="G2526" s="4" t="s">
        <v>39</v>
      </c>
      <c r="H2526" s="4">
        <v>1</v>
      </c>
      <c r="I2526" s="4">
        <v>12</v>
      </c>
      <c r="J2526" s="1">
        <v>45649</v>
      </c>
      <c r="K2526" s="2">
        <v>2.3263888888888887E-3</v>
      </c>
      <c r="M2526" s="4" t="str">
        <f t="shared" si="117"/>
        <v>LOW</v>
      </c>
      <c r="N2526" s="4" t="str" cm="1">
        <f t="array" ref="N2526">_xlfn.IFS(C2526&gt;35,"HIGH",C2526&gt;25,"MIDDLE",TRUE,"LOW")</f>
        <v>MIDDLE</v>
      </c>
      <c r="O2526" s="4" t="str">
        <f t="shared" si="118"/>
        <v>OTHERS</v>
      </c>
      <c r="P2526" s="4" t="str">
        <f t="shared" si="119"/>
        <v>PREMINUM MORNING</v>
      </c>
    </row>
    <row r="2527" spans="1:16" x14ac:dyDescent="0.3">
      <c r="A2527" s="4">
        <v>9</v>
      </c>
      <c r="B2527" t="s">
        <v>11</v>
      </c>
      <c r="C2527" s="4">
        <v>30.86</v>
      </c>
      <c r="D2527" t="s">
        <v>19</v>
      </c>
      <c r="E2527" t="s">
        <v>13</v>
      </c>
      <c r="F2527" s="4" t="s">
        <v>25</v>
      </c>
      <c r="G2527" s="4" t="s">
        <v>39</v>
      </c>
      <c r="H2527" s="4">
        <v>1</v>
      </c>
      <c r="I2527" s="4">
        <v>12</v>
      </c>
      <c r="J2527" s="1">
        <v>45649</v>
      </c>
      <c r="K2527" s="2">
        <v>1.5484953703703704E-2</v>
      </c>
      <c r="M2527" s="4" t="str">
        <f t="shared" si="117"/>
        <v>LOW</v>
      </c>
      <c r="N2527" s="4" t="str" cm="1">
        <f t="array" ref="N2527">_xlfn.IFS(C2527&gt;35,"HIGH",C2527&gt;25,"MIDDLE",TRUE,"LOW")</f>
        <v>MIDDLE</v>
      </c>
      <c r="O2527" s="4" t="str">
        <f t="shared" si="118"/>
        <v>OTHERS</v>
      </c>
      <c r="P2527" s="4" t="str">
        <f t="shared" si="119"/>
        <v>PREMINUM MORNING</v>
      </c>
    </row>
    <row r="2528" spans="1:16" x14ac:dyDescent="0.3">
      <c r="A2528" s="4">
        <v>10</v>
      </c>
      <c r="B2528" t="s">
        <v>11</v>
      </c>
      <c r="C2528" s="4">
        <v>30.86</v>
      </c>
      <c r="D2528" t="s">
        <v>19</v>
      </c>
      <c r="E2528" t="s">
        <v>13</v>
      </c>
      <c r="F2528" s="4" t="s">
        <v>25</v>
      </c>
      <c r="G2528" s="4" t="s">
        <v>39</v>
      </c>
      <c r="H2528" s="4">
        <v>1</v>
      </c>
      <c r="I2528" s="4">
        <v>12</v>
      </c>
      <c r="J2528" s="1">
        <v>45649</v>
      </c>
      <c r="K2528" s="2">
        <v>2.920601851851852E-2</v>
      </c>
      <c r="M2528" s="4" t="str">
        <f t="shared" si="117"/>
        <v>LOW</v>
      </c>
      <c r="N2528" s="4" t="str" cm="1">
        <f t="array" ref="N2528">_xlfn.IFS(C2528&gt;35,"HIGH",C2528&gt;25,"MIDDLE",TRUE,"LOW")</f>
        <v>MIDDLE</v>
      </c>
      <c r="O2528" s="4" t="str">
        <f t="shared" si="118"/>
        <v>OTHERS</v>
      </c>
      <c r="P2528" s="4" t="str">
        <f t="shared" si="119"/>
        <v>PREMINUM MORNING</v>
      </c>
    </row>
    <row r="2529" spans="1:16" x14ac:dyDescent="0.3">
      <c r="A2529" s="4">
        <v>11</v>
      </c>
      <c r="B2529" t="s">
        <v>11</v>
      </c>
      <c r="C2529" s="4">
        <v>35.76</v>
      </c>
      <c r="D2529" t="s">
        <v>29</v>
      </c>
      <c r="E2529" t="s">
        <v>13</v>
      </c>
      <c r="F2529" s="4" t="s">
        <v>25</v>
      </c>
      <c r="G2529" s="4" t="s">
        <v>39</v>
      </c>
      <c r="H2529" s="4">
        <v>1</v>
      </c>
      <c r="I2529" s="4">
        <v>12</v>
      </c>
      <c r="J2529" s="1">
        <v>45649</v>
      </c>
      <c r="K2529" s="2">
        <v>2.4935185185185185E-2</v>
      </c>
      <c r="M2529" s="4" t="str">
        <f t="shared" si="117"/>
        <v>HIGH</v>
      </c>
      <c r="N2529" s="4" t="str" cm="1">
        <f t="array" ref="N2529">_xlfn.IFS(C2529&gt;35,"HIGH",C2529&gt;25,"MIDDLE",TRUE,"LOW")</f>
        <v>HIGH</v>
      </c>
      <c r="O2529" s="4" t="str">
        <f t="shared" si="118"/>
        <v>PREMINUM MORNING</v>
      </c>
      <c r="P2529" s="4" t="str">
        <f t="shared" si="119"/>
        <v>PREMINUM MORNING</v>
      </c>
    </row>
    <row r="2530" spans="1:16" x14ac:dyDescent="0.3">
      <c r="A2530" s="4">
        <v>14</v>
      </c>
      <c r="B2530" t="s">
        <v>11</v>
      </c>
      <c r="C2530" s="4">
        <v>35.76</v>
      </c>
      <c r="D2530" t="s">
        <v>12</v>
      </c>
      <c r="E2530" t="s">
        <v>17</v>
      </c>
      <c r="F2530" s="4" t="s">
        <v>25</v>
      </c>
      <c r="G2530" s="4" t="s">
        <v>39</v>
      </c>
      <c r="H2530" s="4">
        <v>1</v>
      </c>
      <c r="I2530" s="4">
        <v>12</v>
      </c>
      <c r="J2530" s="1">
        <v>45649</v>
      </c>
      <c r="K2530" s="2">
        <v>3.8391203703703703E-3</v>
      </c>
      <c r="M2530" s="4" t="str">
        <f t="shared" si="117"/>
        <v>HIGH</v>
      </c>
      <c r="N2530" s="4" t="str" cm="1">
        <f t="array" ref="N2530">_xlfn.IFS(C2530&gt;35,"HIGH",C2530&gt;25,"MIDDLE",TRUE,"LOW")</f>
        <v>HIGH</v>
      </c>
      <c r="O2530" s="4" t="str">
        <f t="shared" si="118"/>
        <v>OTHERS</v>
      </c>
      <c r="P2530" s="4" t="str">
        <f t="shared" si="119"/>
        <v>PREMINUM MORNING</v>
      </c>
    </row>
    <row r="2531" spans="1:16" x14ac:dyDescent="0.3">
      <c r="A2531" s="4">
        <v>15</v>
      </c>
      <c r="B2531" t="s">
        <v>11</v>
      </c>
      <c r="C2531" s="4">
        <v>30.86</v>
      </c>
      <c r="D2531" t="s">
        <v>19</v>
      </c>
      <c r="E2531" t="s">
        <v>17</v>
      </c>
      <c r="F2531" s="4" t="s">
        <v>25</v>
      </c>
      <c r="G2531" s="4" t="s">
        <v>39</v>
      </c>
      <c r="H2531" s="4">
        <v>1</v>
      </c>
      <c r="I2531" s="4">
        <v>12</v>
      </c>
      <c r="J2531" s="1">
        <v>45649</v>
      </c>
      <c r="K2531" s="2">
        <v>2.7430555555555552E-4</v>
      </c>
      <c r="M2531" s="4" t="str">
        <f t="shared" si="117"/>
        <v>LOW</v>
      </c>
      <c r="N2531" s="4" t="str" cm="1">
        <f t="array" ref="N2531">_xlfn.IFS(C2531&gt;35,"HIGH",C2531&gt;25,"MIDDLE",TRUE,"LOW")</f>
        <v>MIDDLE</v>
      </c>
      <c r="O2531" s="4" t="str">
        <f t="shared" si="118"/>
        <v>OTHERS</v>
      </c>
      <c r="P2531" s="4" t="str">
        <f t="shared" si="119"/>
        <v>OTHERS</v>
      </c>
    </row>
    <row r="2532" spans="1:16" x14ac:dyDescent="0.3">
      <c r="A2532" s="4">
        <v>16</v>
      </c>
      <c r="B2532" t="s">
        <v>11</v>
      </c>
      <c r="C2532" s="4">
        <v>35.76</v>
      </c>
      <c r="D2532" t="s">
        <v>12</v>
      </c>
      <c r="E2532" t="s">
        <v>17</v>
      </c>
      <c r="F2532" s="4" t="s">
        <v>25</v>
      </c>
      <c r="G2532" s="4" t="s">
        <v>39</v>
      </c>
      <c r="H2532" s="4">
        <v>1</v>
      </c>
      <c r="I2532" s="4">
        <v>12</v>
      </c>
      <c r="J2532" s="1">
        <v>45649</v>
      </c>
      <c r="K2532" s="2">
        <v>1.0305555555555556E-2</v>
      </c>
      <c r="M2532" s="4" t="str">
        <f t="shared" si="117"/>
        <v>HIGH</v>
      </c>
      <c r="N2532" s="4" t="str" cm="1">
        <f t="array" ref="N2532">_xlfn.IFS(C2532&gt;35,"HIGH",C2532&gt;25,"MIDDLE",TRUE,"LOW")</f>
        <v>HIGH</v>
      </c>
      <c r="O2532" s="4" t="str">
        <f t="shared" si="118"/>
        <v>OTHERS</v>
      </c>
      <c r="P2532" s="4" t="str">
        <f t="shared" si="119"/>
        <v>PREMINUM MORNING</v>
      </c>
    </row>
    <row r="2533" spans="1:16" x14ac:dyDescent="0.3">
      <c r="A2533" s="4">
        <v>17</v>
      </c>
      <c r="B2533" t="s">
        <v>11</v>
      </c>
      <c r="C2533" s="4">
        <v>25.96</v>
      </c>
      <c r="D2533" t="s">
        <v>24</v>
      </c>
      <c r="E2533" t="s">
        <v>20</v>
      </c>
      <c r="F2533" s="4" t="s">
        <v>25</v>
      </c>
      <c r="G2533" s="4" t="s">
        <v>39</v>
      </c>
      <c r="H2533" s="4">
        <v>1</v>
      </c>
      <c r="I2533" s="4">
        <v>12</v>
      </c>
      <c r="J2533" s="1">
        <v>45649</v>
      </c>
      <c r="K2533" s="2">
        <v>1.4820601851851852E-2</v>
      </c>
      <c r="M2533" s="4" t="str">
        <f t="shared" si="117"/>
        <v>LOW</v>
      </c>
      <c r="N2533" s="4" t="str" cm="1">
        <f t="array" ref="N2533">_xlfn.IFS(C2533&gt;35,"HIGH",C2533&gt;25,"MIDDLE",TRUE,"LOW")</f>
        <v>MIDDLE</v>
      </c>
      <c r="O2533" s="4" t="str">
        <f t="shared" si="118"/>
        <v>OTHERS</v>
      </c>
      <c r="P2533" s="4" t="str">
        <f t="shared" si="119"/>
        <v>OTHERS</v>
      </c>
    </row>
    <row r="2534" spans="1:16" x14ac:dyDescent="0.3">
      <c r="A2534" s="4">
        <v>17</v>
      </c>
      <c r="B2534" t="s">
        <v>11</v>
      </c>
      <c r="C2534" s="4">
        <v>35.76</v>
      </c>
      <c r="D2534" t="s">
        <v>12</v>
      </c>
      <c r="E2534" t="s">
        <v>20</v>
      </c>
      <c r="F2534" s="4" t="s">
        <v>25</v>
      </c>
      <c r="G2534" s="4" t="s">
        <v>39</v>
      </c>
      <c r="H2534" s="4">
        <v>1</v>
      </c>
      <c r="I2534" s="4">
        <v>12</v>
      </c>
      <c r="J2534" s="1">
        <v>45649</v>
      </c>
      <c r="K2534" s="2">
        <v>1.5744212962962963E-2</v>
      </c>
      <c r="M2534" s="4" t="str">
        <f t="shared" si="117"/>
        <v>HIGH</v>
      </c>
      <c r="N2534" s="4" t="str" cm="1">
        <f t="array" ref="N2534">_xlfn.IFS(C2534&gt;35,"HIGH",C2534&gt;25,"MIDDLE",TRUE,"LOW")</f>
        <v>HIGH</v>
      </c>
      <c r="O2534" s="4" t="str">
        <f t="shared" si="118"/>
        <v>OTHERS</v>
      </c>
      <c r="P2534" s="4" t="str">
        <f t="shared" si="119"/>
        <v>PREMINUM MORNING</v>
      </c>
    </row>
    <row r="2535" spans="1:16" x14ac:dyDescent="0.3">
      <c r="A2535" s="4">
        <v>20</v>
      </c>
      <c r="B2535" t="s">
        <v>11</v>
      </c>
      <c r="C2535" s="4">
        <v>25.96</v>
      </c>
      <c r="D2535" t="s">
        <v>24</v>
      </c>
      <c r="E2535" t="s">
        <v>20</v>
      </c>
      <c r="F2535" s="4" t="s">
        <v>25</v>
      </c>
      <c r="G2535" s="4" t="s">
        <v>39</v>
      </c>
      <c r="H2535" s="4">
        <v>1</v>
      </c>
      <c r="I2535" s="4">
        <v>12</v>
      </c>
      <c r="J2535" s="1">
        <v>45649</v>
      </c>
      <c r="K2535" s="2">
        <v>3.2027777777777773E-2</v>
      </c>
      <c r="M2535" s="4" t="str">
        <f t="shared" si="117"/>
        <v>LOW</v>
      </c>
      <c r="N2535" s="4" t="str" cm="1">
        <f t="array" ref="N2535">_xlfn.IFS(C2535&gt;35,"HIGH",C2535&gt;25,"MIDDLE",TRUE,"LOW")</f>
        <v>MIDDLE</v>
      </c>
      <c r="O2535" s="4" t="str">
        <f t="shared" si="118"/>
        <v>OTHERS</v>
      </c>
      <c r="P2535" s="4" t="str">
        <f t="shared" si="119"/>
        <v>OTHERS</v>
      </c>
    </row>
    <row r="2536" spans="1:16" x14ac:dyDescent="0.3">
      <c r="A2536" s="4">
        <v>15</v>
      </c>
      <c r="B2536" t="s">
        <v>11</v>
      </c>
      <c r="C2536" s="4">
        <v>30.86</v>
      </c>
      <c r="D2536" t="s">
        <v>19</v>
      </c>
      <c r="E2536" t="s">
        <v>17</v>
      </c>
      <c r="F2536" s="4" t="s">
        <v>27</v>
      </c>
      <c r="G2536" s="4" t="s">
        <v>39</v>
      </c>
      <c r="H2536" s="4">
        <v>2</v>
      </c>
      <c r="I2536" s="4">
        <v>12</v>
      </c>
      <c r="J2536" s="1">
        <v>45650</v>
      </c>
      <c r="K2536" s="2">
        <v>7.4467592592592589E-3</v>
      </c>
      <c r="M2536" s="4" t="str">
        <f t="shared" si="117"/>
        <v>LOW</v>
      </c>
      <c r="N2536" s="4" t="str" cm="1">
        <f t="array" ref="N2536">_xlfn.IFS(C2536&gt;35,"HIGH",C2536&gt;25,"MIDDLE",TRUE,"LOW")</f>
        <v>MIDDLE</v>
      </c>
      <c r="O2536" s="4" t="str">
        <f t="shared" si="118"/>
        <v>OTHERS</v>
      </c>
      <c r="P2536" s="4" t="str">
        <f t="shared" si="119"/>
        <v>OTHERS</v>
      </c>
    </row>
    <row r="2537" spans="1:16" x14ac:dyDescent="0.3">
      <c r="A2537" s="4">
        <v>16</v>
      </c>
      <c r="B2537" t="s">
        <v>11</v>
      </c>
      <c r="C2537" s="4">
        <v>35.76</v>
      </c>
      <c r="D2537" t="s">
        <v>16</v>
      </c>
      <c r="E2537" t="s">
        <v>17</v>
      </c>
      <c r="F2537" s="4" t="s">
        <v>27</v>
      </c>
      <c r="G2537" s="4" t="s">
        <v>39</v>
      </c>
      <c r="H2537" s="4">
        <v>2</v>
      </c>
      <c r="I2537" s="4">
        <v>12</v>
      </c>
      <c r="J2537" s="1">
        <v>45650</v>
      </c>
      <c r="K2537" s="2">
        <v>5.9965277777777777E-3</v>
      </c>
      <c r="M2537" s="4" t="str">
        <f t="shared" si="117"/>
        <v>HIGH</v>
      </c>
      <c r="N2537" s="4" t="str" cm="1">
        <f t="array" ref="N2537">_xlfn.IFS(C2537&gt;35,"HIGH",C2537&gt;25,"MIDDLE",TRUE,"LOW")</f>
        <v>HIGH</v>
      </c>
      <c r="O2537" s="4" t="str">
        <f t="shared" si="118"/>
        <v>OTHERS</v>
      </c>
      <c r="P2537" s="4" t="str">
        <f t="shared" si="119"/>
        <v>PREMINUM MORNING</v>
      </c>
    </row>
    <row r="2538" spans="1:16" x14ac:dyDescent="0.3">
      <c r="A2538" s="4">
        <v>17</v>
      </c>
      <c r="B2538" t="s">
        <v>11</v>
      </c>
      <c r="C2538" s="4">
        <v>25.96</v>
      </c>
      <c r="D2538" t="s">
        <v>24</v>
      </c>
      <c r="E2538" t="s">
        <v>20</v>
      </c>
      <c r="F2538" s="4" t="s">
        <v>27</v>
      </c>
      <c r="G2538" s="4" t="s">
        <v>39</v>
      </c>
      <c r="H2538" s="4">
        <v>2</v>
      </c>
      <c r="I2538" s="4">
        <v>12</v>
      </c>
      <c r="J2538" s="1">
        <v>45650</v>
      </c>
      <c r="K2538" s="2">
        <v>3.8525462962962963E-2</v>
      </c>
      <c r="M2538" s="4" t="str">
        <f t="shared" si="117"/>
        <v>LOW</v>
      </c>
      <c r="N2538" s="4" t="str" cm="1">
        <f t="array" ref="N2538">_xlfn.IFS(C2538&gt;35,"HIGH",C2538&gt;25,"MIDDLE",TRUE,"LOW")</f>
        <v>MIDDLE</v>
      </c>
      <c r="O2538" s="4" t="str">
        <f t="shared" si="118"/>
        <v>OTHERS</v>
      </c>
      <c r="P2538" s="4" t="str">
        <f t="shared" si="119"/>
        <v>OTHERS</v>
      </c>
    </row>
    <row r="2539" spans="1:16" x14ac:dyDescent="0.3">
      <c r="A2539" s="4">
        <v>19</v>
      </c>
      <c r="B2539" t="s">
        <v>11</v>
      </c>
      <c r="C2539" s="4">
        <v>35.76</v>
      </c>
      <c r="D2539" t="s">
        <v>16</v>
      </c>
      <c r="E2539" t="s">
        <v>20</v>
      </c>
      <c r="F2539" s="4" t="s">
        <v>27</v>
      </c>
      <c r="G2539" s="4" t="s">
        <v>39</v>
      </c>
      <c r="H2539" s="4">
        <v>2</v>
      </c>
      <c r="I2539" s="4">
        <v>12</v>
      </c>
      <c r="J2539" s="1">
        <v>45650</v>
      </c>
      <c r="K2539" s="2">
        <v>7.3645833333333332E-3</v>
      </c>
      <c r="M2539" s="4" t="str">
        <f t="shared" si="117"/>
        <v>HIGH</v>
      </c>
      <c r="N2539" s="4" t="str" cm="1">
        <f t="array" ref="N2539">_xlfn.IFS(C2539&gt;35,"HIGH",C2539&gt;25,"MIDDLE",TRUE,"LOW")</f>
        <v>HIGH</v>
      </c>
      <c r="O2539" s="4" t="str">
        <f t="shared" si="118"/>
        <v>OTHERS</v>
      </c>
      <c r="P2539" s="4" t="str">
        <f t="shared" si="119"/>
        <v>PREMINUM MORNING</v>
      </c>
    </row>
    <row r="2540" spans="1:16" x14ac:dyDescent="0.3">
      <c r="A2540" s="4">
        <v>19</v>
      </c>
      <c r="B2540" t="s">
        <v>11</v>
      </c>
      <c r="C2540" s="4">
        <v>35.76</v>
      </c>
      <c r="D2540" t="s">
        <v>12</v>
      </c>
      <c r="E2540" t="s">
        <v>20</v>
      </c>
      <c r="F2540" s="4" t="s">
        <v>27</v>
      </c>
      <c r="G2540" s="4" t="s">
        <v>39</v>
      </c>
      <c r="H2540" s="4">
        <v>2</v>
      </c>
      <c r="I2540" s="4">
        <v>12</v>
      </c>
      <c r="J2540" s="1">
        <v>45650</v>
      </c>
      <c r="K2540" s="2">
        <v>8.0659722222222226E-3</v>
      </c>
      <c r="M2540" s="4" t="str">
        <f t="shared" si="117"/>
        <v>HIGH</v>
      </c>
      <c r="N2540" s="4" t="str" cm="1">
        <f t="array" ref="N2540">_xlfn.IFS(C2540&gt;35,"HIGH",C2540&gt;25,"MIDDLE",TRUE,"LOW")</f>
        <v>HIGH</v>
      </c>
      <c r="O2540" s="4" t="str">
        <f t="shared" si="118"/>
        <v>OTHERS</v>
      </c>
      <c r="P2540" s="4" t="str">
        <f t="shared" si="119"/>
        <v>PREMINUM MORNING</v>
      </c>
    </row>
    <row r="2541" spans="1:16" x14ac:dyDescent="0.3">
      <c r="A2541" s="4">
        <v>19</v>
      </c>
      <c r="B2541" t="s">
        <v>11</v>
      </c>
      <c r="C2541" s="4">
        <v>21.06</v>
      </c>
      <c r="D2541" t="s">
        <v>26</v>
      </c>
      <c r="E2541" t="s">
        <v>20</v>
      </c>
      <c r="F2541" s="4" t="s">
        <v>27</v>
      </c>
      <c r="G2541" s="4" t="s">
        <v>39</v>
      </c>
      <c r="H2541" s="4">
        <v>2</v>
      </c>
      <c r="I2541" s="4">
        <v>12</v>
      </c>
      <c r="J2541" s="1">
        <v>45650</v>
      </c>
      <c r="K2541" s="2">
        <v>8.7384259259259255E-3</v>
      </c>
      <c r="M2541" s="4" t="str">
        <f t="shared" si="117"/>
        <v>LOW</v>
      </c>
      <c r="N2541" s="4" t="str" cm="1">
        <f t="array" ref="N2541">_xlfn.IFS(C2541&gt;35,"HIGH",C2541&gt;25,"MIDDLE",TRUE,"LOW")</f>
        <v>LOW</v>
      </c>
      <c r="O2541" s="4" t="str">
        <f t="shared" si="118"/>
        <v>OTHERS</v>
      </c>
      <c r="P2541" s="4" t="str">
        <f t="shared" si="119"/>
        <v>OTHERS</v>
      </c>
    </row>
    <row r="2542" spans="1:16" x14ac:dyDescent="0.3">
      <c r="A2542" s="4">
        <v>19</v>
      </c>
      <c r="B2542" t="s">
        <v>11</v>
      </c>
      <c r="C2542" s="4">
        <v>35.76</v>
      </c>
      <c r="D2542" t="s">
        <v>29</v>
      </c>
      <c r="E2542" t="s">
        <v>20</v>
      </c>
      <c r="F2542" s="4" t="s">
        <v>27</v>
      </c>
      <c r="G2542" s="4" t="s">
        <v>39</v>
      </c>
      <c r="H2542" s="4">
        <v>2</v>
      </c>
      <c r="I2542" s="4">
        <v>12</v>
      </c>
      <c r="J2542" s="1">
        <v>45650</v>
      </c>
      <c r="K2542" s="2">
        <v>2.5026620370370373E-2</v>
      </c>
      <c r="M2542" s="4" t="str">
        <f t="shared" si="117"/>
        <v>HIGH</v>
      </c>
      <c r="N2542" s="4" t="str" cm="1">
        <f t="array" ref="N2542">_xlfn.IFS(C2542&gt;35,"HIGH",C2542&gt;25,"MIDDLE",TRUE,"LOW")</f>
        <v>HIGH</v>
      </c>
      <c r="O2542" s="4" t="str">
        <f t="shared" si="118"/>
        <v>OTHERS</v>
      </c>
      <c r="P2542" s="4" t="str">
        <f t="shared" si="119"/>
        <v>PREMINUM MORNING</v>
      </c>
    </row>
    <row r="2543" spans="1:16" x14ac:dyDescent="0.3">
      <c r="A2543" s="4">
        <v>10</v>
      </c>
      <c r="B2543" t="s">
        <v>11</v>
      </c>
      <c r="C2543" s="4">
        <v>35.76</v>
      </c>
      <c r="D2543" t="s">
        <v>12</v>
      </c>
      <c r="E2543" t="s">
        <v>13</v>
      </c>
      <c r="F2543" s="4" t="s">
        <v>28</v>
      </c>
      <c r="G2543" s="4" t="s">
        <v>39</v>
      </c>
      <c r="H2543" s="4">
        <v>3</v>
      </c>
      <c r="I2543" s="4">
        <v>12</v>
      </c>
      <c r="J2543" s="1">
        <v>45651</v>
      </c>
      <c r="K2543" s="2">
        <v>3.0518518518518521E-2</v>
      </c>
      <c r="M2543" s="4" t="str">
        <f t="shared" si="117"/>
        <v>HIGH</v>
      </c>
      <c r="N2543" s="4" t="str" cm="1">
        <f t="array" ref="N2543">_xlfn.IFS(C2543&gt;35,"HIGH",C2543&gt;25,"MIDDLE",TRUE,"LOW")</f>
        <v>HIGH</v>
      </c>
      <c r="O2543" s="4" t="str">
        <f t="shared" si="118"/>
        <v>PREMINUM MORNING</v>
      </c>
      <c r="P2543" s="4" t="str">
        <f t="shared" si="119"/>
        <v>PREMINUM MORNING</v>
      </c>
    </row>
    <row r="2544" spans="1:16" x14ac:dyDescent="0.3">
      <c r="A2544" s="4">
        <v>10</v>
      </c>
      <c r="B2544" t="s">
        <v>11</v>
      </c>
      <c r="C2544" s="4">
        <v>35.76</v>
      </c>
      <c r="D2544" t="s">
        <v>12</v>
      </c>
      <c r="E2544" t="s">
        <v>13</v>
      </c>
      <c r="F2544" s="4" t="s">
        <v>28</v>
      </c>
      <c r="G2544" s="4" t="s">
        <v>39</v>
      </c>
      <c r="H2544" s="4">
        <v>3</v>
      </c>
      <c r="I2544" s="4">
        <v>12</v>
      </c>
      <c r="J2544" s="1">
        <v>45651</v>
      </c>
      <c r="K2544" s="2">
        <v>3.1277777777777779E-2</v>
      </c>
      <c r="M2544" s="4" t="str">
        <f t="shared" si="117"/>
        <v>HIGH</v>
      </c>
      <c r="N2544" s="4" t="str" cm="1">
        <f t="array" ref="N2544">_xlfn.IFS(C2544&gt;35,"HIGH",C2544&gt;25,"MIDDLE",TRUE,"LOW")</f>
        <v>HIGH</v>
      </c>
      <c r="O2544" s="4" t="str">
        <f t="shared" si="118"/>
        <v>PREMINUM MORNING</v>
      </c>
      <c r="P2544" s="4" t="str">
        <f t="shared" si="119"/>
        <v>PREMINUM MORNING</v>
      </c>
    </row>
    <row r="2545" spans="1:16" x14ac:dyDescent="0.3">
      <c r="A2545" s="4">
        <v>12</v>
      </c>
      <c r="B2545" t="s">
        <v>11</v>
      </c>
      <c r="C2545" s="4">
        <v>30.86</v>
      </c>
      <c r="D2545" t="s">
        <v>19</v>
      </c>
      <c r="E2545" t="s">
        <v>17</v>
      </c>
      <c r="F2545" s="4" t="s">
        <v>28</v>
      </c>
      <c r="G2545" s="4" t="s">
        <v>39</v>
      </c>
      <c r="H2545" s="4">
        <v>3</v>
      </c>
      <c r="I2545" s="4">
        <v>12</v>
      </c>
      <c r="J2545" s="1">
        <v>45651</v>
      </c>
      <c r="K2545" s="2">
        <v>2.4343750000000001E-2</v>
      </c>
      <c r="M2545" s="4" t="str">
        <f t="shared" si="117"/>
        <v>LOW</v>
      </c>
      <c r="N2545" s="4" t="str" cm="1">
        <f t="array" ref="N2545">_xlfn.IFS(C2545&gt;35,"HIGH",C2545&gt;25,"MIDDLE",TRUE,"LOW")</f>
        <v>MIDDLE</v>
      </c>
      <c r="O2545" s="4" t="str">
        <f t="shared" si="118"/>
        <v>OTHERS</v>
      </c>
      <c r="P2545" s="4" t="str">
        <f t="shared" si="119"/>
        <v>OTHERS</v>
      </c>
    </row>
    <row r="2546" spans="1:16" x14ac:dyDescent="0.3">
      <c r="A2546" s="4">
        <v>12</v>
      </c>
      <c r="B2546" t="s">
        <v>11</v>
      </c>
      <c r="C2546" s="4">
        <v>25.96</v>
      </c>
      <c r="D2546" t="s">
        <v>18</v>
      </c>
      <c r="E2546" t="s">
        <v>17</v>
      </c>
      <c r="F2546" s="4" t="s">
        <v>28</v>
      </c>
      <c r="G2546" s="4" t="s">
        <v>39</v>
      </c>
      <c r="H2546" s="4">
        <v>3</v>
      </c>
      <c r="I2546" s="4">
        <v>12</v>
      </c>
      <c r="J2546" s="1">
        <v>45651</v>
      </c>
      <c r="K2546" s="2">
        <v>2.5001157407407406E-2</v>
      </c>
      <c r="M2546" s="4" t="str">
        <f t="shared" si="117"/>
        <v>LOW</v>
      </c>
      <c r="N2546" s="4" t="str" cm="1">
        <f t="array" ref="N2546">_xlfn.IFS(C2546&gt;35,"HIGH",C2546&gt;25,"MIDDLE",TRUE,"LOW")</f>
        <v>MIDDLE</v>
      </c>
      <c r="O2546" s="4" t="str">
        <f t="shared" si="118"/>
        <v>OTHERS</v>
      </c>
      <c r="P2546" s="4" t="str">
        <f t="shared" si="119"/>
        <v>OTHERS</v>
      </c>
    </row>
    <row r="2547" spans="1:16" x14ac:dyDescent="0.3">
      <c r="A2547" s="4">
        <v>13</v>
      </c>
      <c r="B2547" t="s">
        <v>11</v>
      </c>
      <c r="C2547" s="4">
        <v>30.86</v>
      </c>
      <c r="D2547" t="s">
        <v>19</v>
      </c>
      <c r="E2547" t="s">
        <v>17</v>
      </c>
      <c r="F2547" s="4" t="s">
        <v>28</v>
      </c>
      <c r="G2547" s="4" t="s">
        <v>39</v>
      </c>
      <c r="H2547" s="4">
        <v>3</v>
      </c>
      <c r="I2547" s="4">
        <v>12</v>
      </c>
      <c r="J2547" s="1">
        <v>45651</v>
      </c>
      <c r="K2547" s="2">
        <v>1.19375E-2</v>
      </c>
      <c r="M2547" s="4" t="str">
        <f t="shared" si="117"/>
        <v>LOW</v>
      </c>
      <c r="N2547" s="4" t="str" cm="1">
        <f t="array" ref="N2547">_xlfn.IFS(C2547&gt;35,"HIGH",C2547&gt;25,"MIDDLE",TRUE,"LOW")</f>
        <v>MIDDLE</v>
      </c>
      <c r="O2547" s="4" t="str">
        <f t="shared" si="118"/>
        <v>OTHERS</v>
      </c>
      <c r="P2547" s="4" t="str">
        <f t="shared" si="119"/>
        <v>OTHERS</v>
      </c>
    </row>
    <row r="2548" spans="1:16" x14ac:dyDescent="0.3">
      <c r="A2548" s="4">
        <v>13</v>
      </c>
      <c r="B2548" t="s">
        <v>11</v>
      </c>
      <c r="C2548" s="4">
        <v>25.96</v>
      </c>
      <c r="D2548" t="s">
        <v>18</v>
      </c>
      <c r="E2548" t="s">
        <v>17</v>
      </c>
      <c r="F2548" s="4" t="s">
        <v>28</v>
      </c>
      <c r="G2548" s="4" t="s">
        <v>39</v>
      </c>
      <c r="H2548" s="4">
        <v>3</v>
      </c>
      <c r="I2548" s="4">
        <v>12</v>
      </c>
      <c r="J2548" s="1">
        <v>45651</v>
      </c>
      <c r="K2548" s="2">
        <v>2.2771990740740742E-2</v>
      </c>
      <c r="M2548" s="4" t="str">
        <f t="shared" si="117"/>
        <v>LOW</v>
      </c>
      <c r="N2548" s="4" t="str" cm="1">
        <f t="array" ref="N2548">_xlfn.IFS(C2548&gt;35,"HIGH",C2548&gt;25,"MIDDLE",TRUE,"LOW")</f>
        <v>MIDDLE</v>
      </c>
      <c r="O2548" s="4" t="str">
        <f t="shared" si="118"/>
        <v>OTHERS</v>
      </c>
      <c r="P2548" s="4" t="str">
        <f t="shared" si="119"/>
        <v>OTHERS</v>
      </c>
    </row>
    <row r="2549" spans="1:16" x14ac:dyDescent="0.3">
      <c r="A2549" s="4">
        <v>20</v>
      </c>
      <c r="B2549" t="s">
        <v>11</v>
      </c>
      <c r="C2549" s="4">
        <v>35.76</v>
      </c>
      <c r="D2549" t="s">
        <v>29</v>
      </c>
      <c r="E2549" t="s">
        <v>20</v>
      </c>
      <c r="F2549" s="4" t="s">
        <v>28</v>
      </c>
      <c r="G2549" s="4" t="s">
        <v>39</v>
      </c>
      <c r="H2549" s="4">
        <v>3</v>
      </c>
      <c r="I2549" s="4">
        <v>12</v>
      </c>
      <c r="J2549" s="1">
        <v>45651</v>
      </c>
      <c r="K2549" s="2">
        <v>1.8553240740740741E-3</v>
      </c>
      <c r="M2549" s="4" t="str">
        <f t="shared" si="117"/>
        <v>HIGH</v>
      </c>
      <c r="N2549" s="4" t="str" cm="1">
        <f t="array" ref="N2549">_xlfn.IFS(C2549&gt;35,"HIGH",C2549&gt;25,"MIDDLE",TRUE,"LOW")</f>
        <v>HIGH</v>
      </c>
      <c r="O2549" s="4" t="str">
        <f t="shared" si="118"/>
        <v>OTHERS</v>
      </c>
      <c r="P2549" s="4" t="str">
        <f t="shared" si="119"/>
        <v>PREMINUM MORNING</v>
      </c>
    </row>
    <row r="2550" spans="1:16" x14ac:dyDescent="0.3">
      <c r="A2550" s="4">
        <v>21</v>
      </c>
      <c r="B2550" t="s">
        <v>11</v>
      </c>
      <c r="C2550" s="4">
        <v>35.76</v>
      </c>
      <c r="D2550" t="s">
        <v>21</v>
      </c>
      <c r="E2550" t="s">
        <v>20</v>
      </c>
      <c r="F2550" s="4" t="s">
        <v>28</v>
      </c>
      <c r="G2550" s="4" t="s">
        <v>39</v>
      </c>
      <c r="H2550" s="4">
        <v>3</v>
      </c>
      <c r="I2550" s="4">
        <v>12</v>
      </c>
      <c r="J2550" s="1">
        <v>45651</v>
      </c>
      <c r="K2550" s="2">
        <v>1.3076388888888889E-2</v>
      </c>
      <c r="M2550" s="4" t="str">
        <f t="shared" si="117"/>
        <v>HIGH</v>
      </c>
      <c r="N2550" s="4" t="str" cm="1">
        <f t="array" ref="N2550">_xlfn.IFS(C2550&gt;35,"HIGH",C2550&gt;25,"MIDDLE",TRUE,"LOW")</f>
        <v>HIGH</v>
      </c>
      <c r="O2550" s="4" t="str">
        <f t="shared" si="118"/>
        <v>OTHERS</v>
      </c>
      <c r="P2550" s="4" t="str">
        <f t="shared" si="119"/>
        <v>PREMINUM MORNING</v>
      </c>
    </row>
    <row r="2551" spans="1:16" x14ac:dyDescent="0.3">
      <c r="A2551" s="4">
        <v>21</v>
      </c>
      <c r="B2551" t="s">
        <v>11</v>
      </c>
      <c r="C2551" s="4">
        <v>35.76</v>
      </c>
      <c r="D2551" t="s">
        <v>21</v>
      </c>
      <c r="E2551" t="s">
        <v>20</v>
      </c>
      <c r="F2551" s="4" t="s">
        <v>28</v>
      </c>
      <c r="G2551" s="4" t="s">
        <v>39</v>
      </c>
      <c r="H2551" s="4">
        <v>3</v>
      </c>
      <c r="I2551" s="4">
        <v>12</v>
      </c>
      <c r="J2551" s="1">
        <v>45651</v>
      </c>
      <c r="K2551" s="2">
        <v>1.3681712962962961E-2</v>
      </c>
      <c r="M2551" s="4" t="str">
        <f t="shared" si="117"/>
        <v>HIGH</v>
      </c>
      <c r="N2551" s="4" t="str" cm="1">
        <f t="array" ref="N2551">_xlfn.IFS(C2551&gt;35,"HIGH",C2551&gt;25,"MIDDLE",TRUE,"LOW")</f>
        <v>HIGH</v>
      </c>
      <c r="O2551" s="4" t="str">
        <f t="shared" si="118"/>
        <v>OTHERS</v>
      </c>
      <c r="P2551" s="4" t="str">
        <f t="shared" si="119"/>
        <v>PREMINUM MORNING</v>
      </c>
    </row>
    <row r="2552" spans="1:16" x14ac:dyDescent="0.3">
      <c r="A2552" s="4">
        <v>21</v>
      </c>
      <c r="B2552" t="s">
        <v>11</v>
      </c>
      <c r="C2552" s="4">
        <v>35.76</v>
      </c>
      <c r="D2552" t="s">
        <v>12</v>
      </c>
      <c r="E2552" t="s">
        <v>20</v>
      </c>
      <c r="F2552" s="4" t="s">
        <v>28</v>
      </c>
      <c r="G2552" s="4" t="s">
        <v>39</v>
      </c>
      <c r="H2552" s="4">
        <v>3</v>
      </c>
      <c r="I2552" s="4">
        <v>12</v>
      </c>
      <c r="J2552" s="1">
        <v>45651</v>
      </c>
      <c r="K2552" s="2">
        <v>3.9934027777777777E-2</v>
      </c>
      <c r="M2552" s="4" t="str">
        <f t="shared" si="117"/>
        <v>HIGH</v>
      </c>
      <c r="N2552" s="4" t="str" cm="1">
        <f t="array" ref="N2552">_xlfn.IFS(C2552&gt;35,"HIGH",C2552&gt;25,"MIDDLE",TRUE,"LOW")</f>
        <v>HIGH</v>
      </c>
      <c r="O2552" s="4" t="str">
        <f t="shared" si="118"/>
        <v>OTHERS</v>
      </c>
      <c r="P2552" s="4" t="str">
        <f t="shared" si="119"/>
        <v>PREMINUM MORNING</v>
      </c>
    </row>
    <row r="2553" spans="1:16" x14ac:dyDescent="0.3">
      <c r="A2553" s="4">
        <v>22</v>
      </c>
      <c r="B2553" t="s">
        <v>11</v>
      </c>
      <c r="C2553" s="4">
        <v>35.76</v>
      </c>
      <c r="D2553" t="s">
        <v>29</v>
      </c>
      <c r="E2553" t="s">
        <v>20</v>
      </c>
      <c r="F2553" s="4" t="s">
        <v>28</v>
      </c>
      <c r="G2553" s="4" t="s">
        <v>39</v>
      </c>
      <c r="H2553" s="4">
        <v>3</v>
      </c>
      <c r="I2553" s="4">
        <v>12</v>
      </c>
      <c r="J2553" s="1">
        <v>45651</v>
      </c>
      <c r="K2553" s="2">
        <v>3.5450231481481485E-2</v>
      </c>
      <c r="M2553" s="4" t="str">
        <f t="shared" si="117"/>
        <v>HIGH</v>
      </c>
      <c r="N2553" s="4" t="str" cm="1">
        <f t="array" ref="N2553">_xlfn.IFS(C2553&gt;35,"HIGH",C2553&gt;25,"MIDDLE",TRUE,"LOW")</f>
        <v>HIGH</v>
      </c>
      <c r="O2553" s="4" t="str">
        <f t="shared" si="118"/>
        <v>OTHERS</v>
      </c>
      <c r="P2553" s="4" t="str">
        <f t="shared" si="119"/>
        <v>PREMINUM MORNING</v>
      </c>
    </row>
    <row r="2554" spans="1:16" x14ac:dyDescent="0.3">
      <c r="A2554" s="4">
        <v>22</v>
      </c>
      <c r="B2554" t="s">
        <v>11</v>
      </c>
      <c r="C2554" s="4">
        <v>30.86</v>
      </c>
      <c r="D2554" t="s">
        <v>19</v>
      </c>
      <c r="E2554" t="s">
        <v>20</v>
      </c>
      <c r="F2554" s="4" t="s">
        <v>28</v>
      </c>
      <c r="G2554" s="4" t="s">
        <v>39</v>
      </c>
      <c r="H2554" s="4">
        <v>3</v>
      </c>
      <c r="I2554" s="4">
        <v>12</v>
      </c>
      <c r="J2554" s="1">
        <v>45651</v>
      </c>
      <c r="K2554" s="2">
        <v>3.687962962962963E-2</v>
      </c>
      <c r="M2554" s="4" t="str">
        <f t="shared" si="117"/>
        <v>LOW</v>
      </c>
      <c r="N2554" s="4" t="str" cm="1">
        <f t="array" ref="N2554">_xlfn.IFS(C2554&gt;35,"HIGH",C2554&gt;25,"MIDDLE",TRUE,"LOW")</f>
        <v>MIDDLE</v>
      </c>
      <c r="O2554" s="4" t="str">
        <f t="shared" si="118"/>
        <v>OTHERS</v>
      </c>
      <c r="P2554" s="4" t="str">
        <f t="shared" si="119"/>
        <v>OTHERS</v>
      </c>
    </row>
    <row r="2555" spans="1:16" x14ac:dyDescent="0.3">
      <c r="A2555" s="4">
        <v>13</v>
      </c>
      <c r="B2555" t="s">
        <v>11</v>
      </c>
      <c r="C2555" s="4">
        <v>35.76</v>
      </c>
      <c r="D2555" t="s">
        <v>29</v>
      </c>
      <c r="E2555" t="s">
        <v>17</v>
      </c>
      <c r="F2555" s="4" t="s">
        <v>30</v>
      </c>
      <c r="G2555" s="4" t="s">
        <v>39</v>
      </c>
      <c r="H2555" s="4">
        <v>4</v>
      </c>
      <c r="I2555" s="4">
        <v>12</v>
      </c>
      <c r="J2555" s="1">
        <v>45652</v>
      </c>
      <c r="K2555" s="2">
        <v>8.7719907407407399E-3</v>
      </c>
      <c r="M2555" s="4" t="str">
        <f t="shared" si="117"/>
        <v>HIGH</v>
      </c>
      <c r="N2555" s="4" t="str" cm="1">
        <f t="array" ref="N2555">_xlfn.IFS(C2555&gt;35,"HIGH",C2555&gt;25,"MIDDLE",TRUE,"LOW")</f>
        <v>HIGH</v>
      </c>
      <c r="O2555" s="4" t="str">
        <f t="shared" si="118"/>
        <v>OTHERS</v>
      </c>
      <c r="P2555" s="4" t="str">
        <f t="shared" si="119"/>
        <v>PREMINUM MORNING</v>
      </c>
    </row>
    <row r="2556" spans="1:16" x14ac:dyDescent="0.3">
      <c r="A2556" s="4">
        <v>15</v>
      </c>
      <c r="B2556" t="s">
        <v>11</v>
      </c>
      <c r="C2556" s="4">
        <v>21.06</v>
      </c>
      <c r="D2556" t="s">
        <v>26</v>
      </c>
      <c r="E2556" t="s">
        <v>17</v>
      </c>
      <c r="F2556" s="4" t="s">
        <v>30</v>
      </c>
      <c r="G2556" s="4" t="s">
        <v>39</v>
      </c>
      <c r="H2556" s="4">
        <v>4</v>
      </c>
      <c r="I2556" s="4">
        <v>12</v>
      </c>
      <c r="J2556" s="1">
        <v>45652</v>
      </c>
      <c r="K2556" s="2">
        <v>3.1770833333333334E-3</v>
      </c>
      <c r="M2556" s="4" t="str">
        <f t="shared" si="117"/>
        <v>LOW</v>
      </c>
      <c r="N2556" s="4" t="str" cm="1">
        <f t="array" ref="N2556">_xlfn.IFS(C2556&gt;35,"HIGH",C2556&gt;25,"MIDDLE",TRUE,"LOW")</f>
        <v>LOW</v>
      </c>
      <c r="O2556" s="4" t="str">
        <f t="shared" si="118"/>
        <v>OTHERS</v>
      </c>
      <c r="P2556" s="4" t="str">
        <f t="shared" si="119"/>
        <v>OTHERS</v>
      </c>
    </row>
    <row r="2557" spans="1:16" x14ac:dyDescent="0.3">
      <c r="A2557" s="4">
        <v>7</v>
      </c>
      <c r="B2557" t="s">
        <v>11</v>
      </c>
      <c r="C2557" s="4">
        <v>25.96</v>
      </c>
      <c r="D2557" t="s">
        <v>18</v>
      </c>
      <c r="E2557" t="s">
        <v>13</v>
      </c>
      <c r="F2557" s="4" t="s">
        <v>14</v>
      </c>
      <c r="G2557" s="4" t="s">
        <v>39</v>
      </c>
      <c r="H2557" s="4">
        <v>5</v>
      </c>
      <c r="I2557" s="4">
        <v>12</v>
      </c>
      <c r="J2557" s="1">
        <v>45653</v>
      </c>
      <c r="K2557" s="2">
        <v>3.4961805555555552E-2</v>
      </c>
      <c r="M2557" s="4" t="str">
        <f t="shared" si="117"/>
        <v>LOW</v>
      </c>
      <c r="N2557" s="4" t="str" cm="1">
        <f t="array" ref="N2557">_xlfn.IFS(C2557&gt;35,"HIGH",C2557&gt;25,"MIDDLE",TRUE,"LOW")</f>
        <v>MIDDLE</v>
      </c>
      <c r="O2557" s="4" t="str">
        <f t="shared" si="118"/>
        <v>OTHERS</v>
      </c>
      <c r="P2557" s="4" t="str">
        <f t="shared" si="119"/>
        <v>PREMINUM MORNING</v>
      </c>
    </row>
    <row r="2558" spans="1:16" x14ac:dyDescent="0.3">
      <c r="A2558" s="4">
        <v>8</v>
      </c>
      <c r="B2558" t="s">
        <v>11</v>
      </c>
      <c r="C2558" s="4">
        <v>25.96</v>
      </c>
      <c r="D2558" t="s">
        <v>24</v>
      </c>
      <c r="E2558" t="s">
        <v>13</v>
      </c>
      <c r="F2558" s="4" t="s">
        <v>14</v>
      </c>
      <c r="G2558" s="4" t="s">
        <v>39</v>
      </c>
      <c r="H2558" s="4">
        <v>5</v>
      </c>
      <c r="I2558" s="4">
        <v>12</v>
      </c>
      <c r="J2558" s="1">
        <v>45653</v>
      </c>
      <c r="K2558" s="2">
        <v>4.0033564814814813E-2</v>
      </c>
      <c r="M2558" s="4" t="str">
        <f t="shared" si="117"/>
        <v>LOW</v>
      </c>
      <c r="N2558" s="4" t="str" cm="1">
        <f t="array" ref="N2558">_xlfn.IFS(C2558&gt;35,"HIGH",C2558&gt;25,"MIDDLE",TRUE,"LOW")</f>
        <v>MIDDLE</v>
      </c>
      <c r="O2558" s="4" t="str">
        <f t="shared" si="118"/>
        <v>OTHERS</v>
      </c>
      <c r="P2558" s="4" t="str">
        <f t="shared" si="119"/>
        <v>PREMINUM MORNING</v>
      </c>
    </row>
    <row r="2559" spans="1:16" x14ac:dyDescent="0.3">
      <c r="A2559" s="4">
        <v>9</v>
      </c>
      <c r="B2559" t="s">
        <v>11</v>
      </c>
      <c r="C2559" s="4">
        <v>25.96</v>
      </c>
      <c r="D2559" t="s">
        <v>24</v>
      </c>
      <c r="E2559" t="s">
        <v>13</v>
      </c>
      <c r="F2559" s="4" t="s">
        <v>14</v>
      </c>
      <c r="G2559" s="4" t="s">
        <v>39</v>
      </c>
      <c r="H2559" s="4">
        <v>5</v>
      </c>
      <c r="I2559" s="4">
        <v>12</v>
      </c>
      <c r="J2559" s="1">
        <v>45653</v>
      </c>
      <c r="K2559" s="2">
        <v>6.8888888888888897E-3</v>
      </c>
      <c r="M2559" s="4" t="str">
        <f t="shared" si="117"/>
        <v>LOW</v>
      </c>
      <c r="N2559" s="4" t="str" cm="1">
        <f t="array" ref="N2559">_xlfn.IFS(C2559&gt;35,"HIGH",C2559&gt;25,"MIDDLE",TRUE,"LOW")</f>
        <v>MIDDLE</v>
      </c>
      <c r="O2559" s="4" t="str">
        <f t="shared" si="118"/>
        <v>OTHERS</v>
      </c>
      <c r="P2559" s="4" t="str">
        <f t="shared" si="119"/>
        <v>PREMINUM MORNING</v>
      </c>
    </row>
    <row r="2560" spans="1:16" x14ac:dyDescent="0.3">
      <c r="A2560" s="4">
        <v>10</v>
      </c>
      <c r="B2560" t="s">
        <v>11</v>
      </c>
      <c r="C2560" s="4">
        <v>30.86</v>
      </c>
      <c r="D2560" t="s">
        <v>19</v>
      </c>
      <c r="E2560" t="s">
        <v>13</v>
      </c>
      <c r="F2560" s="4" t="s">
        <v>14</v>
      </c>
      <c r="G2560" s="4" t="s">
        <v>39</v>
      </c>
      <c r="H2560" s="4">
        <v>5</v>
      </c>
      <c r="I2560" s="4">
        <v>12</v>
      </c>
      <c r="J2560" s="1">
        <v>45653</v>
      </c>
      <c r="K2560" s="2">
        <v>8.9513888888888889E-3</v>
      </c>
      <c r="M2560" s="4" t="str">
        <f t="shared" si="117"/>
        <v>LOW</v>
      </c>
      <c r="N2560" s="4" t="str" cm="1">
        <f t="array" ref="N2560">_xlfn.IFS(C2560&gt;35,"HIGH",C2560&gt;25,"MIDDLE",TRUE,"LOW")</f>
        <v>MIDDLE</v>
      </c>
      <c r="O2560" s="4" t="str">
        <f t="shared" si="118"/>
        <v>OTHERS</v>
      </c>
      <c r="P2560" s="4" t="str">
        <f t="shared" si="119"/>
        <v>PREMINUM MORNING</v>
      </c>
    </row>
    <row r="2561" spans="1:16" x14ac:dyDescent="0.3">
      <c r="A2561" s="4">
        <v>17</v>
      </c>
      <c r="B2561" t="s">
        <v>11</v>
      </c>
      <c r="C2561" s="4">
        <v>35.76</v>
      </c>
      <c r="D2561" t="s">
        <v>12</v>
      </c>
      <c r="E2561" t="s">
        <v>20</v>
      </c>
      <c r="F2561" s="4" t="s">
        <v>14</v>
      </c>
      <c r="G2561" s="4" t="s">
        <v>39</v>
      </c>
      <c r="H2561" s="4">
        <v>5</v>
      </c>
      <c r="I2561" s="4">
        <v>12</v>
      </c>
      <c r="J2561" s="1">
        <v>45653</v>
      </c>
      <c r="K2561" s="2">
        <v>8.3865740740740741E-3</v>
      </c>
      <c r="M2561" s="4" t="str">
        <f t="shared" si="117"/>
        <v>HIGH</v>
      </c>
      <c r="N2561" s="4" t="str" cm="1">
        <f t="array" ref="N2561">_xlfn.IFS(C2561&gt;35,"HIGH",C2561&gt;25,"MIDDLE",TRUE,"LOW")</f>
        <v>HIGH</v>
      </c>
      <c r="O2561" s="4" t="str">
        <f t="shared" si="118"/>
        <v>OTHERS</v>
      </c>
      <c r="P2561" s="4" t="str">
        <f t="shared" si="119"/>
        <v>PREMINUM MORNING</v>
      </c>
    </row>
    <row r="2562" spans="1:16" x14ac:dyDescent="0.3">
      <c r="A2562" s="4">
        <v>19</v>
      </c>
      <c r="B2562" t="s">
        <v>11</v>
      </c>
      <c r="C2562" s="4">
        <v>25.96</v>
      </c>
      <c r="D2562" t="s">
        <v>18</v>
      </c>
      <c r="E2562" t="s">
        <v>20</v>
      </c>
      <c r="F2562" s="4" t="s">
        <v>14</v>
      </c>
      <c r="G2562" s="4" t="s">
        <v>39</v>
      </c>
      <c r="H2562" s="4">
        <v>5</v>
      </c>
      <c r="I2562" s="4">
        <v>12</v>
      </c>
      <c r="J2562" s="1">
        <v>45653</v>
      </c>
      <c r="K2562" s="2">
        <v>3.2961805555555557E-2</v>
      </c>
      <c r="M2562" s="4" t="str">
        <f t="shared" si="117"/>
        <v>LOW</v>
      </c>
      <c r="N2562" s="4" t="str" cm="1">
        <f t="array" ref="N2562">_xlfn.IFS(C2562&gt;35,"HIGH",C2562&gt;25,"MIDDLE",TRUE,"LOW")</f>
        <v>MIDDLE</v>
      </c>
      <c r="O2562" s="4" t="str">
        <f t="shared" si="118"/>
        <v>OTHERS</v>
      </c>
      <c r="P2562" s="4" t="str">
        <f t="shared" si="119"/>
        <v>OTHERS</v>
      </c>
    </row>
    <row r="2563" spans="1:16" x14ac:dyDescent="0.3">
      <c r="A2563" s="4">
        <v>19</v>
      </c>
      <c r="B2563" t="s">
        <v>11</v>
      </c>
      <c r="C2563" s="4">
        <v>30.86</v>
      </c>
      <c r="D2563" t="s">
        <v>19</v>
      </c>
      <c r="E2563" t="s">
        <v>20</v>
      </c>
      <c r="F2563" s="4" t="s">
        <v>14</v>
      </c>
      <c r="G2563" s="4" t="s">
        <v>39</v>
      </c>
      <c r="H2563" s="4">
        <v>5</v>
      </c>
      <c r="I2563" s="4">
        <v>12</v>
      </c>
      <c r="J2563" s="1">
        <v>45653</v>
      </c>
      <c r="K2563" s="2">
        <v>3.3583333333333333E-2</v>
      </c>
      <c r="M2563" s="4" t="str">
        <f t="shared" ref="M2563:M2626" si="120">IF(C2563&gt;35,"HIGH","LOW")</f>
        <v>LOW</v>
      </c>
      <c r="N2563" s="4" t="str" cm="1">
        <f t="array" ref="N2563">_xlfn.IFS(C2563&gt;35,"HIGH",C2563&gt;25,"MIDDLE",TRUE,"LOW")</f>
        <v>MIDDLE</v>
      </c>
      <c r="O2563" s="4" t="str">
        <f t="shared" ref="O2563:O2626" si="121">IF(AND(C2563&gt;35,E2563="MORNING"),"PREMINUM MORNING","OTHERS")</f>
        <v>OTHERS</v>
      </c>
      <c r="P2563" s="4" t="str">
        <f t="shared" ref="P2563:P2626" si="122">IF(OR(C2563&gt;35,E2563="MORNING"),"PREMINUM MORNING","OTHERS")</f>
        <v>OTHERS</v>
      </c>
    </row>
    <row r="2564" spans="1:16" x14ac:dyDescent="0.3">
      <c r="A2564" s="4">
        <v>22</v>
      </c>
      <c r="B2564" t="s">
        <v>11</v>
      </c>
      <c r="C2564" s="4">
        <v>35.76</v>
      </c>
      <c r="D2564" t="s">
        <v>21</v>
      </c>
      <c r="E2564" t="s">
        <v>20</v>
      </c>
      <c r="F2564" s="4" t="s">
        <v>14</v>
      </c>
      <c r="G2564" s="4" t="s">
        <v>39</v>
      </c>
      <c r="H2564" s="4">
        <v>5</v>
      </c>
      <c r="I2564" s="4">
        <v>12</v>
      </c>
      <c r="J2564" s="1">
        <v>45653</v>
      </c>
      <c r="K2564" s="2">
        <v>3.7880787037037039E-2</v>
      </c>
      <c r="M2564" s="4" t="str">
        <f t="shared" si="120"/>
        <v>HIGH</v>
      </c>
      <c r="N2564" s="4" t="str" cm="1">
        <f t="array" ref="N2564">_xlfn.IFS(C2564&gt;35,"HIGH",C2564&gt;25,"MIDDLE",TRUE,"LOW")</f>
        <v>HIGH</v>
      </c>
      <c r="O2564" s="4" t="str">
        <f t="shared" si="121"/>
        <v>OTHERS</v>
      </c>
      <c r="P2564" s="4" t="str">
        <f t="shared" si="122"/>
        <v>PREMINUM MORNING</v>
      </c>
    </row>
    <row r="2565" spans="1:16" x14ac:dyDescent="0.3">
      <c r="A2565" s="4">
        <v>9</v>
      </c>
      <c r="B2565" t="s">
        <v>11</v>
      </c>
      <c r="C2565" s="4">
        <v>25.96</v>
      </c>
      <c r="D2565" t="s">
        <v>24</v>
      </c>
      <c r="E2565" t="s">
        <v>13</v>
      </c>
      <c r="F2565" s="4" t="s">
        <v>22</v>
      </c>
      <c r="G2565" s="4" t="s">
        <v>39</v>
      </c>
      <c r="H2565" s="4">
        <v>6</v>
      </c>
      <c r="I2565" s="4">
        <v>12</v>
      </c>
      <c r="J2565" s="1">
        <v>45654</v>
      </c>
      <c r="K2565" s="2">
        <v>2.7199074074074072E-4</v>
      </c>
      <c r="M2565" s="4" t="str">
        <f t="shared" si="120"/>
        <v>LOW</v>
      </c>
      <c r="N2565" s="4" t="str" cm="1">
        <f t="array" ref="N2565">_xlfn.IFS(C2565&gt;35,"HIGH",C2565&gt;25,"MIDDLE",TRUE,"LOW")</f>
        <v>MIDDLE</v>
      </c>
      <c r="O2565" s="4" t="str">
        <f t="shared" si="121"/>
        <v>OTHERS</v>
      </c>
      <c r="P2565" s="4" t="str">
        <f t="shared" si="122"/>
        <v>PREMINUM MORNING</v>
      </c>
    </row>
    <row r="2566" spans="1:16" x14ac:dyDescent="0.3">
      <c r="A2566" s="4">
        <v>9</v>
      </c>
      <c r="B2566" t="s">
        <v>11</v>
      </c>
      <c r="C2566" s="4">
        <v>25.96</v>
      </c>
      <c r="D2566" t="s">
        <v>24</v>
      </c>
      <c r="E2566" t="s">
        <v>13</v>
      </c>
      <c r="F2566" s="4" t="s">
        <v>22</v>
      </c>
      <c r="G2566" s="4" t="s">
        <v>39</v>
      </c>
      <c r="H2566" s="4">
        <v>6</v>
      </c>
      <c r="I2566" s="4">
        <v>12</v>
      </c>
      <c r="J2566" s="1">
        <v>45654</v>
      </c>
      <c r="K2566" s="2">
        <v>3.5160879629629632E-2</v>
      </c>
      <c r="M2566" s="4" t="str">
        <f t="shared" si="120"/>
        <v>LOW</v>
      </c>
      <c r="N2566" s="4" t="str" cm="1">
        <f t="array" ref="N2566">_xlfn.IFS(C2566&gt;35,"HIGH",C2566&gt;25,"MIDDLE",TRUE,"LOW")</f>
        <v>MIDDLE</v>
      </c>
      <c r="O2566" s="4" t="str">
        <f t="shared" si="121"/>
        <v>OTHERS</v>
      </c>
      <c r="P2566" s="4" t="str">
        <f t="shared" si="122"/>
        <v>PREMINUM MORNING</v>
      </c>
    </row>
    <row r="2567" spans="1:16" x14ac:dyDescent="0.3">
      <c r="A2567" s="4">
        <v>10</v>
      </c>
      <c r="B2567" t="s">
        <v>11</v>
      </c>
      <c r="C2567" s="4">
        <v>30.86</v>
      </c>
      <c r="D2567" t="s">
        <v>19</v>
      </c>
      <c r="E2567" t="s">
        <v>13</v>
      </c>
      <c r="F2567" s="4" t="s">
        <v>22</v>
      </c>
      <c r="G2567" s="4" t="s">
        <v>39</v>
      </c>
      <c r="H2567" s="4">
        <v>6</v>
      </c>
      <c r="I2567" s="4">
        <v>12</v>
      </c>
      <c r="J2567" s="1">
        <v>45654</v>
      </c>
      <c r="K2567" s="2">
        <v>1.3011574074074075E-2</v>
      </c>
      <c r="M2567" s="4" t="str">
        <f t="shared" si="120"/>
        <v>LOW</v>
      </c>
      <c r="N2567" s="4" t="str" cm="1">
        <f t="array" ref="N2567">_xlfn.IFS(C2567&gt;35,"HIGH",C2567&gt;25,"MIDDLE",TRUE,"LOW")</f>
        <v>MIDDLE</v>
      </c>
      <c r="O2567" s="4" t="str">
        <f t="shared" si="121"/>
        <v>OTHERS</v>
      </c>
      <c r="P2567" s="4" t="str">
        <f t="shared" si="122"/>
        <v>PREMINUM MORNING</v>
      </c>
    </row>
    <row r="2568" spans="1:16" x14ac:dyDescent="0.3">
      <c r="A2568" s="4">
        <v>10</v>
      </c>
      <c r="B2568" t="s">
        <v>11</v>
      </c>
      <c r="C2568" s="4">
        <v>35.76</v>
      </c>
      <c r="D2568" t="s">
        <v>12</v>
      </c>
      <c r="E2568" t="s">
        <v>13</v>
      </c>
      <c r="F2568" s="4" t="s">
        <v>22</v>
      </c>
      <c r="G2568" s="4" t="s">
        <v>39</v>
      </c>
      <c r="H2568" s="4">
        <v>6</v>
      </c>
      <c r="I2568" s="4">
        <v>12</v>
      </c>
      <c r="J2568" s="1">
        <v>45654</v>
      </c>
      <c r="K2568" s="2">
        <v>3.6146990740740736E-2</v>
      </c>
      <c r="M2568" s="4" t="str">
        <f t="shared" si="120"/>
        <v>HIGH</v>
      </c>
      <c r="N2568" s="4" t="str" cm="1">
        <f t="array" ref="N2568">_xlfn.IFS(C2568&gt;35,"HIGH",C2568&gt;25,"MIDDLE",TRUE,"LOW")</f>
        <v>HIGH</v>
      </c>
      <c r="O2568" s="4" t="str">
        <f t="shared" si="121"/>
        <v>PREMINUM MORNING</v>
      </c>
      <c r="P2568" s="4" t="str">
        <f t="shared" si="122"/>
        <v>PREMINUM MORNING</v>
      </c>
    </row>
    <row r="2569" spans="1:16" x14ac:dyDescent="0.3">
      <c r="A2569" s="4">
        <v>14</v>
      </c>
      <c r="B2569" t="s">
        <v>11</v>
      </c>
      <c r="C2569" s="4">
        <v>35.76</v>
      </c>
      <c r="D2569" t="s">
        <v>29</v>
      </c>
      <c r="E2569" t="s">
        <v>17</v>
      </c>
      <c r="F2569" s="4" t="s">
        <v>22</v>
      </c>
      <c r="G2569" s="4" t="s">
        <v>39</v>
      </c>
      <c r="H2569" s="4">
        <v>6</v>
      </c>
      <c r="I2569" s="4">
        <v>12</v>
      </c>
      <c r="J2569" s="1">
        <v>45654</v>
      </c>
      <c r="K2569" s="2">
        <v>6.95949074074074E-3</v>
      </c>
      <c r="M2569" s="4" t="str">
        <f t="shared" si="120"/>
        <v>HIGH</v>
      </c>
      <c r="N2569" s="4" t="str" cm="1">
        <f t="array" ref="N2569">_xlfn.IFS(C2569&gt;35,"HIGH",C2569&gt;25,"MIDDLE",TRUE,"LOW")</f>
        <v>HIGH</v>
      </c>
      <c r="O2569" s="4" t="str">
        <f t="shared" si="121"/>
        <v>OTHERS</v>
      </c>
      <c r="P2569" s="4" t="str">
        <f t="shared" si="122"/>
        <v>PREMINUM MORNING</v>
      </c>
    </row>
    <row r="2570" spans="1:16" x14ac:dyDescent="0.3">
      <c r="A2570" s="4">
        <v>14</v>
      </c>
      <c r="B2570" t="s">
        <v>11</v>
      </c>
      <c r="C2570" s="4">
        <v>35.76</v>
      </c>
      <c r="D2570" t="s">
        <v>16</v>
      </c>
      <c r="E2570" t="s">
        <v>17</v>
      </c>
      <c r="F2570" s="4" t="s">
        <v>22</v>
      </c>
      <c r="G2570" s="4" t="s">
        <v>39</v>
      </c>
      <c r="H2570" s="4">
        <v>6</v>
      </c>
      <c r="I2570" s="4">
        <v>12</v>
      </c>
      <c r="J2570" s="1">
        <v>45654</v>
      </c>
      <c r="K2570" s="2">
        <v>9.2291666666666668E-3</v>
      </c>
      <c r="M2570" s="4" t="str">
        <f t="shared" si="120"/>
        <v>HIGH</v>
      </c>
      <c r="N2570" s="4" t="str" cm="1">
        <f t="array" ref="N2570">_xlfn.IFS(C2570&gt;35,"HIGH",C2570&gt;25,"MIDDLE",TRUE,"LOW")</f>
        <v>HIGH</v>
      </c>
      <c r="O2570" s="4" t="str">
        <f t="shared" si="121"/>
        <v>OTHERS</v>
      </c>
      <c r="P2570" s="4" t="str">
        <f t="shared" si="122"/>
        <v>PREMINUM MORNING</v>
      </c>
    </row>
    <row r="2571" spans="1:16" x14ac:dyDescent="0.3">
      <c r="A2571" s="4">
        <v>17</v>
      </c>
      <c r="B2571" t="s">
        <v>11</v>
      </c>
      <c r="C2571" s="4">
        <v>35.76</v>
      </c>
      <c r="D2571" t="s">
        <v>12</v>
      </c>
      <c r="E2571" t="s">
        <v>20</v>
      </c>
      <c r="F2571" s="4" t="s">
        <v>22</v>
      </c>
      <c r="G2571" s="4" t="s">
        <v>39</v>
      </c>
      <c r="H2571" s="4">
        <v>6</v>
      </c>
      <c r="I2571" s="4">
        <v>12</v>
      </c>
      <c r="J2571" s="1">
        <v>45654</v>
      </c>
      <c r="K2571" s="2">
        <v>1.6438657407407405E-2</v>
      </c>
      <c r="M2571" s="4" t="str">
        <f t="shared" si="120"/>
        <v>HIGH</v>
      </c>
      <c r="N2571" s="4" t="str" cm="1">
        <f t="array" ref="N2571">_xlfn.IFS(C2571&gt;35,"HIGH",C2571&gt;25,"MIDDLE",TRUE,"LOW")</f>
        <v>HIGH</v>
      </c>
      <c r="O2571" s="4" t="str">
        <f t="shared" si="121"/>
        <v>OTHERS</v>
      </c>
      <c r="P2571" s="4" t="str">
        <f t="shared" si="122"/>
        <v>PREMINUM MORNING</v>
      </c>
    </row>
    <row r="2572" spans="1:16" x14ac:dyDescent="0.3">
      <c r="A2572" s="4">
        <v>22</v>
      </c>
      <c r="B2572" t="s">
        <v>11</v>
      </c>
      <c r="C2572" s="4">
        <v>35.76</v>
      </c>
      <c r="D2572" t="s">
        <v>29</v>
      </c>
      <c r="E2572" t="s">
        <v>20</v>
      </c>
      <c r="F2572" s="4" t="s">
        <v>22</v>
      </c>
      <c r="G2572" s="4" t="s">
        <v>39</v>
      </c>
      <c r="H2572" s="4">
        <v>6</v>
      </c>
      <c r="I2572" s="4">
        <v>12</v>
      </c>
      <c r="J2572" s="1">
        <v>45654</v>
      </c>
      <c r="K2572" s="2">
        <v>7.6597222222222214E-3</v>
      </c>
      <c r="M2572" s="4" t="str">
        <f t="shared" si="120"/>
        <v>HIGH</v>
      </c>
      <c r="N2572" s="4" t="str" cm="1">
        <f t="array" ref="N2572">_xlfn.IFS(C2572&gt;35,"HIGH",C2572&gt;25,"MIDDLE",TRUE,"LOW")</f>
        <v>HIGH</v>
      </c>
      <c r="O2572" s="4" t="str">
        <f t="shared" si="121"/>
        <v>OTHERS</v>
      </c>
      <c r="P2572" s="4" t="str">
        <f t="shared" si="122"/>
        <v>PREMINUM MORNING</v>
      </c>
    </row>
    <row r="2573" spans="1:16" x14ac:dyDescent="0.3">
      <c r="A2573" s="4">
        <v>13</v>
      </c>
      <c r="B2573" t="s">
        <v>11</v>
      </c>
      <c r="C2573" s="4">
        <v>25.96</v>
      </c>
      <c r="D2573" t="s">
        <v>24</v>
      </c>
      <c r="E2573" t="s">
        <v>17</v>
      </c>
      <c r="F2573" s="4" t="s">
        <v>23</v>
      </c>
      <c r="G2573" s="4" t="s">
        <v>39</v>
      </c>
      <c r="H2573" s="4">
        <v>7</v>
      </c>
      <c r="I2573" s="4">
        <v>12</v>
      </c>
      <c r="J2573" s="1">
        <v>45655</v>
      </c>
      <c r="K2573" s="2">
        <v>3.2134259259259258E-2</v>
      </c>
      <c r="M2573" s="4" t="str">
        <f t="shared" si="120"/>
        <v>LOW</v>
      </c>
      <c r="N2573" s="4" t="str" cm="1">
        <f t="array" ref="N2573">_xlfn.IFS(C2573&gt;35,"HIGH",C2573&gt;25,"MIDDLE",TRUE,"LOW")</f>
        <v>MIDDLE</v>
      </c>
      <c r="O2573" s="4" t="str">
        <f t="shared" si="121"/>
        <v>OTHERS</v>
      </c>
      <c r="P2573" s="4" t="str">
        <f t="shared" si="122"/>
        <v>OTHERS</v>
      </c>
    </row>
    <row r="2574" spans="1:16" x14ac:dyDescent="0.3">
      <c r="A2574" s="4">
        <v>15</v>
      </c>
      <c r="B2574" t="s">
        <v>11</v>
      </c>
      <c r="C2574" s="4">
        <v>21.06</v>
      </c>
      <c r="D2574" t="s">
        <v>26</v>
      </c>
      <c r="E2574" t="s">
        <v>17</v>
      </c>
      <c r="F2574" s="4" t="s">
        <v>23</v>
      </c>
      <c r="G2574" s="4" t="s">
        <v>39</v>
      </c>
      <c r="H2574" s="4">
        <v>7</v>
      </c>
      <c r="I2574" s="4">
        <v>12</v>
      </c>
      <c r="J2574" s="1">
        <v>45655</v>
      </c>
      <c r="K2574" s="2">
        <v>3.0856481481481486E-3</v>
      </c>
      <c r="M2574" s="4" t="str">
        <f t="shared" si="120"/>
        <v>LOW</v>
      </c>
      <c r="N2574" s="4" t="str" cm="1">
        <f t="array" ref="N2574">_xlfn.IFS(C2574&gt;35,"HIGH",C2574&gt;25,"MIDDLE",TRUE,"LOW")</f>
        <v>LOW</v>
      </c>
      <c r="O2574" s="4" t="str">
        <f t="shared" si="121"/>
        <v>OTHERS</v>
      </c>
      <c r="P2574" s="4" t="str">
        <f t="shared" si="122"/>
        <v>OTHERS</v>
      </c>
    </row>
    <row r="2575" spans="1:16" x14ac:dyDescent="0.3">
      <c r="A2575" s="4">
        <v>15</v>
      </c>
      <c r="B2575" t="s">
        <v>11</v>
      </c>
      <c r="C2575" s="4">
        <v>25.96</v>
      </c>
      <c r="D2575" t="s">
        <v>18</v>
      </c>
      <c r="E2575" t="s">
        <v>17</v>
      </c>
      <c r="F2575" s="4" t="s">
        <v>23</v>
      </c>
      <c r="G2575" s="4" t="s">
        <v>39</v>
      </c>
      <c r="H2575" s="4">
        <v>7</v>
      </c>
      <c r="I2575" s="4">
        <v>12</v>
      </c>
      <c r="J2575" s="1">
        <v>45655</v>
      </c>
      <c r="K2575" s="2">
        <v>3.6608796296296298E-3</v>
      </c>
      <c r="M2575" s="4" t="str">
        <f t="shared" si="120"/>
        <v>LOW</v>
      </c>
      <c r="N2575" s="4" t="str" cm="1">
        <f t="array" ref="N2575">_xlfn.IFS(C2575&gt;35,"HIGH",C2575&gt;25,"MIDDLE",TRUE,"LOW")</f>
        <v>MIDDLE</v>
      </c>
      <c r="O2575" s="4" t="str">
        <f t="shared" si="121"/>
        <v>OTHERS</v>
      </c>
      <c r="P2575" s="4" t="str">
        <f t="shared" si="122"/>
        <v>OTHERS</v>
      </c>
    </row>
    <row r="2576" spans="1:16" x14ac:dyDescent="0.3">
      <c r="A2576" s="4">
        <v>17</v>
      </c>
      <c r="B2576" t="s">
        <v>11</v>
      </c>
      <c r="C2576" s="4">
        <v>25.96</v>
      </c>
      <c r="D2576" t="s">
        <v>24</v>
      </c>
      <c r="E2576" t="s">
        <v>20</v>
      </c>
      <c r="F2576" s="4" t="s">
        <v>23</v>
      </c>
      <c r="G2576" s="4" t="s">
        <v>39</v>
      </c>
      <c r="H2576" s="4">
        <v>7</v>
      </c>
      <c r="I2576" s="4">
        <v>12</v>
      </c>
      <c r="J2576" s="1">
        <v>45655</v>
      </c>
      <c r="K2576" s="2">
        <v>2.0885416666666667E-2</v>
      </c>
      <c r="M2576" s="4" t="str">
        <f t="shared" si="120"/>
        <v>LOW</v>
      </c>
      <c r="N2576" s="4" t="str" cm="1">
        <f t="array" ref="N2576">_xlfn.IFS(C2576&gt;35,"HIGH",C2576&gt;25,"MIDDLE",TRUE,"LOW")</f>
        <v>MIDDLE</v>
      </c>
      <c r="O2576" s="4" t="str">
        <f t="shared" si="121"/>
        <v>OTHERS</v>
      </c>
      <c r="P2576" s="4" t="str">
        <f t="shared" si="122"/>
        <v>OTHERS</v>
      </c>
    </row>
    <row r="2577" spans="1:16" x14ac:dyDescent="0.3">
      <c r="A2577" s="4">
        <v>17</v>
      </c>
      <c r="B2577" t="s">
        <v>11</v>
      </c>
      <c r="C2577" s="4">
        <v>21.06</v>
      </c>
      <c r="D2577" t="s">
        <v>26</v>
      </c>
      <c r="E2577" t="s">
        <v>20</v>
      </c>
      <c r="F2577" s="4" t="s">
        <v>23</v>
      </c>
      <c r="G2577" s="4" t="s">
        <v>39</v>
      </c>
      <c r="H2577" s="4">
        <v>7</v>
      </c>
      <c r="I2577" s="4">
        <v>12</v>
      </c>
      <c r="J2577" s="1">
        <v>45655</v>
      </c>
      <c r="K2577" s="2">
        <v>2.2068287037037039E-2</v>
      </c>
      <c r="M2577" s="4" t="str">
        <f t="shared" si="120"/>
        <v>LOW</v>
      </c>
      <c r="N2577" s="4" t="str" cm="1">
        <f t="array" ref="N2577">_xlfn.IFS(C2577&gt;35,"HIGH",C2577&gt;25,"MIDDLE",TRUE,"LOW")</f>
        <v>LOW</v>
      </c>
      <c r="O2577" s="4" t="str">
        <f t="shared" si="121"/>
        <v>OTHERS</v>
      </c>
      <c r="P2577" s="4" t="str">
        <f t="shared" si="122"/>
        <v>OTHERS</v>
      </c>
    </row>
    <row r="2578" spans="1:16" x14ac:dyDescent="0.3">
      <c r="A2578" s="4">
        <v>19</v>
      </c>
      <c r="B2578" t="s">
        <v>11</v>
      </c>
      <c r="C2578" s="4">
        <v>25.96</v>
      </c>
      <c r="D2578" t="s">
        <v>24</v>
      </c>
      <c r="E2578" t="s">
        <v>20</v>
      </c>
      <c r="F2578" s="4" t="s">
        <v>23</v>
      </c>
      <c r="G2578" s="4" t="s">
        <v>39</v>
      </c>
      <c r="H2578" s="4">
        <v>7</v>
      </c>
      <c r="I2578" s="4">
        <v>12</v>
      </c>
      <c r="J2578" s="1">
        <v>45655</v>
      </c>
      <c r="K2578" s="2">
        <v>3.3144675925925925E-2</v>
      </c>
      <c r="M2578" s="4" t="str">
        <f t="shared" si="120"/>
        <v>LOW</v>
      </c>
      <c r="N2578" s="4" t="str" cm="1">
        <f t="array" ref="N2578">_xlfn.IFS(C2578&gt;35,"HIGH",C2578&gt;25,"MIDDLE",TRUE,"LOW")</f>
        <v>MIDDLE</v>
      </c>
      <c r="O2578" s="4" t="str">
        <f t="shared" si="121"/>
        <v>OTHERS</v>
      </c>
      <c r="P2578" s="4" t="str">
        <f t="shared" si="122"/>
        <v>OTHERS</v>
      </c>
    </row>
    <row r="2579" spans="1:16" x14ac:dyDescent="0.3">
      <c r="A2579" s="4">
        <v>20</v>
      </c>
      <c r="B2579" t="s">
        <v>11</v>
      </c>
      <c r="C2579" s="4">
        <v>35.76</v>
      </c>
      <c r="D2579" t="s">
        <v>16</v>
      </c>
      <c r="E2579" t="s">
        <v>20</v>
      </c>
      <c r="F2579" s="4" t="s">
        <v>23</v>
      </c>
      <c r="G2579" s="4" t="s">
        <v>39</v>
      </c>
      <c r="H2579" s="4">
        <v>7</v>
      </c>
      <c r="I2579" s="4">
        <v>12</v>
      </c>
      <c r="J2579" s="1">
        <v>45655</v>
      </c>
      <c r="K2579" s="2">
        <v>1.7988425925925925E-2</v>
      </c>
      <c r="M2579" s="4" t="str">
        <f t="shared" si="120"/>
        <v>HIGH</v>
      </c>
      <c r="N2579" s="4" t="str" cm="1">
        <f t="array" ref="N2579">_xlfn.IFS(C2579&gt;35,"HIGH",C2579&gt;25,"MIDDLE",TRUE,"LOW")</f>
        <v>HIGH</v>
      </c>
      <c r="O2579" s="4" t="str">
        <f t="shared" si="121"/>
        <v>OTHERS</v>
      </c>
      <c r="P2579" s="4" t="str">
        <f t="shared" si="122"/>
        <v>PREMINUM MORNING</v>
      </c>
    </row>
    <row r="2580" spans="1:16" x14ac:dyDescent="0.3">
      <c r="A2580" s="4">
        <v>21</v>
      </c>
      <c r="B2580" t="s">
        <v>11</v>
      </c>
      <c r="C2580" s="4">
        <v>35.76</v>
      </c>
      <c r="D2580" t="s">
        <v>12</v>
      </c>
      <c r="E2580" t="s">
        <v>20</v>
      </c>
      <c r="F2580" s="4" t="s">
        <v>23</v>
      </c>
      <c r="G2580" s="4" t="s">
        <v>39</v>
      </c>
      <c r="H2580" s="4">
        <v>7</v>
      </c>
      <c r="I2580" s="4">
        <v>12</v>
      </c>
      <c r="J2580" s="1">
        <v>45655</v>
      </c>
      <c r="K2580" s="2">
        <v>1.2028935185185184E-2</v>
      </c>
      <c r="M2580" s="4" t="str">
        <f t="shared" si="120"/>
        <v>HIGH</v>
      </c>
      <c r="N2580" s="4" t="str" cm="1">
        <f t="array" ref="N2580">_xlfn.IFS(C2580&gt;35,"HIGH",C2580&gt;25,"MIDDLE",TRUE,"LOW")</f>
        <v>HIGH</v>
      </c>
      <c r="O2580" s="4" t="str">
        <f t="shared" si="121"/>
        <v>OTHERS</v>
      </c>
      <c r="P2580" s="4" t="str">
        <f t="shared" si="122"/>
        <v>PREMINUM MORNING</v>
      </c>
    </row>
    <row r="2581" spans="1:16" x14ac:dyDescent="0.3">
      <c r="A2581" s="4">
        <v>9</v>
      </c>
      <c r="B2581" t="s">
        <v>11</v>
      </c>
      <c r="C2581" s="4">
        <v>25.96</v>
      </c>
      <c r="D2581" t="s">
        <v>24</v>
      </c>
      <c r="E2581" t="s">
        <v>13</v>
      </c>
      <c r="F2581" s="4" t="s">
        <v>25</v>
      </c>
      <c r="G2581" s="4" t="s">
        <v>39</v>
      </c>
      <c r="H2581" s="4">
        <v>1</v>
      </c>
      <c r="I2581" s="4">
        <v>12</v>
      </c>
      <c r="J2581" s="1">
        <v>45656</v>
      </c>
      <c r="K2581" s="2">
        <v>1.9016203703703706E-3</v>
      </c>
      <c r="M2581" s="4" t="str">
        <f t="shared" si="120"/>
        <v>LOW</v>
      </c>
      <c r="N2581" s="4" t="str" cm="1">
        <f t="array" ref="N2581">_xlfn.IFS(C2581&gt;35,"HIGH",C2581&gt;25,"MIDDLE",TRUE,"LOW")</f>
        <v>MIDDLE</v>
      </c>
      <c r="O2581" s="4" t="str">
        <f t="shared" si="121"/>
        <v>OTHERS</v>
      </c>
      <c r="P2581" s="4" t="str">
        <f t="shared" si="122"/>
        <v>PREMINUM MORNING</v>
      </c>
    </row>
    <row r="2582" spans="1:16" x14ac:dyDescent="0.3">
      <c r="A2582" s="4">
        <v>9</v>
      </c>
      <c r="B2582" t="s">
        <v>11</v>
      </c>
      <c r="C2582" s="4">
        <v>30.86</v>
      </c>
      <c r="D2582" t="s">
        <v>19</v>
      </c>
      <c r="E2582" t="s">
        <v>13</v>
      </c>
      <c r="F2582" s="4" t="s">
        <v>25</v>
      </c>
      <c r="G2582" s="4" t="s">
        <v>39</v>
      </c>
      <c r="H2582" s="4">
        <v>1</v>
      </c>
      <c r="I2582" s="4">
        <v>12</v>
      </c>
      <c r="J2582" s="1">
        <v>45656</v>
      </c>
      <c r="K2582" s="2">
        <v>3.0694444444444444E-2</v>
      </c>
      <c r="M2582" s="4" t="str">
        <f t="shared" si="120"/>
        <v>LOW</v>
      </c>
      <c r="N2582" s="4" t="str" cm="1">
        <f t="array" ref="N2582">_xlfn.IFS(C2582&gt;35,"HIGH",C2582&gt;25,"MIDDLE",TRUE,"LOW")</f>
        <v>MIDDLE</v>
      </c>
      <c r="O2582" s="4" t="str">
        <f t="shared" si="121"/>
        <v>OTHERS</v>
      </c>
      <c r="P2582" s="4" t="str">
        <f t="shared" si="122"/>
        <v>PREMINUM MORNING</v>
      </c>
    </row>
    <row r="2583" spans="1:16" x14ac:dyDescent="0.3">
      <c r="A2583" s="4">
        <v>13</v>
      </c>
      <c r="B2583" t="s">
        <v>11</v>
      </c>
      <c r="C2583" s="4">
        <v>35.76</v>
      </c>
      <c r="D2583" t="s">
        <v>12</v>
      </c>
      <c r="E2583" t="s">
        <v>17</v>
      </c>
      <c r="F2583" s="4" t="s">
        <v>25</v>
      </c>
      <c r="G2583" s="4" t="s">
        <v>39</v>
      </c>
      <c r="H2583" s="4">
        <v>1</v>
      </c>
      <c r="I2583" s="4">
        <v>12</v>
      </c>
      <c r="J2583" s="1">
        <v>45656</v>
      </c>
      <c r="K2583" s="2">
        <v>3.6474537037037041E-2</v>
      </c>
      <c r="M2583" s="4" t="str">
        <f t="shared" si="120"/>
        <v>HIGH</v>
      </c>
      <c r="N2583" s="4" t="str" cm="1">
        <f t="array" ref="N2583">_xlfn.IFS(C2583&gt;35,"HIGH",C2583&gt;25,"MIDDLE",TRUE,"LOW")</f>
        <v>HIGH</v>
      </c>
      <c r="O2583" s="4" t="str">
        <f t="shared" si="121"/>
        <v>OTHERS</v>
      </c>
      <c r="P2583" s="4" t="str">
        <f t="shared" si="122"/>
        <v>PREMINUM MORNING</v>
      </c>
    </row>
    <row r="2584" spans="1:16" x14ac:dyDescent="0.3">
      <c r="A2584" s="4">
        <v>13</v>
      </c>
      <c r="B2584" t="s">
        <v>11</v>
      </c>
      <c r="C2584" s="4">
        <v>35.76</v>
      </c>
      <c r="D2584" t="s">
        <v>16</v>
      </c>
      <c r="E2584" t="s">
        <v>17</v>
      </c>
      <c r="F2584" s="4" t="s">
        <v>25</v>
      </c>
      <c r="G2584" s="4" t="s">
        <v>39</v>
      </c>
      <c r="H2584" s="4">
        <v>1</v>
      </c>
      <c r="I2584" s="4">
        <v>12</v>
      </c>
      <c r="J2584" s="1">
        <v>45656</v>
      </c>
      <c r="K2584" s="2">
        <v>3.7260416666666671E-2</v>
      </c>
      <c r="M2584" s="4" t="str">
        <f t="shared" si="120"/>
        <v>HIGH</v>
      </c>
      <c r="N2584" s="4" t="str" cm="1">
        <f t="array" ref="N2584">_xlfn.IFS(C2584&gt;35,"HIGH",C2584&gt;25,"MIDDLE",TRUE,"LOW")</f>
        <v>HIGH</v>
      </c>
      <c r="O2584" s="4" t="str">
        <f t="shared" si="121"/>
        <v>OTHERS</v>
      </c>
      <c r="P2584" s="4" t="str">
        <f t="shared" si="122"/>
        <v>PREMINUM MORNING</v>
      </c>
    </row>
    <row r="2585" spans="1:16" x14ac:dyDescent="0.3">
      <c r="A2585" s="4">
        <v>15</v>
      </c>
      <c r="B2585" t="s">
        <v>11</v>
      </c>
      <c r="C2585" s="4">
        <v>35.76</v>
      </c>
      <c r="D2585" t="s">
        <v>12</v>
      </c>
      <c r="E2585" t="s">
        <v>17</v>
      </c>
      <c r="F2585" s="4" t="s">
        <v>25</v>
      </c>
      <c r="G2585" s="4" t="s">
        <v>39</v>
      </c>
      <c r="H2585" s="4">
        <v>1</v>
      </c>
      <c r="I2585" s="4">
        <v>12</v>
      </c>
      <c r="J2585" s="1">
        <v>45656</v>
      </c>
      <c r="K2585" s="2">
        <v>8.8541666666666664E-3</v>
      </c>
      <c r="M2585" s="4" t="str">
        <f t="shared" si="120"/>
        <v>HIGH</v>
      </c>
      <c r="N2585" s="4" t="str" cm="1">
        <f t="array" ref="N2585">_xlfn.IFS(C2585&gt;35,"HIGH",C2585&gt;25,"MIDDLE",TRUE,"LOW")</f>
        <v>HIGH</v>
      </c>
      <c r="O2585" s="4" t="str">
        <f t="shared" si="121"/>
        <v>OTHERS</v>
      </c>
      <c r="P2585" s="4" t="str">
        <f t="shared" si="122"/>
        <v>PREMINUM MORNING</v>
      </c>
    </row>
    <row r="2586" spans="1:16" x14ac:dyDescent="0.3">
      <c r="A2586" s="4">
        <v>15</v>
      </c>
      <c r="B2586" t="s">
        <v>11</v>
      </c>
      <c r="C2586" s="4">
        <v>30.86</v>
      </c>
      <c r="D2586" t="s">
        <v>19</v>
      </c>
      <c r="E2586" t="s">
        <v>17</v>
      </c>
      <c r="F2586" s="4" t="s">
        <v>25</v>
      </c>
      <c r="G2586" s="4" t="s">
        <v>39</v>
      </c>
      <c r="H2586" s="4">
        <v>1</v>
      </c>
      <c r="I2586" s="4">
        <v>12</v>
      </c>
      <c r="J2586" s="1">
        <v>45656</v>
      </c>
      <c r="K2586" s="2">
        <v>9.4756944444444446E-3</v>
      </c>
      <c r="M2586" s="4" t="str">
        <f t="shared" si="120"/>
        <v>LOW</v>
      </c>
      <c r="N2586" s="4" t="str" cm="1">
        <f t="array" ref="N2586">_xlfn.IFS(C2586&gt;35,"HIGH",C2586&gt;25,"MIDDLE",TRUE,"LOW")</f>
        <v>MIDDLE</v>
      </c>
      <c r="O2586" s="4" t="str">
        <f t="shared" si="121"/>
        <v>OTHERS</v>
      </c>
      <c r="P2586" s="4" t="str">
        <f t="shared" si="122"/>
        <v>OTHERS</v>
      </c>
    </row>
    <row r="2587" spans="1:16" x14ac:dyDescent="0.3">
      <c r="A2587" s="4">
        <v>16</v>
      </c>
      <c r="B2587" t="s">
        <v>11</v>
      </c>
      <c r="C2587" s="4">
        <v>30.86</v>
      </c>
      <c r="D2587" t="s">
        <v>19</v>
      </c>
      <c r="E2587" t="s">
        <v>17</v>
      </c>
      <c r="F2587" s="4" t="s">
        <v>25</v>
      </c>
      <c r="G2587" s="4" t="s">
        <v>39</v>
      </c>
      <c r="H2587" s="4">
        <v>1</v>
      </c>
      <c r="I2587" s="4">
        <v>12</v>
      </c>
      <c r="J2587" s="1">
        <v>45656</v>
      </c>
      <c r="K2587" s="2">
        <v>2.0762731481481483E-2</v>
      </c>
      <c r="M2587" s="4" t="str">
        <f t="shared" si="120"/>
        <v>LOW</v>
      </c>
      <c r="N2587" s="4" t="str" cm="1">
        <f t="array" ref="N2587">_xlfn.IFS(C2587&gt;35,"HIGH",C2587&gt;25,"MIDDLE",TRUE,"LOW")</f>
        <v>MIDDLE</v>
      </c>
      <c r="O2587" s="4" t="str">
        <f t="shared" si="121"/>
        <v>OTHERS</v>
      </c>
      <c r="P2587" s="4" t="str">
        <f t="shared" si="122"/>
        <v>OTHERS</v>
      </c>
    </row>
    <row r="2588" spans="1:16" x14ac:dyDescent="0.3">
      <c r="A2588" s="4">
        <v>16</v>
      </c>
      <c r="B2588" t="s">
        <v>11</v>
      </c>
      <c r="C2588" s="4">
        <v>25.96</v>
      </c>
      <c r="D2588" t="s">
        <v>18</v>
      </c>
      <c r="E2588" t="s">
        <v>17</v>
      </c>
      <c r="F2588" s="4" t="s">
        <v>25</v>
      </c>
      <c r="G2588" s="4" t="s">
        <v>39</v>
      </c>
      <c r="H2588" s="4">
        <v>1</v>
      </c>
      <c r="I2588" s="4">
        <v>12</v>
      </c>
      <c r="J2588" s="1">
        <v>45656</v>
      </c>
      <c r="K2588" s="2">
        <v>2.1859953703703704E-2</v>
      </c>
      <c r="M2588" s="4" t="str">
        <f t="shared" si="120"/>
        <v>LOW</v>
      </c>
      <c r="N2588" s="4" t="str" cm="1">
        <f t="array" ref="N2588">_xlfn.IFS(C2588&gt;35,"HIGH",C2588&gt;25,"MIDDLE",TRUE,"LOW")</f>
        <v>MIDDLE</v>
      </c>
      <c r="O2588" s="4" t="str">
        <f t="shared" si="121"/>
        <v>OTHERS</v>
      </c>
      <c r="P2588" s="4" t="str">
        <f t="shared" si="122"/>
        <v>OTHERS</v>
      </c>
    </row>
    <row r="2589" spans="1:16" x14ac:dyDescent="0.3">
      <c r="A2589" s="4">
        <v>16</v>
      </c>
      <c r="B2589" t="s">
        <v>11</v>
      </c>
      <c r="C2589" s="4">
        <v>35.76</v>
      </c>
      <c r="D2589" t="s">
        <v>29</v>
      </c>
      <c r="E2589" t="s">
        <v>17</v>
      </c>
      <c r="F2589" s="4" t="s">
        <v>25</v>
      </c>
      <c r="G2589" s="4" t="s">
        <v>39</v>
      </c>
      <c r="H2589" s="4">
        <v>1</v>
      </c>
      <c r="I2589" s="4">
        <v>12</v>
      </c>
      <c r="J2589" s="1">
        <v>45656</v>
      </c>
      <c r="K2589" s="2">
        <v>2.5527777777777778E-2</v>
      </c>
      <c r="M2589" s="4" t="str">
        <f t="shared" si="120"/>
        <v>HIGH</v>
      </c>
      <c r="N2589" s="4" t="str" cm="1">
        <f t="array" ref="N2589">_xlfn.IFS(C2589&gt;35,"HIGH",C2589&gt;25,"MIDDLE",TRUE,"LOW")</f>
        <v>HIGH</v>
      </c>
      <c r="O2589" s="4" t="str">
        <f t="shared" si="121"/>
        <v>OTHERS</v>
      </c>
      <c r="P2589" s="4" t="str">
        <f t="shared" si="122"/>
        <v>PREMINUM MORNING</v>
      </c>
    </row>
    <row r="2590" spans="1:16" x14ac:dyDescent="0.3">
      <c r="A2590" s="4">
        <v>8</v>
      </c>
      <c r="B2590" t="s">
        <v>11</v>
      </c>
      <c r="C2590" s="4">
        <v>25.96</v>
      </c>
      <c r="D2590" t="s">
        <v>24</v>
      </c>
      <c r="E2590" t="s">
        <v>13</v>
      </c>
      <c r="F2590" s="4" t="s">
        <v>27</v>
      </c>
      <c r="G2590" s="4" t="s">
        <v>39</v>
      </c>
      <c r="H2590" s="4">
        <v>2</v>
      </c>
      <c r="I2590" s="4">
        <v>12</v>
      </c>
      <c r="J2590" s="1">
        <v>45657</v>
      </c>
      <c r="K2590" s="2">
        <v>3.6443287037037038E-2</v>
      </c>
      <c r="M2590" s="4" t="str">
        <f t="shared" si="120"/>
        <v>LOW</v>
      </c>
      <c r="N2590" s="4" t="str" cm="1">
        <f t="array" ref="N2590">_xlfn.IFS(C2590&gt;35,"HIGH",C2590&gt;25,"MIDDLE",TRUE,"LOW")</f>
        <v>MIDDLE</v>
      </c>
      <c r="O2590" s="4" t="str">
        <f t="shared" si="121"/>
        <v>OTHERS</v>
      </c>
      <c r="P2590" s="4" t="str">
        <f t="shared" si="122"/>
        <v>PREMINUM MORNING</v>
      </c>
    </row>
    <row r="2591" spans="1:16" x14ac:dyDescent="0.3">
      <c r="A2591" s="4">
        <v>9</v>
      </c>
      <c r="B2591" t="s">
        <v>11</v>
      </c>
      <c r="C2591" s="4">
        <v>35.76</v>
      </c>
      <c r="D2591" t="s">
        <v>29</v>
      </c>
      <c r="E2591" t="s">
        <v>13</v>
      </c>
      <c r="F2591" s="4" t="s">
        <v>27</v>
      </c>
      <c r="G2591" s="4" t="s">
        <v>39</v>
      </c>
      <c r="H2591" s="4">
        <v>2</v>
      </c>
      <c r="I2591" s="4">
        <v>12</v>
      </c>
      <c r="J2591" s="1">
        <v>45657</v>
      </c>
      <c r="K2591" s="2">
        <v>2.5578703703703704E-2</v>
      </c>
      <c r="M2591" s="4" t="str">
        <f t="shared" si="120"/>
        <v>HIGH</v>
      </c>
      <c r="N2591" s="4" t="str" cm="1">
        <f t="array" ref="N2591">_xlfn.IFS(C2591&gt;35,"HIGH",C2591&gt;25,"MIDDLE",TRUE,"LOW")</f>
        <v>HIGH</v>
      </c>
      <c r="O2591" s="4" t="str">
        <f t="shared" si="121"/>
        <v>PREMINUM MORNING</v>
      </c>
      <c r="P2591" s="4" t="str">
        <f t="shared" si="122"/>
        <v>PREMINUM MORNING</v>
      </c>
    </row>
    <row r="2592" spans="1:16" x14ac:dyDescent="0.3">
      <c r="A2592" s="4">
        <v>9</v>
      </c>
      <c r="B2592" t="s">
        <v>11</v>
      </c>
      <c r="C2592" s="4">
        <v>25.96</v>
      </c>
      <c r="D2592" t="s">
        <v>24</v>
      </c>
      <c r="E2592" t="s">
        <v>13</v>
      </c>
      <c r="F2592" s="4" t="s">
        <v>27</v>
      </c>
      <c r="G2592" s="4" t="s">
        <v>39</v>
      </c>
      <c r="H2592" s="4">
        <v>2</v>
      </c>
      <c r="I2592" s="4">
        <v>12</v>
      </c>
      <c r="J2592" s="1">
        <v>45657</v>
      </c>
      <c r="K2592" s="2">
        <v>2.7563657407407408E-2</v>
      </c>
      <c r="M2592" s="4" t="str">
        <f t="shared" si="120"/>
        <v>LOW</v>
      </c>
      <c r="N2592" s="4" t="str" cm="1">
        <f t="array" ref="N2592">_xlfn.IFS(C2592&gt;35,"HIGH",C2592&gt;25,"MIDDLE",TRUE,"LOW")</f>
        <v>MIDDLE</v>
      </c>
      <c r="O2592" s="4" t="str">
        <f t="shared" si="121"/>
        <v>OTHERS</v>
      </c>
      <c r="P2592" s="4" t="str">
        <f t="shared" si="122"/>
        <v>PREMINUM MORNING</v>
      </c>
    </row>
    <row r="2593" spans="1:16" x14ac:dyDescent="0.3">
      <c r="A2593" s="4">
        <v>9</v>
      </c>
      <c r="B2593" t="s">
        <v>11</v>
      </c>
      <c r="C2593" s="4">
        <v>35.76</v>
      </c>
      <c r="D2593" t="s">
        <v>21</v>
      </c>
      <c r="E2593" t="s">
        <v>13</v>
      </c>
      <c r="F2593" s="4" t="s">
        <v>27</v>
      </c>
      <c r="G2593" s="4" t="s">
        <v>39</v>
      </c>
      <c r="H2593" s="4">
        <v>2</v>
      </c>
      <c r="I2593" s="4">
        <v>12</v>
      </c>
      <c r="J2593" s="1">
        <v>45657</v>
      </c>
      <c r="K2593" s="2">
        <v>3.1579861111111114E-2</v>
      </c>
      <c r="M2593" s="4" t="str">
        <f t="shared" si="120"/>
        <v>HIGH</v>
      </c>
      <c r="N2593" s="4" t="str" cm="1">
        <f t="array" ref="N2593">_xlfn.IFS(C2593&gt;35,"HIGH",C2593&gt;25,"MIDDLE",TRUE,"LOW")</f>
        <v>HIGH</v>
      </c>
      <c r="O2593" s="4" t="str">
        <f t="shared" si="121"/>
        <v>PREMINUM MORNING</v>
      </c>
      <c r="P2593" s="4" t="str">
        <f t="shared" si="122"/>
        <v>PREMINUM MORNING</v>
      </c>
    </row>
    <row r="2594" spans="1:16" x14ac:dyDescent="0.3">
      <c r="A2594" s="4">
        <v>10</v>
      </c>
      <c r="B2594" t="s">
        <v>11</v>
      </c>
      <c r="C2594" s="4">
        <v>30.86</v>
      </c>
      <c r="D2594" t="s">
        <v>19</v>
      </c>
      <c r="E2594" t="s">
        <v>13</v>
      </c>
      <c r="F2594" s="4" t="s">
        <v>27</v>
      </c>
      <c r="G2594" s="4" t="s">
        <v>39</v>
      </c>
      <c r="H2594" s="4">
        <v>2</v>
      </c>
      <c r="I2594" s="4">
        <v>12</v>
      </c>
      <c r="J2594" s="1">
        <v>45657</v>
      </c>
      <c r="K2594" s="2">
        <v>1.8668981481481481E-2</v>
      </c>
      <c r="M2594" s="4" t="str">
        <f t="shared" si="120"/>
        <v>LOW</v>
      </c>
      <c r="N2594" s="4" t="str" cm="1">
        <f t="array" ref="N2594">_xlfn.IFS(C2594&gt;35,"HIGH",C2594&gt;25,"MIDDLE",TRUE,"LOW")</f>
        <v>MIDDLE</v>
      </c>
      <c r="O2594" s="4" t="str">
        <f t="shared" si="121"/>
        <v>OTHERS</v>
      </c>
      <c r="P2594" s="4" t="str">
        <f t="shared" si="122"/>
        <v>PREMINUM MORNING</v>
      </c>
    </row>
    <row r="2595" spans="1:16" x14ac:dyDescent="0.3">
      <c r="A2595" s="4">
        <v>10</v>
      </c>
      <c r="B2595" t="s">
        <v>11</v>
      </c>
      <c r="C2595" s="4">
        <v>30.86</v>
      </c>
      <c r="D2595" t="s">
        <v>19</v>
      </c>
      <c r="E2595" t="s">
        <v>13</v>
      </c>
      <c r="F2595" s="4" t="s">
        <v>27</v>
      </c>
      <c r="G2595" s="4" t="s">
        <v>39</v>
      </c>
      <c r="H2595" s="4">
        <v>2</v>
      </c>
      <c r="I2595" s="4">
        <v>12</v>
      </c>
      <c r="J2595" s="1">
        <v>45657</v>
      </c>
      <c r="K2595" s="2">
        <v>2.0465277777777777E-2</v>
      </c>
      <c r="M2595" s="4" t="str">
        <f t="shared" si="120"/>
        <v>LOW</v>
      </c>
      <c r="N2595" s="4" t="str" cm="1">
        <f t="array" ref="N2595">_xlfn.IFS(C2595&gt;35,"HIGH",C2595&gt;25,"MIDDLE",TRUE,"LOW")</f>
        <v>MIDDLE</v>
      </c>
      <c r="O2595" s="4" t="str">
        <f t="shared" si="121"/>
        <v>OTHERS</v>
      </c>
      <c r="P2595" s="4" t="str">
        <f t="shared" si="122"/>
        <v>PREMINUM MORNING</v>
      </c>
    </row>
    <row r="2596" spans="1:16" x14ac:dyDescent="0.3">
      <c r="A2596" s="4">
        <v>11</v>
      </c>
      <c r="B2596" t="s">
        <v>11</v>
      </c>
      <c r="C2596" s="4">
        <v>35.76</v>
      </c>
      <c r="D2596" t="s">
        <v>29</v>
      </c>
      <c r="E2596" t="s">
        <v>13</v>
      </c>
      <c r="F2596" s="4" t="s">
        <v>27</v>
      </c>
      <c r="G2596" s="4" t="s">
        <v>39</v>
      </c>
      <c r="H2596" s="4">
        <v>2</v>
      </c>
      <c r="I2596" s="4">
        <v>12</v>
      </c>
      <c r="J2596" s="1">
        <v>45657</v>
      </c>
      <c r="K2596" s="2">
        <v>7.9953703703703697E-3</v>
      </c>
      <c r="M2596" s="4" t="str">
        <f t="shared" si="120"/>
        <v>HIGH</v>
      </c>
      <c r="N2596" s="4" t="str" cm="1">
        <f t="array" ref="N2596">_xlfn.IFS(C2596&gt;35,"HIGH",C2596&gt;25,"MIDDLE",TRUE,"LOW")</f>
        <v>HIGH</v>
      </c>
      <c r="O2596" s="4" t="str">
        <f t="shared" si="121"/>
        <v>PREMINUM MORNING</v>
      </c>
      <c r="P2596" s="4" t="str">
        <f t="shared" si="122"/>
        <v>PREMINUM MORNING</v>
      </c>
    </row>
    <row r="2597" spans="1:16" x14ac:dyDescent="0.3">
      <c r="A2597" s="4">
        <v>11</v>
      </c>
      <c r="B2597" t="s">
        <v>11</v>
      </c>
      <c r="C2597" s="4">
        <v>30.86</v>
      </c>
      <c r="D2597" t="s">
        <v>19</v>
      </c>
      <c r="E2597" t="s">
        <v>13</v>
      </c>
      <c r="F2597" s="4" t="s">
        <v>27</v>
      </c>
      <c r="G2597" s="4" t="s">
        <v>39</v>
      </c>
      <c r="H2597" s="4">
        <v>2</v>
      </c>
      <c r="I2597" s="4">
        <v>12</v>
      </c>
      <c r="J2597" s="1">
        <v>45657</v>
      </c>
      <c r="K2597" s="2">
        <v>8.820601851851852E-3</v>
      </c>
      <c r="M2597" s="4" t="str">
        <f t="shared" si="120"/>
        <v>LOW</v>
      </c>
      <c r="N2597" s="4" t="str" cm="1">
        <f t="array" ref="N2597">_xlfn.IFS(C2597&gt;35,"HIGH",C2597&gt;25,"MIDDLE",TRUE,"LOW")</f>
        <v>MIDDLE</v>
      </c>
      <c r="O2597" s="4" t="str">
        <f t="shared" si="121"/>
        <v>OTHERS</v>
      </c>
      <c r="P2597" s="4" t="str">
        <f t="shared" si="122"/>
        <v>PREMINUM MORNING</v>
      </c>
    </row>
    <row r="2598" spans="1:16" x14ac:dyDescent="0.3">
      <c r="A2598" s="4">
        <v>15</v>
      </c>
      <c r="B2598" t="s">
        <v>11</v>
      </c>
      <c r="C2598" s="4">
        <v>21.06</v>
      </c>
      <c r="D2598" t="s">
        <v>26</v>
      </c>
      <c r="E2598" t="s">
        <v>17</v>
      </c>
      <c r="F2598" s="4" t="s">
        <v>27</v>
      </c>
      <c r="G2598" s="4" t="s">
        <v>39</v>
      </c>
      <c r="H2598" s="4">
        <v>2</v>
      </c>
      <c r="I2598" s="4">
        <v>12</v>
      </c>
      <c r="J2598" s="1">
        <v>45657</v>
      </c>
      <c r="K2598" s="2">
        <v>2.9329861111111109E-2</v>
      </c>
      <c r="M2598" s="4" t="str">
        <f t="shared" si="120"/>
        <v>LOW</v>
      </c>
      <c r="N2598" s="4" t="str" cm="1">
        <f t="array" ref="N2598">_xlfn.IFS(C2598&gt;35,"HIGH",C2598&gt;25,"MIDDLE",TRUE,"LOW")</f>
        <v>LOW</v>
      </c>
      <c r="O2598" s="4" t="str">
        <f t="shared" si="121"/>
        <v>OTHERS</v>
      </c>
      <c r="P2598" s="4" t="str">
        <f t="shared" si="122"/>
        <v>OTHERS</v>
      </c>
    </row>
    <row r="2599" spans="1:16" x14ac:dyDescent="0.3">
      <c r="A2599" s="4">
        <v>15</v>
      </c>
      <c r="B2599" t="s">
        <v>11</v>
      </c>
      <c r="C2599" s="4">
        <v>25.96</v>
      </c>
      <c r="D2599" t="s">
        <v>18</v>
      </c>
      <c r="E2599" t="s">
        <v>17</v>
      </c>
      <c r="F2599" s="4" t="s">
        <v>27</v>
      </c>
      <c r="G2599" s="4" t="s">
        <v>39</v>
      </c>
      <c r="H2599" s="4">
        <v>2</v>
      </c>
      <c r="I2599" s="4">
        <v>12</v>
      </c>
      <c r="J2599" s="1">
        <v>45657</v>
      </c>
      <c r="K2599" s="2">
        <v>3.00150462962963E-2</v>
      </c>
      <c r="M2599" s="4" t="str">
        <f t="shared" si="120"/>
        <v>LOW</v>
      </c>
      <c r="N2599" s="4" t="str" cm="1">
        <f t="array" ref="N2599">_xlfn.IFS(C2599&gt;35,"HIGH",C2599&gt;25,"MIDDLE",TRUE,"LOW")</f>
        <v>MIDDLE</v>
      </c>
      <c r="O2599" s="4" t="str">
        <f t="shared" si="121"/>
        <v>OTHERS</v>
      </c>
      <c r="P2599" s="4" t="str">
        <f t="shared" si="122"/>
        <v>OTHERS</v>
      </c>
    </row>
    <row r="2600" spans="1:16" x14ac:dyDescent="0.3">
      <c r="A2600" s="4">
        <v>16</v>
      </c>
      <c r="B2600" t="s">
        <v>11</v>
      </c>
      <c r="C2600" s="4">
        <v>35.76</v>
      </c>
      <c r="D2600" t="s">
        <v>29</v>
      </c>
      <c r="E2600" t="s">
        <v>17</v>
      </c>
      <c r="F2600" s="4" t="s">
        <v>27</v>
      </c>
      <c r="G2600" s="4" t="s">
        <v>39</v>
      </c>
      <c r="H2600" s="4">
        <v>2</v>
      </c>
      <c r="I2600" s="4">
        <v>12</v>
      </c>
      <c r="J2600" s="1">
        <v>45657</v>
      </c>
      <c r="K2600" s="2">
        <v>5.0798611111111105E-3</v>
      </c>
      <c r="M2600" s="4" t="str">
        <f t="shared" si="120"/>
        <v>HIGH</v>
      </c>
      <c r="N2600" s="4" t="str" cm="1">
        <f t="array" ref="N2600">_xlfn.IFS(C2600&gt;35,"HIGH",C2600&gt;25,"MIDDLE",TRUE,"LOW")</f>
        <v>HIGH</v>
      </c>
      <c r="O2600" s="4" t="str">
        <f t="shared" si="121"/>
        <v>OTHERS</v>
      </c>
      <c r="P2600" s="4" t="str">
        <f t="shared" si="122"/>
        <v>PREMINUM MORNING</v>
      </c>
    </row>
    <row r="2601" spans="1:16" x14ac:dyDescent="0.3">
      <c r="A2601" s="4">
        <v>17</v>
      </c>
      <c r="B2601" t="s">
        <v>11</v>
      </c>
      <c r="C2601" s="4">
        <v>35.76</v>
      </c>
      <c r="D2601" t="s">
        <v>12</v>
      </c>
      <c r="E2601" t="s">
        <v>20</v>
      </c>
      <c r="F2601" s="4" t="s">
        <v>27</v>
      </c>
      <c r="G2601" s="4" t="s">
        <v>39</v>
      </c>
      <c r="H2601" s="4">
        <v>2</v>
      </c>
      <c r="I2601" s="4">
        <v>12</v>
      </c>
      <c r="J2601" s="1">
        <v>45657</v>
      </c>
      <c r="K2601" s="2">
        <v>7.1469907407407411E-3</v>
      </c>
      <c r="M2601" s="4" t="str">
        <f t="shared" si="120"/>
        <v>HIGH</v>
      </c>
      <c r="N2601" s="4" t="str" cm="1">
        <f t="array" ref="N2601">_xlfn.IFS(C2601&gt;35,"HIGH",C2601&gt;25,"MIDDLE",TRUE,"LOW")</f>
        <v>HIGH</v>
      </c>
      <c r="O2601" s="4" t="str">
        <f t="shared" si="121"/>
        <v>OTHERS</v>
      </c>
      <c r="P2601" s="4" t="str">
        <f t="shared" si="122"/>
        <v>PREMINUM MORNING</v>
      </c>
    </row>
    <row r="2602" spans="1:16" x14ac:dyDescent="0.3">
      <c r="A2602" s="4">
        <v>17</v>
      </c>
      <c r="B2602" t="s">
        <v>11</v>
      </c>
      <c r="C2602" s="4">
        <v>30.86</v>
      </c>
      <c r="D2602" t="s">
        <v>19</v>
      </c>
      <c r="E2602" t="s">
        <v>20</v>
      </c>
      <c r="F2602" s="4" t="s">
        <v>27</v>
      </c>
      <c r="G2602" s="4" t="s">
        <v>39</v>
      </c>
      <c r="H2602" s="4">
        <v>2</v>
      </c>
      <c r="I2602" s="4">
        <v>12</v>
      </c>
      <c r="J2602" s="1">
        <v>45657</v>
      </c>
      <c r="K2602" s="2">
        <v>2.1444444444444443E-2</v>
      </c>
      <c r="M2602" s="4" t="str">
        <f t="shared" si="120"/>
        <v>LOW</v>
      </c>
      <c r="N2602" s="4" t="str" cm="1">
        <f t="array" ref="N2602">_xlfn.IFS(C2602&gt;35,"HIGH",C2602&gt;25,"MIDDLE",TRUE,"LOW")</f>
        <v>MIDDLE</v>
      </c>
      <c r="O2602" s="4" t="str">
        <f t="shared" si="121"/>
        <v>OTHERS</v>
      </c>
      <c r="P2602" s="4" t="str">
        <f t="shared" si="122"/>
        <v>OTHERS</v>
      </c>
    </row>
    <row r="2603" spans="1:16" x14ac:dyDescent="0.3">
      <c r="A2603" s="4">
        <v>17</v>
      </c>
      <c r="B2603" t="s">
        <v>11</v>
      </c>
      <c r="C2603" s="4">
        <v>35.76</v>
      </c>
      <c r="D2603" t="s">
        <v>29</v>
      </c>
      <c r="E2603" t="s">
        <v>20</v>
      </c>
      <c r="F2603" s="4" t="s">
        <v>27</v>
      </c>
      <c r="G2603" s="4" t="s">
        <v>39</v>
      </c>
      <c r="H2603" s="4">
        <v>2</v>
      </c>
      <c r="I2603" s="4">
        <v>12</v>
      </c>
      <c r="J2603" s="1">
        <v>45657</v>
      </c>
      <c r="K2603" s="2">
        <v>2.208912037037037E-2</v>
      </c>
      <c r="M2603" s="4" t="str">
        <f t="shared" si="120"/>
        <v>HIGH</v>
      </c>
      <c r="N2603" s="4" t="str" cm="1">
        <f t="array" ref="N2603">_xlfn.IFS(C2603&gt;35,"HIGH",C2603&gt;25,"MIDDLE",TRUE,"LOW")</f>
        <v>HIGH</v>
      </c>
      <c r="O2603" s="4" t="str">
        <f t="shared" si="121"/>
        <v>OTHERS</v>
      </c>
      <c r="P2603" s="4" t="str">
        <f t="shared" si="122"/>
        <v>PREMINUM MORNING</v>
      </c>
    </row>
    <row r="2604" spans="1:16" x14ac:dyDescent="0.3">
      <c r="A2604" s="4">
        <v>19</v>
      </c>
      <c r="B2604" t="s">
        <v>11</v>
      </c>
      <c r="C2604" s="4">
        <v>35.76</v>
      </c>
      <c r="D2604" t="s">
        <v>12</v>
      </c>
      <c r="E2604" t="s">
        <v>20</v>
      </c>
      <c r="F2604" s="4" t="s">
        <v>27</v>
      </c>
      <c r="G2604" s="4" t="s">
        <v>39</v>
      </c>
      <c r="H2604" s="4">
        <v>2</v>
      </c>
      <c r="I2604" s="4">
        <v>12</v>
      </c>
      <c r="J2604" s="1">
        <v>45657</v>
      </c>
      <c r="K2604" s="2">
        <v>5.1550925925925922E-3</v>
      </c>
      <c r="M2604" s="4" t="str">
        <f t="shared" si="120"/>
        <v>HIGH</v>
      </c>
      <c r="N2604" s="4" t="str" cm="1">
        <f t="array" ref="N2604">_xlfn.IFS(C2604&gt;35,"HIGH",C2604&gt;25,"MIDDLE",TRUE,"LOW")</f>
        <v>HIGH</v>
      </c>
      <c r="O2604" s="4" t="str">
        <f t="shared" si="121"/>
        <v>OTHERS</v>
      </c>
      <c r="P2604" s="4" t="str">
        <f t="shared" si="122"/>
        <v>PREMINUM MORNING</v>
      </c>
    </row>
    <row r="2605" spans="1:16" x14ac:dyDescent="0.3">
      <c r="A2605" s="4">
        <v>19</v>
      </c>
      <c r="B2605" t="s">
        <v>11</v>
      </c>
      <c r="C2605" s="4">
        <v>35.76</v>
      </c>
      <c r="D2605" t="s">
        <v>16</v>
      </c>
      <c r="E2605" t="s">
        <v>20</v>
      </c>
      <c r="F2605" s="4" t="s">
        <v>27</v>
      </c>
      <c r="G2605" s="4" t="s">
        <v>39</v>
      </c>
      <c r="H2605" s="4">
        <v>2</v>
      </c>
      <c r="I2605" s="4">
        <v>12</v>
      </c>
      <c r="J2605" s="1">
        <v>45657</v>
      </c>
      <c r="K2605" s="2">
        <v>6.0057870370370369E-3</v>
      </c>
      <c r="M2605" s="4" t="str">
        <f t="shared" si="120"/>
        <v>HIGH</v>
      </c>
      <c r="N2605" s="4" t="str" cm="1">
        <f t="array" ref="N2605">_xlfn.IFS(C2605&gt;35,"HIGH",C2605&gt;25,"MIDDLE",TRUE,"LOW")</f>
        <v>HIGH</v>
      </c>
      <c r="O2605" s="4" t="str">
        <f t="shared" si="121"/>
        <v>OTHERS</v>
      </c>
      <c r="P2605" s="4" t="str">
        <f t="shared" si="122"/>
        <v>PREMINUM MORNING</v>
      </c>
    </row>
    <row r="2606" spans="1:16" x14ac:dyDescent="0.3">
      <c r="A2606" s="4">
        <v>9</v>
      </c>
      <c r="B2606" t="s">
        <v>11</v>
      </c>
      <c r="C2606" s="4">
        <v>30.86</v>
      </c>
      <c r="D2606" t="s">
        <v>19</v>
      </c>
      <c r="E2606" t="s">
        <v>13</v>
      </c>
      <c r="F2606" s="4" t="s">
        <v>30</v>
      </c>
      <c r="G2606" s="4" t="s">
        <v>40</v>
      </c>
      <c r="H2606" s="4">
        <v>4</v>
      </c>
      <c r="I2606" s="4">
        <v>1</v>
      </c>
      <c r="J2606" s="1">
        <v>45659</v>
      </c>
      <c r="K2606" s="2">
        <v>4.0339120370370372E-2</v>
      </c>
      <c r="M2606" s="4" t="str">
        <f t="shared" si="120"/>
        <v>LOW</v>
      </c>
      <c r="N2606" s="4" t="str" cm="1">
        <f t="array" ref="N2606">_xlfn.IFS(C2606&gt;35,"HIGH",C2606&gt;25,"MIDDLE",TRUE,"LOW")</f>
        <v>MIDDLE</v>
      </c>
      <c r="O2606" s="4" t="str">
        <f t="shared" si="121"/>
        <v>OTHERS</v>
      </c>
      <c r="P2606" s="4" t="str">
        <f t="shared" si="122"/>
        <v>PREMINUM MORNING</v>
      </c>
    </row>
    <row r="2607" spans="1:16" x14ac:dyDescent="0.3">
      <c r="A2607" s="4">
        <v>13</v>
      </c>
      <c r="B2607" t="s">
        <v>11</v>
      </c>
      <c r="C2607" s="4">
        <v>35.76</v>
      </c>
      <c r="D2607" t="s">
        <v>21</v>
      </c>
      <c r="E2607" t="s">
        <v>17</v>
      </c>
      <c r="F2607" s="4" t="s">
        <v>30</v>
      </c>
      <c r="G2607" s="4" t="s">
        <v>40</v>
      </c>
      <c r="H2607" s="4">
        <v>4</v>
      </c>
      <c r="I2607" s="4">
        <v>1</v>
      </c>
      <c r="J2607" s="1">
        <v>45659</v>
      </c>
      <c r="K2607" s="2">
        <v>2.0603009259259258E-2</v>
      </c>
      <c r="M2607" s="4" t="str">
        <f t="shared" si="120"/>
        <v>HIGH</v>
      </c>
      <c r="N2607" s="4" t="str" cm="1">
        <f t="array" ref="N2607">_xlfn.IFS(C2607&gt;35,"HIGH",C2607&gt;25,"MIDDLE",TRUE,"LOW")</f>
        <v>HIGH</v>
      </c>
      <c r="O2607" s="4" t="str">
        <f t="shared" si="121"/>
        <v>OTHERS</v>
      </c>
      <c r="P2607" s="4" t="str">
        <f t="shared" si="122"/>
        <v>PREMINUM MORNING</v>
      </c>
    </row>
    <row r="2608" spans="1:16" x14ac:dyDescent="0.3">
      <c r="A2608" s="4">
        <v>13</v>
      </c>
      <c r="B2608" t="s">
        <v>11</v>
      </c>
      <c r="C2608" s="4">
        <v>35.76</v>
      </c>
      <c r="D2608" t="s">
        <v>21</v>
      </c>
      <c r="E2608" t="s">
        <v>17</v>
      </c>
      <c r="F2608" s="4" t="s">
        <v>30</v>
      </c>
      <c r="G2608" s="4" t="s">
        <v>40</v>
      </c>
      <c r="H2608" s="4">
        <v>4</v>
      </c>
      <c r="I2608" s="4">
        <v>1</v>
      </c>
      <c r="J2608" s="1">
        <v>45659</v>
      </c>
      <c r="K2608" s="2">
        <v>2.1281250000000002E-2</v>
      </c>
      <c r="M2608" s="4" t="str">
        <f t="shared" si="120"/>
        <v>HIGH</v>
      </c>
      <c r="N2608" s="4" t="str" cm="1">
        <f t="array" ref="N2608">_xlfn.IFS(C2608&gt;35,"HIGH",C2608&gt;25,"MIDDLE",TRUE,"LOW")</f>
        <v>HIGH</v>
      </c>
      <c r="O2608" s="4" t="str">
        <f t="shared" si="121"/>
        <v>OTHERS</v>
      </c>
      <c r="P2608" s="4" t="str">
        <f t="shared" si="122"/>
        <v>PREMINUM MORNING</v>
      </c>
    </row>
    <row r="2609" spans="1:16" x14ac:dyDescent="0.3">
      <c r="A2609" s="4">
        <v>14</v>
      </c>
      <c r="B2609" t="s">
        <v>11</v>
      </c>
      <c r="C2609" s="4">
        <v>25.96</v>
      </c>
      <c r="D2609" t="s">
        <v>24</v>
      </c>
      <c r="E2609" t="s">
        <v>17</v>
      </c>
      <c r="F2609" s="4" t="s">
        <v>30</v>
      </c>
      <c r="G2609" s="4" t="s">
        <v>40</v>
      </c>
      <c r="H2609" s="4">
        <v>4</v>
      </c>
      <c r="I2609" s="4">
        <v>1</v>
      </c>
      <c r="J2609" s="1">
        <v>45659</v>
      </c>
      <c r="K2609" s="2">
        <v>2.8594907407407406E-2</v>
      </c>
      <c r="M2609" s="4" t="str">
        <f t="shared" si="120"/>
        <v>LOW</v>
      </c>
      <c r="N2609" s="4" t="str" cm="1">
        <f t="array" ref="N2609">_xlfn.IFS(C2609&gt;35,"HIGH",C2609&gt;25,"MIDDLE",TRUE,"LOW")</f>
        <v>MIDDLE</v>
      </c>
      <c r="O2609" s="4" t="str">
        <f t="shared" si="121"/>
        <v>OTHERS</v>
      </c>
      <c r="P2609" s="4" t="str">
        <f t="shared" si="122"/>
        <v>OTHERS</v>
      </c>
    </row>
    <row r="2610" spans="1:16" x14ac:dyDescent="0.3">
      <c r="A2610" s="4">
        <v>14</v>
      </c>
      <c r="B2610" t="s">
        <v>11</v>
      </c>
      <c r="C2610" s="4">
        <v>25.96</v>
      </c>
      <c r="D2610" t="s">
        <v>24</v>
      </c>
      <c r="E2610" t="s">
        <v>17</v>
      </c>
      <c r="F2610" s="4" t="s">
        <v>30</v>
      </c>
      <c r="G2610" s="4" t="s">
        <v>40</v>
      </c>
      <c r="H2610" s="4">
        <v>4</v>
      </c>
      <c r="I2610" s="4">
        <v>1</v>
      </c>
      <c r="J2610" s="1">
        <v>45659</v>
      </c>
      <c r="K2610" s="2">
        <v>2.9696759259259263E-2</v>
      </c>
      <c r="M2610" s="4" t="str">
        <f t="shared" si="120"/>
        <v>LOW</v>
      </c>
      <c r="N2610" s="4" t="str" cm="1">
        <f t="array" ref="N2610">_xlfn.IFS(C2610&gt;35,"HIGH",C2610&gt;25,"MIDDLE",TRUE,"LOW")</f>
        <v>MIDDLE</v>
      </c>
      <c r="O2610" s="4" t="str">
        <f t="shared" si="121"/>
        <v>OTHERS</v>
      </c>
      <c r="P2610" s="4" t="str">
        <f t="shared" si="122"/>
        <v>OTHERS</v>
      </c>
    </row>
    <row r="2611" spans="1:16" x14ac:dyDescent="0.3">
      <c r="A2611" s="4">
        <v>16</v>
      </c>
      <c r="B2611" t="s">
        <v>11</v>
      </c>
      <c r="C2611" s="4">
        <v>25.96</v>
      </c>
      <c r="D2611" t="s">
        <v>18</v>
      </c>
      <c r="E2611" t="s">
        <v>17</v>
      </c>
      <c r="F2611" s="4" t="s">
        <v>30</v>
      </c>
      <c r="G2611" s="4" t="s">
        <v>40</v>
      </c>
      <c r="H2611" s="4">
        <v>4</v>
      </c>
      <c r="I2611" s="4">
        <v>1</v>
      </c>
      <c r="J2611" s="1">
        <v>45659</v>
      </c>
      <c r="K2611" s="2">
        <v>1.5652777777777779E-2</v>
      </c>
      <c r="M2611" s="4" t="str">
        <f t="shared" si="120"/>
        <v>LOW</v>
      </c>
      <c r="N2611" s="4" t="str" cm="1">
        <f t="array" ref="N2611">_xlfn.IFS(C2611&gt;35,"HIGH",C2611&gt;25,"MIDDLE",TRUE,"LOW")</f>
        <v>MIDDLE</v>
      </c>
      <c r="O2611" s="4" t="str">
        <f t="shared" si="121"/>
        <v>OTHERS</v>
      </c>
      <c r="P2611" s="4" t="str">
        <f t="shared" si="122"/>
        <v>OTHERS</v>
      </c>
    </row>
    <row r="2612" spans="1:16" x14ac:dyDescent="0.3">
      <c r="A2612" s="4">
        <v>16</v>
      </c>
      <c r="B2612" t="s">
        <v>11</v>
      </c>
      <c r="C2612" s="4">
        <v>35.76</v>
      </c>
      <c r="D2612" t="s">
        <v>16</v>
      </c>
      <c r="E2612" t="s">
        <v>17</v>
      </c>
      <c r="F2612" s="4" t="s">
        <v>30</v>
      </c>
      <c r="G2612" s="4" t="s">
        <v>40</v>
      </c>
      <c r="H2612" s="4">
        <v>4</v>
      </c>
      <c r="I2612" s="4">
        <v>1</v>
      </c>
      <c r="J2612" s="1">
        <v>45659</v>
      </c>
      <c r="K2612" s="2">
        <v>2.4299768518518519E-2</v>
      </c>
      <c r="M2612" s="4" t="str">
        <f t="shared" si="120"/>
        <v>HIGH</v>
      </c>
      <c r="N2612" s="4" t="str" cm="1">
        <f t="array" ref="N2612">_xlfn.IFS(C2612&gt;35,"HIGH",C2612&gt;25,"MIDDLE",TRUE,"LOW")</f>
        <v>HIGH</v>
      </c>
      <c r="O2612" s="4" t="str">
        <f t="shared" si="121"/>
        <v>OTHERS</v>
      </c>
      <c r="P2612" s="4" t="str">
        <f t="shared" si="122"/>
        <v>PREMINUM MORNING</v>
      </c>
    </row>
    <row r="2613" spans="1:16" x14ac:dyDescent="0.3">
      <c r="A2613" s="4">
        <v>16</v>
      </c>
      <c r="B2613" t="s">
        <v>11</v>
      </c>
      <c r="C2613" s="4">
        <v>30.86</v>
      </c>
      <c r="D2613" t="s">
        <v>19</v>
      </c>
      <c r="E2613" t="s">
        <v>17</v>
      </c>
      <c r="F2613" s="4" t="s">
        <v>30</v>
      </c>
      <c r="G2613" s="4" t="s">
        <v>40</v>
      </c>
      <c r="H2613" s="4">
        <v>4</v>
      </c>
      <c r="I2613" s="4">
        <v>1</v>
      </c>
      <c r="J2613" s="1">
        <v>45659</v>
      </c>
      <c r="K2613" s="2">
        <v>2.4818287037037038E-2</v>
      </c>
      <c r="M2613" s="4" t="str">
        <f t="shared" si="120"/>
        <v>LOW</v>
      </c>
      <c r="N2613" s="4" t="str" cm="1">
        <f t="array" ref="N2613">_xlfn.IFS(C2613&gt;35,"HIGH",C2613&gt;25,"MIDDLE",TRUE,"LOW")</f>
        <v>MIDDLE</v>
      </c>
      <c r="O2613" s="4" t="str">
        <f t="shared" si="121"/>
        <v>OTHERS</v>
      </c>
      <c r="P2613" s="4" t="str">
        <f t="shared" si="122"/>
        <v>OTHERS</v>
      </c>
    </row>
    <row r="2614" spans="1:16" x14ac:dyDescent="0.3">
      <c r="A2614" s="4">
        <v>17</v>
      </c>
      <c r="B2614" t="s">
        <v>11</v>
      </c>
      <c r="C2614" s="4">
        <v>35.76</v>
      </c>
      <c r="D2614" t="s">
        <v>29</v>
      </c>
      <c r="E2614" t="s">
        <v>20</v>
      </c>
      <c r="F2614" s="4" t="s">
        <v>30</v>
      </c>
      <c r="G2614" s="4" t="s">
        <v>40</v>
      </c>
      <c r="H2614" s="4">
        <v>4</v>
      </c>
      <c r="I2614" s="4">
        <v>1</v>
      </c>
      <c r="J2614" s="1">
        <v>45659</v>
      </c>
      <c r="K2614" s="2">
        <v>2.9979166666666664E-2</v>
      </c>
      <c r="M2614" s="4" t="str">
        <f t="shared" si="120"/>
        <v>HIGH</v>
      </c>
      <c r="N2614" s="4" t="str" cm="1">
        <f t="array" ref="N2614">_xlfn.IFS(C2614&gt;35,"HIGH",C2614&gt;25,"MIDDLE",TRUE,"LOW")</f>
        <v>HIGH</v>
      </c>
      <c r="O2614" s="4" t="str">
        <f t="shared" si="121"/>
        <v>OTHERS</v>
      </c>
      <c r="P2614" s="4" t="str">
        <f t="shared" si="122"/>
        <v>PREMINUM MORNING</v>
      </c>
    </row>
    <row r="2615" spans="1:16" x14ac:dyDescent="0.3">
      <c r="A2615" s="4">
        <v>9</v>
      </c>
      <c r="B2615" t="s">
        <v>11</v>
      </c>
      <c r="C2615" s="4">
        <v>25.96</v>
      </c>
      <c r="D2615" t="s">
        <v>24</v>
      </c>
      <c r="E2615" t="s">
        <v>13</v>
      </c>
      <c r="F2615" s="4" t="s">
        <v>14</v>
      </c>
      <c r="G2615" s="4" t="s">
        <v>40</v>
      </c>
      <c r="H2615" s="4">
        <v>5</v>
      </c>
      <c r="I2615" s="4">
        <v>1</v>
      </c>
      <c r="J2615" s="1">
        <v>45660</v>
      </c>
      <c r="K2615" s="2">
        <v>2.3460648148148147E-3</v>
      </c>
      <c r="M2615" s="4" t="str">
        <f t="shared" si="120"/>
        <v>LOW</v>
      </c>
      <c r="N2615" s="4" t="str" cm="1">
        <f t="array" ref="N2615">_xlfn.IFS(C2615&gt;35,"HIGH",C2615&gt;25,"MIDDLE",TRUE,"LOW")</f>
        <v>MIDDLE</v>
      </c>
      <c r="O2615" s="4" t="str">
        <f t="shared" si="121"/>
        <v>OTHERS</v>
      </c>
      <c r="P2615" s="4" t="str">
        <f t="shared" si="122"/>
        <v>PREMINUM MORNING</v>
      </c>
    </row>
    <row r="2616" spans="1:16" x14ac:dyDescent="0.3">
      <c r="A2616" s="4">
        <v>10</v>
      </c>
      <c r="B2616" t="s">
        <v>11</v>
      </c>
      <c r="C2616" s="4">
        <v>30.86</v>
      </c>
      <c r="D2616" t="s">
        <v>19</v>
      </c>
      <c r="E2616" t="s">
        <v>13</v>
      </c>
      <c r="F2616" s="4" t="s">
        <v>14</v>
      </c>
      <c r="G2616" s="4" t="s">
        <v>40</v>
      </c>
      <c r="H2616" s="4">
        <v>5</v>
      </c>
      <c r="I2616" s="4">
        <v>1</v>
      </c>
      <c r="J2616" s="1">
        <v>45660</v>
      </c>
      <c r="K2616" s="2">
        <v>7.3009259259259251E-3</v>
      </c>
      <c r="M2616" s="4" t="str">
        <f t="shared" si="120"/>
        <v>LOW</v>
      </c>
      <c r="N2616" s="4" t="str" cm="1">
        <f t="array" ref="N2616">_xlfn.IFS(C2616&gt;35,"HIGH",C2616&gt;25,"MIDDLE",TRUE,"LOW")</f>
        <v>MIDDLE</v>
      </c>
      <c r="O2616" s="4" t="str">
        <f t="shared" si="121"/>
        <v>OTHERS</v>
      </c>
      <c r="P2616" s="4" t="str">
        <f t="shared" si="122"/>
        <v>PREMINUM MORNING</v>
      </c>
    </row>
    <row r="2617" spans="1:16" x14ac:dyDescent="0.3">
      <c r="A2617" s="4">
        <v>16</v>
      </c>
      <c r="B2617" t="s">
        <v>11</v>
      </c>
      <c r="C2617" s="4">
        <v>30.86</v>
      </c>
      <c r="D2617" t="s">
        <v>19</v>
      </c>
      <c r="E2617" t="s">
        <v>17</v>
      </c>
      <c r="F2617" s="4" t="s">
        <v>14</v>
      </c>
      <c r="G2617" s="4" t="s">
        <v>40</v>
      </c>
      <c r="H2617" s="4">
        <v>5</v>
      </c>
      <c r="I2617" s="4">
        <v>1</v>
      </c>
      <c r="J2617" s="1">
        <v>45660</v>
      </c>
      <c r="K2617" s="2">
        <v>4.0386574074074075E-2</v>
      </c>
      <c r="M2617" s="4" t="str">
        <f t="shared" si="120"/>
        <v>LOW</v>
      </c>
      <c r="N2617" s="4" t="str" cm="1">
        <f t="array" ref="N2617">_xlfn.IFS(C2617&gt;35,"HIGH",C2617&gt;25,"MIDDLE",TRUE,"LOW")</f>
        <v>MIDDLE</v>
      </c>
      <c r="O2617" s="4" t="str">
        <f t="shared" si="121"/>
        <v>OTHERS</v>
      </c>
      <c r="P2617" s="4" t="str">
        <f t="shared" si="122"/>
        <v>OTHERS</v>
      </c>
    </row>
    <row r="2618" spans="1:16" x14ac:dyDescent="0.3">
      <c r="A2618" s="4">
        <v>22</v>
      </c>
      <c r="B2618" t="s">
        <v>11</v>
      </c>
      <c r="C2618" s="4">
        <v>35.76</v>
      </c>
      <c r="D2618" t="s">
        <v>29</v>
      </c>
      <c r="E2618" t="s">
        <v>20</v>
      </c>
      <c r="F2618" s="4" t="s">
        <v>14</v>
      </c>
      <c r="G2618" s="4" t="s">
        <v>40</v>
      </c>
      <c r="H2618" s="4">
        <v>5</v>
      </c>
      <c r="I2618" s="4">
        <v>1</v>
      </c>
      <c r="J2618" s="1">
        <v>45660</v>
      </c>
      <c r="K2618" s="2">
        <v>9.3587962962962973E-3</v>
      </c>
      <c r="M2618" s="4" t="str">
        <f t="shared" si="120"/>
        <v>HIGH</v>
      </c>
      <c r="N2618" s="4" t="str" cm="1">
        <f t="array" ref="N2618">_xlfn.IFS(C2618&gt;35,"HIGH",C2618&gt;25,"MIDDLE",TRUE,"LOW")</f>
        <v>HIGH</v>
      </c>
      <c r="O2618" s="4" t="str">
        <f t="shared" si="121"/>
        <v>OTHERS</v>
      </c>
      <c r="P2618" s="4" t="str">
        <f t="shared" si="122"/>
        <v>PREMINUM MORNING</v>
      </c>
    </row>
    <row r="2619" spans="1:16" x14ac:dyDescent="0.3">
      <c r="A2619" s="4">
        <v>22</v>
      </c>
      <c r="B2619" t="s">
        <v>11</v>
      </c>
      <c r="C2619" s="4">
        <v>25.96</v>
      </c>
      <c r="D2619" t="s">
        <v>18</v>
      </c>
      <c r="E2619" t="s">
        <v>20</v>
      </c>
      <c r="F2619" s="4" t="s">
        <v>14</v>
      </c>
      <c r="G2619" s="4" t="s">
        <v>40</v>
      </c>
      <c r="H2619" s="4">
        <v>5</v>
      </c>
      <c r="I2619" s="4">
        <v>1</v>
      </c>
      <c r="J2619" s="1">
        <v>45660</v>
      </c>
      <c r="K2619" s="2">
        <v>1.2736111111111113E-2</v>
      </c>
      <c r="M2619" s="4" t="str">
        <f t="shared" si="120"/>
        <v>LOW</v>
      </c>
      <c r="N2619" s="4" t="str" cm="1">
        <f t="array" ref="N2619">_xlfn.IFS(C2619&gt;35,"HIGH",C2619&gt;25,"MIDDLE",TRUE,"LOW")</f>
        <v>MIDDLE</v>
      </c>
      <c r="O2619" s="4" t="str">
        <f t="shared" si="121"/>
        <v>OTHERS</v>
      </c>
      <c r="P2619" s="4" t="str">
        <f t="shared" si="122"/>
        <v>OTHERS</v>
      </c>
    </row>
    <row r="2620" spans="1:16" x14ac:dyDescent="0.3">
      <c r="A2620" s="4">
        <v>22</v>
      </c>
      <c r="B2620" t="s">
        <v>11</v>
      </c>
      <c r="C2620" s="4">
        <v>25.96</v>
      </c>
      <c r="D2620" t="s">
        <v>18</v>
      </c>
      <c r="E2620" t="s">
        <v>20</v>
      </c>
      <c r="F2620" s="4" t="s">
        <v>14</v>
      </c>
      <c r="G2620" s="4" t="s">
        <v>40</v>
      </c>
      <c r="H2620" s="4">
        <v>5</v>
      </c>
      <c r="I2620" s="4">
        <v>1</v>
      </c>
      <c r="J2620" s="1">
        <v>45660</v>
      </c>
      <c r="K2620" s="2">
        <v>1.3361111111111112E-2</v>
      </c>
      <c r="M2620" s="4" t="str">
        <f t="shared" si="120"/>
        <v>LOW</v>
      </c>
      <c r="N2620" s="4" t="str" cm="1">
        <f t="array" ref="N2620">_xlfn.IFS(C2620&gt;35,"HIGH",C2620&gt;25,"MIDDLE",TRUE,"LOW")</f>
        <v>MIDDLE</v>
      </c>
      <c r="O2620" s="4" t="str">
        <f t="shared" si="121"/>
        <v>OTHERS</v>
      </c>
      <c r="P2620" s="4" t="str">
        <f t="shared" si="122"/>
        <v>OTHERS</v>
      </c>
    </row>
    <row r="2621" spans="1:16" x14ac:dyDescent="0.3">
      <c r="A2621" s="4">
        <v>22</v>
      </c>
      <c r="B2621" t="s">
        <v>11</v>
      </c>
      <c r="C2621" s="4">
        <v>35.76</v>
      </c>
      <c r="D2621" t="s">
        <v>12</v>
      </c>
      <c r="E2621" t="s">
        <v>20</v>
      </c>
      <c r="F2621" s="4" t="s">
        <v>14</v>
      </c>
      <c r="G2621" s="4" t="s">
        <v>40</v>
      </c>
      <c r="H2621" s="4">
        <v>5</v>
      </c>
      <c r="I2621" s="4">
        <v>1</v>
      </c>
      <c r="J2621" s="1">
        <v>45660</v>
      </c>
      <c r="K2621" s="2">
        <v>1.4884259259259259E-2</v>
      </c>
      <c r="M2621" s="4" t="str">
        <f t="shared" si="120"/>
        <v>HIGH</v>
      </c>
      <c r="N2621" s="4" t="str" cm="1">
        <f t="array" ref="N2621">_xlfn.IFS(C2621&gt;35,"HIGH",C2621&gt;25,"MIDDLE",TRUE,"LOW")</f>
        <v>HIGH</v>
      </c>
      <c r="O2621" s="4" t="str">
        <f t="shared" si="121"/>
        <v>OTHERS</v>
      </c>
      <c r="P2621" s="4" t="str">
        <f t="shared" si="122"/>
        <v>PREMINUM MORNING</v>
      </c>
    </row>
    <row r="2622" spans="1:16" x14ac:dyDescent="0.3">
      <c r="A2622" s="4">
        <v>8</v>
      </c>
      <c r="B2622" t="s">
        <v>11</v>
      </c>
      <c r="C2622" s="4">
        <v>25.96</v>
      </c>
      <c r="D2622" t="s">
        <v>24</v>
      </c>
      <c r="E2622" t="s">
        <v>13</v>
      </c>
      <c r="F2622" s="4" t="s">
        <v>22</v>
      </c>
      <c r="G2622" s="4" t="s">
        <v>40</v>
      </c>
      <c r="H2622" s="4">
        <v>6</v>
      </c>
      <c r="I2622" s="4">
        <v>1</v>
      </c>
      <c r="J2622" s="1">
        <v>45661</v>
      </c>
      <c r="K2622" s="2">
        <v>4.058449074074074E-2</v>
      </c>
      <c r="M2622" s="4" t="str">
        <f t="shared" si="120"/>
        <v>LOW</v>
      </c>
      <c r="N2622" s="4" t="str" cm="1">
        <f t="array" ref="N2622">_xlfn.IFS(C2622&gt;35,"HIGH",C2622&gt;25,"MIDDLE",TRUE,"LOW")</f>
        <v>MIDDLE</v>
      </c>
      <c r="O2622" s="4" t="str">
        <f t="shared" si="121"/>
        <v>OTHERS</v>
      </c>
      <c r="P2622" s="4" t="str">
        <f t="shared" si="122"/>
        <v>PREMINUM MORNING</v>
      </c>
    </row>
    <row r="2623" spans="1:16" x14ac:dyDescent="0.3">
      <c r="A2623" s="4">
        <v>9</v>
      </c>
      <c r="B2623" t="s">
        <v>11</v>
      </c>
      <c r="C2623" s="4">
        <v>25.96</v>
      </c>
      <c r="D2623" t="s">
        <v>18</v>
      </c>
      <c r="E2623" t="s">
        <v>13</v>
      </c>
      <c r="F2623" s="4" t="s">
        <v>22</v>
      </c>
      <c r="G2623" s="4" t="s">
        <v>40</v>
      </c>
      <c r="H2623" s="4">
        <v>6</v>
      </c>
      <c r="I2623" s="4">
        <v>1</v>
      </c>
      <c r="J2623" s="1">
        <v>45661</v>
      </c>
      <c r="K2623" s="2">
        <v>4.129398148148148E-2</v>
      </c>
      <c r="M2623" s="4" t="str">
        <f t="shared" si="120"/>
        <v>LOW</v>
      </c>
      <c r="N2623" s="4" t="str" cm="1">
        <f t="array" ref="N2623">_xlfn.IFS(C2623&gt;35,"HIGH",C2623&gt;25,"MIDDLE",TRUE,"LOW")</f>
        <v>MIDDLE</v>
      </c>
      <c r="O2623" s="4" t="str">
        <f t="shared" si="121"/>
        <v>OTHERS</v>
      </c>
      <c r="P2623" s="4" t="str">
        <f t="shared" si="122"/>
        <v>PREMINUM MORNING</v>
      </c>
    </row>
    <row r="2624" spans="1:16" x14ac:dyDescent="0.3">
      <c r="A2624" s="4">
        <v>13</v>
      </c>
      <c r="B2624" t="s">
        <v>11</v>
      </c>
      <c r="C2624" s="4">
        <v>35.76</v>
      </c>
      <c r="D2624" t="s">
        <v>29</v>
      </c>
      <c r="E2624" t="s">
        <v>17</v>
      </c>
      <c r="F2624" s="4" t="s">
        <v>22</v>
      </c>
      <c r="G2624" s="4" t="s">
        <v>40</v>
      </c>
      <c r="H2624" s="4">
        <v>6</v>
      </c>
      <c r="I2624" s="4">
        <v>1</v>
      </c>
      <c r="J2624" s="1">
        <v>45661</v>
      </c>
      <c r="K2624" s="2">
        <v>2.778125E-2</v>
      </c>
      <c r="M2624" s="4" t="str">
        <f t="shared" si="120"/>
        <v>HIGH</v>
      </c>
      <c r="N2624" s="4" t="str" cm="1">
        <f t="array" ref="N2624">_xlfn.IFS(C2624&gt;35,"HIGH",C2624&gt;25,"MIDDLE",TRUE,"LOW")</f>
        <v>HIGH</v>
      </c>
      <c r="O2624" s="4" t="str">
        <f t="shared" si="121"/>
        <v>OTHERS</v>
      </c>
      <c r="P2624" s="4" t="str">
        <f t="shared" si="122"/>
        <v>PREMINUM MORNING</v>
      </c>
    </row>
    <row r="2625" spans="1:16" x14ac:dyDescent="0.3">
      <c r="A2625" s="4">
        <v>15</v>
      </c>
      <c r="B2625" t="s">
        <v>11</v>
      </c>
      <c r="C2625" s="4">
        <v>35.76</v>
      </c>
      <c r="D2625" t="s">
        <v>21</v>
      </c>
      <c r="E2625" t="s">
        <v>17</v>
      </c>
      <c r="F2625" s="4" t="s">
        <v>22</v>
      </c>
      <c r="G2625" s="4" t="s">
        <v>40</v>
      </c>
      <c r="H2625" s="4">
        <v>6</v>
      </c>
      <c r="I2625" s="4">
        <v>1</v>
      </c>
      <c r="J2625" s="1">
        <v>45661</v>
      </c>
      <c r="K2625" s="2">
        <v>4.135648148148148E-2</v>
      </c>
      <c r="M2625" s="4" t="str">
        <f t="shared" si="120"/>
        <v>HIGH</v>
      </c>
      <c r="N2625" s="4" t="str" cm="1">
        <f t="array" ref="N2625">_xlfn.IFS(C2625&gt;35,"HIGH",C2625&gt;25,"MIDDLE",TRUE,"LOW")</f>
        <v>HIGH</v>
      </c>
      <c r="O2625" s="4" t="str">
        <f t="shared" si="121"/>
        <v>OTHERS</v>
      </c>
      <c r="P2625" s="4" t="str">
        <f t="shared" si="122"/>
        <v>PREMINUM MORNING</v>
      </c>
    </row>
    <row r="2626" spans="1:16" x14ac:dyDescent="0.3">
      <c r="A2626" s="4">
        <v>16</v>
      </c>
      <c r="B2626" t="s">
        <v>11</v>
      </c>
      <c r="C2626" s="4">
        <v>30.86</v>
      </c>
      <c r="D2626" t="s">
        <v>19</v>
      </c>
      <c r="E2626" t="s">
        <v>17</v>
      </c>
      <c r="F2626" s="4" t="s">
        <v>22</v>
      </c>
      <c r="G2626" s="4" t="s">
        <v>40</v>
      </c>
      <c r="H2626" s="4">
        <v>6</v>
      </c>
      <c r="I2626" s="4">
        <v>1</v>
      </c>
      <c r="J2626" s="1">
        <v>45661</v>
      </c>
      <c r="K2626" s="2">
        <v>8.9722222222222234E-3</v>
      </c>
      <c r="M2626" s="4" t="str">
        <f t="shared" si="120"/>
        <v>LOW</v>
      </c>
      <c r="N2626" s="4" t="str" cm="1">
        <f t="array" ref="N2626">_xlfn.IFS(C2626&gt;35,"HIGH",C2626&gt;25,"MIDDLE",TRUE,"LOW")</f>
        <v>MIDDLE</v>
      </c>
      <c r="O2626" s="4" t="str">
        <f t="shared" si="121"/>
        <v>OTHERS</v>
      </c>
      <c r="P2626" s="4" t="str">
        <f t="shared" si="122"/>
        <v>OTHERS</v>
      </c>
    </row>
    <row r="2627" spans="1:16" x14ac:dyDescent="0.3">
      <c r="A2627" s="4">
        <v>16</v>
      </c>
      <c r="B2627" t="s">
        <v>11</v>
      </c>
      <c r="C2627" s="4">
        <v>35.76</v>
      </c>
      <c r="D2627" t="s">
        <v>29</v>
      </c>
      <c r="E2627" t="s">
        <v>17</v>
      </c>
      <c r="F2627" s="4" t="s">
        <v>22</v>
      </c>
      <c r="G2627" s="4" t="s">
        <v>40</v>
      </c>
      <c r="H2627" s="4">
        <v>6</v>
      </c>
      <c r="I2627" s="4">
        <v>1</v>
      </c>
      <c r="J2627" s="1">
        <v>45661</v>
      </c>
      <c r="K2627" s="2">
        <v>9.8402777777777777E-3</v>
      </c>
      <c r="M2627" s="4" t="str">
        <f t="shared" ref="M2627:M2690" si="123">IF(C2627&gt;35,"HIGH","LOW")</f>
        <v>HIGH</v>
      </c>
      <c r="N2627" s="4" t="str" cm="1">
        <f t="array" ref="N2627">_xlfn.IFS(C2627&gt;35,"HIGH",C2627&gt;25,"MIDDLE",TRUE,"LOW")</f>
        <v>HIGH</v>
      </c>
      <c r="O2627" s="4" t="str">
        <f t="shared" ref="O2627:O2690" si="124">IF(AND(C2627&gt;35,E2627="MORNING"),"PREMINUM MORNING","OTHERS")</f>
        <v>OTHERS</v>
      </c>
      <c r="P2627" s="4" t="str">
        <f t="shared" ref="P2627:P2690" si="125">IF(OR(C2627&gt;35,E2627="MORNING"),"PREMINUM MORNING","OTHERS")</f>
        <v>PREMINUM MORNING</v>
      </c>
    </row>
    <row r="2628" spans="1:16" x14ac:dyDescent="0.3">
      <c r="A2628" s="4">
        <v>16</v>
      </c>
      <c r="B2628" t="s">
        <v>11</v>
      </c>
      <c r="C2628" s="4">
        <v>35.76</v>
      </c>
      <c r="D2628" t="s">
        <v>29</v>
      </c>
      <c r="E2628" t="s">
        <v>17</v>
      </c>
      <c r="F2628" s="4" t="s">
        <v>22</v>
      </c>
      <c r="G2628" s="4" t="s">
        <v>40</v>
      </c>
      <c r="H2628" s="4">
        <v>6</v>
      </c>
      <c r="I2628" s="4">
        <v>1</v>
      </c>
      <c r="J2628" s="1">
        <v>45661</v>
      </c>
      <c r="K2628" s="2">
        <v>1.1240740740740742E-2</v>
      </c>
      <c r="M2628" s="4" t="str">
        <f t="shared" si="123"/>
        <v>HIGH</v>
      </c>
      <c r="N2628" s="4" t="str" cm="1">
        <f t="array" ref="N2628">_xlfn.IFS(C2628&gt;35,"HIGH",C2628&gt;25,"MIDDLE",TRUE,"LOW")</f>
        <v>HIGH</v>
      </c>
      <c r="O2628" s="4" t="str">
        <f t="shared" si="124"/>
        <v>OTHERS</v>
      </c>
      <c r="P2628" s="4" t="str">
        <f t="shared" si="125"/>
        <v>PREMINUM MORNING</v>
      </c>
    </row>
    <row r="2629" spans="1:16" x14ac:dyDescent="0.3">
      <c r="A2629" s="4">
        <v>16</v>
      </c>
      <c r="B2629" t="s">
        <v>11</v>
      </c>
      <c r="C2629" s="4">
        <v>25.96</v>
      </c>
      <c r="D2629" t="s">
        <v>24</v>
      </c>
      <c r="E2629" t="s">
        <v>17</v>
      </c>
      <c r="F2629" s="4" t="s">
        <v>22</v>
      </c>
      <c r="G2629" s="4" t="s">
        <v>40</v>
      </c>
      <c r="H2629" s="4">
        <v>6</v>
      </c>
      <c r="I2629" s="4">
        <v>1</v>
      </c>
      <c r="J2629" s="1">
        <v>45661</v>
      </c>
      <c r="K2629" s="2">
        <v>1.2547453703703703E-2</v>
      </c>
      <c r="M2629" s="4" t="str">
        <f t="shared" si="123"/>
        <v>LOW</v>
      </c>
      <c r="N2629" s="4" t="str" cm="1">
        <f t="array" ref="N2629">_xlfn.IFS(C2629&gt;35,"HIGH",C2629&gt;25,"MIDDLE",TRUE,"LOW")</f>
        <v>MIDDLE</v>
      </c>
      <c r="O2629" s="4" t="str">
        <f t="shared" si="124"/>
        <v>OTHERS</v>
      </c>
      <c r="P2629" s="4" t="str">
        <f t="shared" si="125"/>
        <v>OTHERS</v>
      </c>
    </row>
    <row r="2630" spans="1:16" x14ac:dyDescent="0.3">
      <c r="A2630" s="4">
        <v>18</v>
      </c>
      <c r="B2630" t="s">
        <v>11</v>
      </c>
      <c r="C2630" s="4">
        <v>25.96</v>
      </c>
      <c r="D2630" t="s">
        <v>18</v>
      </c>
      <c r="E2630" t="s">
        <v>20</v>
      </c>
      <c r="F2630" s="4" t="s">
        <v>22</v>
      </c>
      <c r="G2630" s="4" t="s">
        <v>40</v>
      </c>
      <c r="H2630" s="4">
        <v>6</v>
      </c>
      <c r="I2630" s="4">
        <v>1</v>
      </c>
      <c r="J2630" s="1">
        <v>45661</v>
      </c>
      <c r="K2630" s="2">
        <v>8.0937500000000002E-3</v>
      </c>
      <c r="M2630" s="4" t="str">
        <f t="shared" si="123"/>
        <v>LOW</v>
      </c>
      <c r="N2630" s="4" t="str" cm="1">
        <f t="array" ref="N2630">_xlfn.IFS(C2630&gt;35,"HIGH",C2630&gt;25,"MIDDLE",TRUE,"LOW")</f>
        <v>MIDDLE</v>
      </c>
      <c r="O2630" s="4" t="str">
        <f t="shared" si="124"/>
        <v>OTHERS</v>
      </c>
      <c r="P2630" s="4" t="str">
        <f t="shared" si="125"/>
        <v>OTHERS</v>
      </c>
    </row>
    <row r="2631" spans="1:16" x14ac:dyDescent="0.3">
      <c r="A2631" s="4">
        <v>22</v>
      </c>
      <c r="B2631" t="s">
        <v>11</v>
      </c>
      <c r="C2631" s="4">
        <v>35.76</v>
      </c>
      <c r="D2631" t="s">
        <v>12</v>
      </c>
      <c r="E2631" t="s">
        <v>20</v>
      </c>
      <c r="F2631" s="4" t="s">
        <v>22</v>
      </c>
      <c r="G2631" s="4" t="s">
        <v>40</v>
      </c>
      <c r="H2631" s="4">
        <v>6</v>
      </c>
      <c r="I2631" s="4">
        <v>1</v>
      </c>
      <c r="J2631" s="1">
        <v>45661</v>
      </c>
      <c r="K2631" s="2">
        <v>1.6327546296296298E-2</v>
      </c>
      <c r="M2631" s="4" t="str">
        <f t="shared" si="123"/>
        <v>HIGH</v>
      </c>
      <c r="N2631" s="4" t="str" cm="1">
        <f t="array" ref="N2631">_xlfn.IFS(C2631&gt;35,"HIGH",C2631&gt;25,"MIDDLE",TRUE,"LOW")</f>
        <v>HIGH</v>
      </c>
      <c r="O2631" s="4" t="str">
        <f t="shared" si="124"/>
        <v>OTHERS</v>
      </c>
      <c r="P2631" s="4" t="str">
        <f t="shared" si="125"/>
        <v>PREMINUM MORNING</v>
      </c>
    </row>
    <row r="2632" spans="1:16" x14ac:dyDescent="0.3">
      <c r="A2632" s="4">
        <v>9</v>
      </c>
      <c r="B2632" t="s">
        <v>11</v>
      </c>
      <c r="C2632" s="4">
        <v>30.86</v>
      </c>
      <c r="D2632" t="s">
        <v>19</v>
      </c>
      <c r="E2632" t="s">
        <v>13</v>
      </c>
      <c r="F2632" s="4" t="s">
        <v>23</v>
      </c>
      <c r="G2632" s="4" t="s">
        <v>40</v>
      </c>
      <c r="H2632" s="4">
        <v>7</v>
      </c>
      <c r="I2632" s="4">
        <v>1</v>
      </c>
      <c r="J2632" s="1">
        <v>45662</v>
      </c>
      <c r="K2632" s="2">
        <v>3.1918981481481486E-2</v>
      </c>
      <c r="M2632" s="4" t="str">
        <f t="shared" si="123"/>
        <v>LOW</v>
      </c>
      <c r="N2632" s="4" t="str" cm="1">
        <f t="array" ref="N2632">_xlfn.IFS(C2632&gt;35,"HIGH",C2632&gt;25,"MIDDLE",TRUE,"LOW")</f>
        <v>MIDDLE</v>
      </c>
      <c r="O2632" s="4" t="str">
        <f t="shared" si="124"/>
        <v>OTHERS</v>
      </c>
      <c r="P2632" s="4" t="str">
        <f t="shared" si="125"/>
        <v>PREMINUM MORNING</v>
      </c>
    </row>
    <row r="2633" spans="1:16" x14ac:dyDescent="0.3">
      <c r="A2633" s="4">
        <v>10</v>
      </c>
      <c r="B2633" t="s">
        <v>11</v>
      </c>
      <c r="C2633" s="4">
        <v>35.76</v>
      </c>
      <c r="D2633" t="s">
        <v>12</v>
      </c>
      <c r="E2633" t="s">
        <v>13</v>
      </c>
      <c r="F2633" s="4" t="s">
        <v>23</v>
      </c>
      <c r="G2633" s="4" t="s">
        <v>40</v>
      </c>
      <c r="H2633" s="4">
        <v>7</v>
      </c>
      <c r="I2633" s="4">
        <v>1</v>
      </c>
      <c r="J2633" s="1">
        <v>45662</v>
      </c>
      <c r="K2633" s="2">
        <v>3.6814814814814814E-2</v>
      </c>
      <c r="M2633" s="4" t="str">
        <f t="shared" si="123"/>
        <v>HIGH</v>
      </c>
      <c r="N2633" s="4" t="str" cm="1">
        <f t="array" ref="N2633">_xlfn.IFS(C2633&gt;35,"HIGH",C2633&gt;25,"MIDDLE",TRUE,"LOW")</f>
        <v>HIGH</v>
      </c>
      <c r="O2633" s="4" t="str">
        <f t="shared" si="124"/>
        <v>PREMINUM MORNING</v>
      </c>
      <c r="P2633" s="4" t="str">
        <f t="shared" si="125"/>
        <v>PREMINUM MORNING</v>
      </c>
    </row>
    <row r="2634" spans="1:16" x14ac:dyDescent="0.3">
      <c r="A2634" s="4">
        <v>22</v>
      </c>
      <c r="B2634" t="s">
        <v>11</v>
      </c>
      <c r="C2634" s="4">
        <v>30.86</v>
      </c>
      <c r="D2634" t="s">
        <v>19</v>
      </c>
      <c r="E2634" t="s">
        <v>20</v>
      </c>
      <c r="F2634" s="4" t="s">
        <v>23</v>
      </c>
      <c r="G2634" s="4" t="s">
        <v>40</v>
      </c>
      <c r="H2634" s="4">
        <v>7</v>
      </c>
      <c r="I2634" s="4">
        <v>1</v>
      </c>
      <c r="J2634" s="1">
        <v>45662</v>
      </c>
      <c r="K2634" s="2">
        <v>5.0520833333333329E-3</v>
      </c>
      <c r="M2634" s="4" t="str">
        <f t="shared" si="123"/>
        <v>LOW</v>
      </c>
      <c r="N2634" s="4" t="str" cm="1">
        <f t="array" ref="N2634">_xlfn.IFS(C2634&gt;35,"HIGH",C2634&gt;25,"MIDDLE",TRUE,"LOW")</f>
        <v>MIDDLE</v>
      </c>
      <c r="O2634" s="4" t="str">
        <f t="shared" si="124"/>
        <v>OTHERS</v>
      </c>
      <c r="P2634" s="4" t="str">
        <f t="shared" si="125"/>
        <v>OTHERS</v>
      </c>
    </row>
    <row r="2635" spans="1:16" x14ac:dyDescent="0.3">
      <c r="A2635" s="4">
        <v>19</v>
      </c>
      <c r="B2635" t="s">
        <v>11</v>
      </c>
      <c r="C2635" s="4">
        <v>25.96</v>
      </c>
      <c r="D2635" t="s">
        <v>18</v>
      </c>
      <c r="E2635" t="s">
        <v>20</v>
      </c>
      <c r="F2635" s="4" t="s">
        <v>25</v>
      </c>
      <c r="G2635" s="4" t="s">
        <v>40</v>
      </c>
      <c r="H2635" s="4">
        <v>1</v>
      </c>
      <c r="I2635" s="4">
        <v>1</v>
      </c>
      <c r="J2635" s="1">
        <v>45663</v>
      </c>
      <c r="K2635" s="2">
        <v>4.0864583333333329E-2</v>
      </c>
      <c r="M2635" s="4" t="str">
        <f t="shared" si="123"/>
        <v>LOW</v>
      </c>
      <c r="N2635" s="4" t="str" cm="1">
        <f t="array" ref="N2635">_xlfn.IFS(C2635&gt;35,"HIGH",C2635&gt;25,"MIDDLE",TRUE,"LOW")</f>
        <v>MIDDLE</v>
      </c>
      <c r="O2635" s="4" t="str">
        <f t="shared" si="124"/>
        <v>OTHERS</v>
      </c>
      <c r="P2635" s="4" t="str">
        <f t="shared" si="125"/>
        <v>OTHERS</v>
      </c>
    </row>
    <row r="2636" spans="1:16" x14ac:dyDescent="0.3">
      <c r="A2636" s="4">
        <v>13</v>
      </c>
      <c r="B2636" t="s">
        <v>11</v>
      </c>
      <c r="C2636" s="4">
        <v>35.76</v>
      </c>
      <c r="D2636" t="s">
        <v>29</v>
      </c>
      <c r="E2636" t="s">
        <v>17</v>
      </c>
      <c r="F2636" s="4" t="s">
        <v>27</v>
      </c>
      <c r="G2636" s="4" t="s">
        <v>40</v>
      </c>
      <c r="H2636" s="4">
        <v>2</v>
      </c>
      <c r="I2636" s="4">
        <v>1</v>
      </c>
      <c r="J2636" s="1">
        <v>45664</v>
      </c>
      <c r="K2636" s="2">
        <v>2.0171296296296295E-2</v>
      </c>
      <c r="M2636" s="4" t="str">
        <f t="shared" si="123"/>
        <v>HIGH</v>
      </c>
      <c r="N2636" s="4" t="str" cm="1">
        <f t="array" ref="N2636">_xlfn.IFS(C2636&gt;35,"HIGH",C2636&gt;25,"MIDDLE",TRUE,"LOW")</f>
        <v>HIGH</v>
      </c>
      <c r="O2636" s="4" t="str">
        <f t="shared" si="124"/>
        <v>OTHERS</v>
      </c>
      <c r="P2636" s="4" t="str">
        <f t="shared" si="125"/>
        <v>PREMINUM MORNING</v>
      </c>
    </row>
    <row r="2637" spans="1:16" x14ac:dyDescent="0.3">
      <c r="A2637" s="4">
        <v>22</v>
      </c>
      <c r="B2637" t="s">
        <v>11</v>
      </c>
      <c r="C2637" s="4">
        <v>35.76</v>
      </c>
      <c r="D2637" t="s">
        <v>21</v>
      </c>
      <c r="E2637" t="s">
        <v>20</v>
      </c>
      <c r="F2637" s="4" t="s">
        <v>27</v>
      </c>
      <c r="G2637" s="4" t="s">
        <v>40</v>
      </c>
      <c r="H2637" s="4">
        <v>2</v>
      </c>
      <c r="I2637" s="4">
        <v>1</v>
      </c>
      <c r="J2637" s="1">
        <v>45664</v>
      </c>
      <c r="K2637" s="2">
        <v>2.2744212962962963E-2</v>
      </c>
      <c r="M2637" s="4" t="str">
        <f t="shared" si="123"/>
        <v>HIGH</v>
      </c>
      <c r="N2637" s="4" t="str" cm="1">
        <f t="array" ref="N2637">_xlfn.IFS(C2637&gt;35,"HIGH",C2637&gt;25,"MIDDLE",TRUE,"LOW")</f>
        <v>HIGH</v>
      </c>
      <c r="O2637" s="4" t="str">
        <f t="shared" si="124"/>
        <v>OTHERS</v>
      </c>
      <c r="P2637" s="4" t="str">
        <f t="shared" si="125"/>
        <v>PREMINUM MORNING</v>
      </c>
    </row>
    <row r="2638" spans="1:16" x14ac:dyDescent="0.3">
      <c r="A2638" s="4">
        <v>22</v>
      </c>
      <c r="B2638" t="s">
        <v>11</v>
      </c>
      <c r="C2638" s="4">
        <v>35.76</v>
      </c>
      <c r="D2638" t="s">
        <v>21</v>
      </c>
      <c r="E2638" t="s">
        <v>20</v>
      </c>
      <c r="F2638" s="4" t="s">
        <v>27</v>
      </c>
      <c r="G2638" s="4" t="s">
        <v>40</v>
      </c>
      <c r="H2638" s="4">
        <v>2</v>
      </c>
      <c r="I2638" s="4">
        <v>1</v>
      </c>
      <c r="J2638" s="1">
        <v>45664</v>
      </c>
      <c r="K2638" s="2">
        <v>2.3598379629629632E-2</v>
      </c>
      <c r="M2638" s="4" t="str">
        <f t="shared" si="123"/>
        <v>HIGH</v>
      </c>
      <c r="N2638" s="4" t="str" cm="1">
        <f t="array" ref="N2638">_xlfn.IFS(C2638&gt;35,"HIGH",C2638&gt;25,"MIDDLE",TRUE,"LOW")</f>
        <v>HIGH</v>
      </c>
      <c r="O2638" s="4" t="str">
        <f t="shared" si="124"/>
        <v>OTHERS</v>
      </c>
      <c r="P2638" s="4" t="str">
        <f t="shared" si="125"/>
        <v>PREMINUM MORNING</v>
      </c>
    </row>
    <row r="2639" spans="1:16" x14ac:dyDescent="0.3">
      <c r="A2639" s="4">
        <v>7</v>
      </c>
      <c r="B2639" t="s">
        <v>11</v>
      </c>
      <c r="C2639" s="4">
        <v>30.86</v>
      </c>
      <c r="D2639" t="s">
        <v>19</v>
      </c>
      <c r="E2639" t="s">
        <v>13</v>
      </c>
      <c r="F2639" s="4" t="s">
        <v>28</v>
      </c>
      <c r="G2639" s="4" t="s">
        <v>40</v>
      </c>
      <c r="H2639" s="4">
        <v>3</v>
      </c>
      <c r="I2639" s="4">
        <v>1</v>
      </c>
      <c r="J2639" s="1">
        <v>45665</v>
      </c>
      <c r="K2639" s="2">
        <v>2.0856481481481483E-2</v>
      </c>
      <c r="M2639" s="4" t="str">
        <f t="shared" si="123"/>
        <v>LOW</v>
      </c>
      <c r="N2639" s="4" t="str" cm="1">
        <f t="array" ref="N2639">_xlfn.IFS(C2639&gt;35,"HIGH",C2639&gt;25,"MIDDLE",TRUE,"LOW")</f>
        <v>MIDDLE</v>
      </c>
      <c r="O2639" s="4" t="str">
        <f t="shared" si="124"/>
        <v>OTHERS</v>
      </c>
      <c r="P2639" s="4" t="str">
        <f t="shared" si="125"/>
        <v>PREMINUM MORNING</v>
      </c>
    </row>
    <row r="2640" spans="1:16" x14ac:dyDescent="0.3">
      <c r="A2640" s="4">
        <v>9</v>
      </c>
      <c r="B2640" t="s">
        <v>11</v>
      </c>
      <c r="C2640" s="4">
        <v>35.76</v>
      </c>
      <c r="D2640" t="s">
        <v>12</v>
      </c>
      <c r="E2640" t="s">
        <v>13</v>
      </c>
      <c r="F2640" s="4" t="s">
        <v>28</v>
      </c>
      <c r="G2640" s="4" t="s">
        <v>40</v>
      </c>
      <c r="H2640" s="4">
        <v>3</v>
      </c>
      <c r="I2640" s="4">
        <v>1</v>
      </c>
      <c r="J2640" s="1">
        <v>45665</v>
      </c>
      <c r="K2640" s="2">
        <v>7.8136574074074081E-3</v>
      </c>
      <c r="M2640" s="4" t="str">
        <f t="shared" si="123"/>
        <v>HIGH</v>
      </c>
      <c r="N2640" s="4" t="str" cm="1">
        <f t="array" ref="N2640">_xlfn.IFS(C2640&gt;35,"HIGH",C2640&gt;25,"MIDDLE",TRUE,"LOW")</f>
        <v>HIGH</v>
      </c>
      <c r="O2640" s="4" t="str">
        <f t="shared" si="124"/>
        <v>PREMINUM MORNING</v>
      </c>
      <c r="P2640" s="4" t="str">
        <f t="shared" si="125"/>
        <v>PREMINUM MORNING</v>
      </c>
    </row>
    <row r="2641" spans="1:16" x14ac:dyDescent="0.3">
      <c r="A2641" s="4">
        <v>10</v>
      </c>
      <c r="B2641" t="s">
        <v>11</v>
      </c>
      <c r="C2641" s="4">
        <v>25.96</v>
      </c>
      <c r="D2641" t="s">
        <v>24</v>
      </c>
      <c r="E2641" t="s">
        <v>13</v>
      </c>
      <c r="F2641" s="4" t="s">
        <v>28</v>
      </c>
      <c r="G2641" s="4" t="s">
        <v>40</v>
      </c>
      <c r="H2641" s="4">
        <v>3</v>
      </c>
      <c r="I2641" s="4">
        <v>1</v>
      </c>
      <c r="J2641" s="1">
        <v>45665</v>
      </c>
      <c r="K2641" s="2">
        <v>2.1165509259259259E-2</v>
      </c>
      <c r="M2641" s="4" t="str">
        <f t="shared" si="123"/>
        <v>LOW</v>
      </c>
      <c r="N2641" s="4" t="str" cm="1">
        <f t="array" ref="N2641">_xlfn.IFS(C2641&gt;35,"HIGH",C2641&gt;25,"MIDDLE",TRUE,"LOW")</f>
        <v>MIDDLE</v>
      </c>
      <c r="O2641" s="4" t="str">
        <f t="shared" si="124"/>
        <v>OTHERS</v>
      </c>
      <c r="P2641" s="4" t="str">
        <f t="shared" si="125"/>
        <v>PREMINUM MORNING</v>
      </c>
    </row>
    <row r="2642" spans="1:16" x14ac:dyDescent="0.3">
      <c r="A2642" s="4">
        <v>17</v>
      </c>
      <c r="B2642" t="s">
        <v>11</v>
      </c>
      <c r="C2642" s="4">
        <v>35.76</v>
      </c>
      <c r="D2642" t="s">
        <v>29</v>
      </c>
      <c r="E2642" t="s">
        <v>20</v>
      </c>
      <c r="F2642" s="4" t="s">
        <v>28</v>
      </c>
      <c r="G2642" s="4" t="s">
        <v>40</v>
      </c>
      <c r="H2642" s="4">
        <v>3</v>
      </c>
      <c r="I2642" s="4">
        <v>1</v>
      </c>
      <c r="J2642" s="1">
        <v>45665</v>
      </c>
      <c r="K2642" s="2">
        <v>1.5875E-2</v>
      </c>
      <c r="M2642" s="4" t="str">
        <f t="shared" si="123"/>
        <v>HIGH</v>
      </c>
      <c r="N2642" s="4" t="str" cm="1">
        <f t="array" ref="N2642">_xlfn.IFS(C2642&gt;35,"HIGH",C2642&gt;25,"MIDDLE",TRUE,"LOW")</f>
        <v>HIGH</v>
      </c>
      <c r="O2642" s="4" t="str">
        <f t="shared" si="124"/>
        <v>OTHERS</v>
      </c>
      <c r="P2642" s="4" t="str">
        <f t="shared" si="125"/>
        <v>PREMINUM MORNING</v>
      </c>
    </row>
    <row r="2643" spans="1:16" x14ac:dyDescent="0.3">
      <c r="A2643" s="4">
        <v>8</v>
      </c>
      <c r="B2643" t="s">
        <v>11</v>
      </c>
      <c r="C2643" s="4">
        <v>25.96</v>
      </c>
      <c r="D2643" t="s">
        <v>18</v>
      </c>
      <c r="E2643" t="s">
        <v>13</v>
      </c>
      <c r="F2643" s="4" t="s">
        <v>30</v>
      </c>
      <c r="G2643" s="4" t="s">
        <v>40</v>
      </c>
      <c r="H2643" s="4">
        <v>4</v>
      </c>
      <c r="I2643" s="4">
        <v>1</v>
      </c>
      <c r="J2643" s="1">
        <v>45666</v>
      </c>
      <c r="K2643" s="2">
        <v>4.9490740740740745E-3</v>
      </c>
      <c r="M2643" s="4" t="str">
        <f t="shared" si="123"/>
        <v>LOW</v>
      </c>
      <c r="N2643" s="4" t="str" cm="1">
        <f t="array" ref="N2643">_xlfn.IFS(C2643&gt;35,"HIGH",C2643&gt;25,"MIDDLE",TRUE,"LOW")</f>
        <v>MIDDLE</v>
      </c>
      <c r="O2643" s="4" t="str">
        <f t="shared" si="124"/>
        <v>OTHERS</v>
      </c>
      <c r="P2643" s="4" t="str">
        <f t="shared" si="125"/>
        <v>PREMINUM MORNING</v>
      </c>
    </row>
    <row r="2644" spans="1:16" x14ac:dyDescent="0.3">
      <c r="A2644" s="4">
        <v>8</v>
      </c>
      <c r="B2644" t="s">
        <v>11</v>
      </c>
      <c r="C2644" s="4">
        <v>35.76</v>
      </c>
      <c r="D2644" t="s">
        <v>12</v>
      </c>
      <c r="E2644" t="s">
        <v>13</v>
      </c>
      <c r="F2644" s="4" t="s">
        <v>30</v>
      </c>
      <c r="G2644" s="4" t="s">
        <v>40</v>
      </c>
      <c r="H2644" s="4">
        <v>4</v>
      </c>
      <c r="I2644" s="4">
        <v>1</v>
      </c>
      <c r="J2644" s="1">
        <v>45666</v>
      </c>
      <c r="K2644" s="2">
        <v>3.9290509259259254E-2</v>
      </c>
      <c r="M2644" s="4" t="str">
        <f t="shared" si="123"/>
        <v>HIGH</v>
      </c>
      <c r="N2644" s="4" t="str" cm="1">
        <f t="array" ref="N2644">_xlfn.IFS(C2644&gt;35,"HIGH",C2644&gt;25,"MIDDLE",TRUE,"LOW")</f>
        <v>HIGH</v>
      </c>
      <c r="O2644" s="4" t="str">
        <f t="shared" si="124"/>
        <v>PREMINUM MORNING</v>
      </c>
      <c r="P2644" s="4" t="str">
        <f t="shared" si="125"/>
        <v>PREMINUM MORNING</v>
      </c>
    </row>
    <row r="2645" spans="1:16" x14ac:dyDescent="0.3">
      <c r="A2645" s="4">
        <v>9</v>
      </c>
      <c r="B2645" t="s">
        <v>11</v>
      </c>
      <c r="C2645" s="4">
        <v>30.86</v>
      </c>
      <c r="D2645" t="s">
        <v>19</v>
      </c>
      <c r="E2645" t="s">
        <v>13</v>
      </c>
      <c r="F2645" s="4" t="s">
        <v>30</v>
      </c>
      <c r="G2645" s="4" t="s">
        <v>40</v>
      </c>
      <c r="H2645" s="4">
        <v>4</v>
      </c>
      <c r="I2645" s="4">
        <v>1</v>
      </c>
      <c r="J2645" s="1">
        <v>45666</v>
      </c>
      <c r="K2645" s="2">
        <v>1.7569444444444447E-3</v>
      </c>
      <c r="M2645" s="4" t="str">
        <f t="shared" si="123"/>
        <v>LOW</v>
      </c>
      <c r="N2645" s="4" t="str" cm="1">
        <f t="array" ref="N2645">_xlfn.IFS(C2645&gt;35,"HIGH",C2645&gt;25,"MIDDLE",TRUE,"LOW")</f>
        <v>MIDDLE</v>
      </c>
      <c r="O2645" s="4" t="str">
        <f t="shared" si="124"/>
        <v>OTHERS</v>
      </c>
      <c r="P2645" s="4" t="str">
        <f t="shared" si="125"/>
        <v>PREMINUM MORNING</v>
      </c>
    </row>
    <row r="2646" spans="1:16" x14ac:dyDescent="0.3">
      <c r="A2646" s="4">
        <v>14</v>
      </c>
      <c r="B2646" t="s">
        <v>11</v>
      </c>
      <c r="C2646" s="4">
        <v>21.06</v>
      </c>
      <c r="D2646" t="s">
        <v>26</v>
      </c>
      <c r="E2646" t="s">
        <v>17</v>
      </c>
      <c r="F2646" s="4" t="s">
        <v>30</v>
      </c>
      <c r="G2646" s="4" t="s">
        <v>40</v>
      </c>
      <c r="H2646" s="4">
        <v>4</v>
      </c>
      <c r="I2646" s="4">
        <v>1</v>
      </c>
      <c r="J2646" s="1">
        <v>45666</v>
      </c>
      <c r="K2646" s="2">
        <v>1.9024305555555555E-2</v>
      </c>
      <c r="M2646" s="4" t="str">
        <f t="shared" si="123"/>
        <v>LOW</v>
      </c>
      <c r="N2646" s="4" t="str" cm="1">
        <f t="array" ref="N2646">_xlfn.IFS(C2646&gt;35,"HIGH",C2646&gt;25,"MIDDLE",TRUE,"LOW")</f>
        <v>LOW</v>
      </c>
      <c r="O2646" s="4" t="str">
        <f t="shared" si="124"/>
        <v>OTHERS</v>
      </c>
      <c r="P2646" s="4" t="str">
        <f t="shared" si="125"/>
        <v>OTHERS</v>
      </c>
    </row>
    <row r="2647" spans="1:16" x14ac:dyDescent="0.3">
      <c r="A2647" s="4">
        <v>15</v>
      </c>
      <c r="B2647" t="s">
        <v>11</v>
      </c>
      <c r="C2647" s="4">
        <v>35.76</v>
      </c>
      <c r="D2647" t="s">
        <v>12</v>
      </c>
      <c r="E2647" t="s">
        <v>17</v>
      </c>
      <c r="F2647" s="4" t="s">
        <v>30</v>
      </c>
      <c r="G2647" s="4" t="s">
        <v>40</v>
      </c>
      <c r="H2647" s="4">
        <v>4</v>
      </c>
      <c r="I2647" s="4">
        <v>1</v>
      </c>
      <c r="J2647" s="1">
        <v>45666</v>
      </c>
      <c r="K2647" s="2">
        <v>2.5679398148148146E-2</v>
      </c>
      <c r="M2647" s="4" t="str">
        <f t="shared" si="123"/>
        <v>HIGH</v>
      </c>
      <c r="N2647" s="4" t="str" cm="1">
        <f t="array" ref="N2647">_xlfn.IFS(C2647&gt;35,"HIGH",C2647&gt;25,"MIDDLE",TRUE,"LOW")</f>
        <v>HIGH</v>
      </c>
      <c r="O2647" s="4" t="str">
        <f t="shared" si="124"/>
        <v>OTHERS</v>
      </c>
      <c r="P2647" s="4" t="str">
        <f t="shared" si="125"/>
        <v>PREMINUM MORNING</v>
      </c>
    </row>
    <row r="2648" spans="1:16" x14ac:dyDescent="0.3">
      <c r="A2648" s="4">
        <v>15</v>
      </c>
      <c r="B2648" t="s">
        <v>11</v>
      </c>
      <c r="C2648" s="4">
        <v>30.86</v>
      </c>
      <c r="D2648" t="s">
        <v>19</v>
      </c>
      <c r="E2648" t="s">
        <v>17</v>
      </c>
      <c r="F2648" s="4" t="s">
        <v>30</v>
      </c>
      <c r="G2648" s="4" t="s">
        <v>40</v>
      </c>
      <c r="H2648" s="4">
        <v>4</v>
      </c>
      <c r="I2648" s="4">
        <v>1</v>
      </c>
      <c r="J2648" s="1">
        <v>45666</v>
      </c>
      <c r="K2648" s="2">
        <v>3.3449074074074076E-2</v>
      </c>
      <c r="M2648" s="4" t="str">
        <f t="shared" si="123"/>
        <v>LOW</v>
      </c>
      <c r="N2648" s="4" t="str" cm="1">
        <f t="array" ref="N2648">_xlfn.IFS(C2648&gt;35,"HIGH",C2648&gt;25,"MIDDLE",TRUE,"LOW")</f>
        <v>MIDDLE</v>
      </c>
      <c r="O2648" s="4" t="str">
        <f t="shared" si="124"/>
        <v>OTHERS</v>
      </c>
      <c r="P2648" s="4" t="str">
        <f t="shared" si="125"/>
        <v>OTHERS</v>
      </c>
    </row>
    <row r="2649" spans="1:16" x14ac:dyDescent="0.3">
      <c r="A2649" s="4">
        <v>15</v>
      </c>
      <c r="B2649" t="s">
        <v>11</v>
      </c>
      <c r="C2649" s="4">
        <v>25.96</v>
      </c>
      <c r="D2649" t="s">
        <v>24</v>
      </c>
      <c r="E2649" t="s">
        <v>17</v>
      </c>
      <c r="F2649" s="4" t="s">
        <v>30</v>
      </c>
      <c r="G2649" s="4" t="s">
        <v>40</v>
      </c>
      <c r="H2649" s="4">
        <v>4</v>
      </c>
      <c r="I2649" s="4">
        <v>1</v>
      </c>
      <c r="J2649" s="1">
        <v>45666</v>
      </c>
      <c r="K2649" s="2">
        <v>3.4164351851851855E-2</v>
      </c>
      <c r="M2649" s="4" t="str">
        <f t="shared" si="123"/>
        <v>LOW</v>
      </c>
      <c r="N2649" s="4" t="str" cm="1">
        <f t="array" ref="N2649">_xlfn.IFS(C2649&gt;35,"HIGH",C2649&gt;25,"MIDDLE",TRUE,"LOW")</f>
        <v>MIDDLE</v>
      </c>
      <c r="O2649" s="4" t="str">
        <f t="shared" si="124"/>
        <v>OTHERS</v>
      </c>
      <c r="P2649" s="4" t="str">
        <f t="shared" si="125"/>
        <v>OTHERS</v>
      </c>
    </row>
    <row r="2650" spans="1:16" x14ac:dyDescent="0.3">
      <c r="A2650" s="4">
        <v>20</v>
      </c>
      <c r="B2650" t="s">
        <v>11</v>
      </c>
      <c r="C2650" s="4">
        <v>30.86</v>
      </c>
      <c r="D2650" t="s">
        <v>19</v>
      </c>
      <c r="E2650" t="s">
        <v>20</v>
      </c>
      <c r="F2650" s="4" t="s">
        <v>30</v>
      </c>
      <c r="G2650" s="4" t="s">
        <v>40</v>
      </c>
      <c r="H2650" s="4">
        <v>4</v>
      </c>
      <c r="I2650" s="4">
        <v>1</v>
      </c>
      <c r="J2650" s="1">
        <v>45666</v>
      </c>
      <c r="K2650" s="2">
        <v>2.1170138888888888E-2</v>
      </c>
      <c r="M2650" s="4" t="str">
        <f t="shared" si="123"/>
        <v>LOW</v>
      </c>
      <c r="N2650" s="4" t="str" cm="1">
        <f t="array" ref="N2650">_xlfn.IFS(C2650&gt;35,"HIGH",C2650&gt;25,"MIDDLE",TRUE,"LOW")</f>
        <v>MIDDLE</v>
      </c>
      <c r="O2650" s="4" t="str">
        <f t="shared" si="124"/>
        <v>OTHERS</v>
      </c>
      <c r="P2650" s="4" t="str">
        <f t="shared" si="125"/>
        <v>OTHERS</v>
      </c>
    </row>
    <row r="2651" spans="1:16" x14ac:dyDescent="0.3">
      <c r="A2651" s="4">
        <v>22</v>
      </c>
      <c r="B2651" t="s">
        <v>11</v>
      </c>
      <c r="C2651" s="4">
        <v>35.76</v>
      </c>
      <c r="D2651" t="s">
        <v>12</v>
      </c>
      <c r="E2651" t="s">
        <v>20</v>
      </c>
      <c r="F2651" s="4" t="s">
        <v>30</v>
      </c>
      <c r="G2651" s="4" t="s">
        <v>40</v>
      </c>
      <c r="H2651" s="4">
        <v>4</v>
      </c>
      <c r="I2651" s="4">
        <v>1</v>
      </c>
      <c r="J2651" s="1">
        <v>45666</v>
      </c>
      <c r="K2651" s="2">
        <v>7.1840277777777779E-3</v>
      </c>
      <c r="M2651" s="4" t="str">
        <f t="shared" si="123"/>
        <v>HIGH</v>
      </c>
      <c r="N2651" s="4" t="str" cm="1">
        <f t="array" ref="N2651">_xlfn.IFS(C2651&gt;35,"HIGH",C2651&gt;25,"MIDDLE",TRUE,"LOW")</f>
        <v>HIGH</v>
      </c>
      <c r="O2651" s="4" t="str">
        <f t="shared" si="124"/>
        <v>OTHERS</v>
      </c>
      <c r="P2651" s="4" t="str">
        <f t="shared" si="125"/>
        <v>PREMINUM MORNING</v>
      </c>
    </row>
    <row r="2652" spans="1:16" x14ac:dyDescent="0.3">
      <c r="A2652" s="4">
        <v>8</v>
      </c>
      <c r="B2652" t="s">
        <v>11</v>
      </c>
      <c r="C2652" s="4">
        <v>30.86</v>
      </c>
      <c r="D2652" t="s">
        <v>19</v>
      </c>
      <c r="E2652" t="s">
        <v>13</v>
      </c>
      <c r="F2652" s="4" t="s">
        <v>14</v>
      </c>
      <c r="G2652" s="4" t="s">
        <v>40</v>
      </c>
      <c r="H2652" s="4">
        <v>5</v>
      </c>
      <c r="I2652" s="4">
        <v>1</v>
      </c>
      <c r="J2652" s="1">
        <v>45667</v>
      </c>
      <c r="K2652" s="2">
        <v>3.4268518518518518E-2</v>
      </c>
      <c r="M2652" s="4" t="str">
        <f t="shared" si="123"/>
        <v>LOW</v>
      </c>
      <c r="N2652" s="4" t="str" cm="1">
        <f t="array" ref="N2652">_xlfn.IFS(C2652&gt;35,"HIGH",C2652&gt;25,"MIDDLE",TRUE,"LOW")</f>
        <v>MIDDLE</v>
      </c>
      <c r="O2652" s="4" t="str">
        <f t="shared" si="124"/>
        <v>OTHERS</v>
      </c>
      <c r="P2652" s="4" t="str">
        <f t="shared" si="125"/>
        <v>PREMINUM MORNING</v>
      </c>
    </row>
    <row r="2653" spans="1:16" x14ac:dyDescent="0.3">
      <c r="A2653" s="4">
        <v>9</v>
      </c>
      <c r="B2653" t="s">
        <v>11</v>
      </c>
      <c r="C2653" s="4">
        <v>30.86</v>
      </c>
      <c r="D2653" t="s">
        <v>19</v>
      </c>
      <c r="E2653" t="s">
        <v>13</v>
      </c>
      <c r="F2653" s="4" t="s">
        <v>14</v>
      </c>
      <c r="G2653" s="4" t="s">
        <v>40</v>
      </c>
      <c r="H2653" s="4">
        <v>5</v>
      </c>
      <c r="I2653" s="4">
        <v>1</v>
      </c>
      <c r="J2653" s="1">
        <v>45667</v>
      </c>
      <c r="K2653" s="2">
        <v>1.1533564814814814E-2</v>
      </c>
      <c r="M2653" s="4" t="str">
        <f t="shared" si="123"/>
        <v>LOW</v>
      </c>
      <c r="N2653" s="4" t="str" cm="1">
        <f t="array" ref="N2653">_xlfn.IFS(C2653&gt;35,"HIGH",C2653&gt;25,"MIDDLE",TRUE,"LOW")</f>
        <v>MIDDLE</v>
      </c>
      <c r="O2653" s="4" t="str">
        <f t="shared" si="124"/>
        <v>OTHERS</v>
      </c>
      <c r="P2653" s="4" t="str">
        <f t="shared" si="125"/>
        <v>PREMINUM MORNING</v>
      </c>
    </row>
    <row r="2654" spans="1:16" x14ac:dyDescent="0.3">
      <c r="A2654" s="4">
        <v>17</v>
      </c>
      <c r="B2654" t="s">
        <v>11</v>
      </c>
      <c r="C2654" s="4">
        <v>35.76</v>
      </c>
      <c r="D2654" t="s">
        <v>29</v>
      </c>
      <c r="E2654" t="s">
        <v>20</v>
      </c>
      <c r="F2654" s="4" t="s">
        <v>14</v>
      </c>
      <c r="G2654" s="4" t="s">
        <v>40</v>
      </c>
      <c r="H2654" s="4">
        <v>5</v>
      </c>
      <c r="I2654" s="4">
        <v>1</v>
      </c>
      <c r="J2654" s="1">
        <v>45667</v>
      </c>
      <c r="K2654" s="2">
        <v>3.5634259259259261E-2</v>
      </c>
      <c r="M2654" s="4" t="str">
        <f t="shared" si="123"/>
        <v>HIGH</v>
      </c>
      <c r="N2654" s="4" t="str" cm="1">
        <f t="array" ref="N2654">_xlfn.IFS(C2654&gt;35,"HIGH",C2654&gt;25,"MIDDLE",TRUE,"LOW")</f>
        <v>HIGH</v>
      </c>
      <c r="O2654" s="4" t="str">
        <f t="shared" si="124"/>
        <v>OTHERS</v>
      </c>
      <c r="P2654" s="4" t="str">
        <f t="shared" si="125"/>
        <v>PREMINUM MORNING</v>
      </c>
    </row>
    <row r="2655" spans="1:16" x14ac:dyDescent="0.3">
      <c r="A2655" s="4">
        <v>17</v>
      </c>
      <c r="B2655" t="s">
        <v>11</v>
      </c>
      <c r="C2655" s="4">
        <v>35.76</v>
      </c>
      <c r="D2655" t="s">
        <v>16</v>
      </c>
      <c r="E2655" t="s">
        <v>20</v>
      </c>
      <c r="F2655" s="4" t="s">
        <v>14</v>
      </c>
      <c r="G2655" s="4" t="s">
        <v>40</v>
      </c>
      <c r="H2655" s="4">
        <v>5</v>
      </c>
      <c r="I2655" s="4">
        <v>1</v>
      </c>
      <c r="J2655" s="1">
        <v>45667</v>
      </c>
      <c r="K2655" s="2">
        <v>3.88125E-2</v>
      </c>
      <c r="M2655" s="4" t="str">
        <f t="shared" si="123"/>
        <v>HIGH</v>
      </c>
      <c r="N2655" s="4" t="str" cm="1">
        <f t="array" ref="N2655">_xlfn.IFS(C2655&gt;35,"HIGH",C2655&gt;25,"MIDDLE",TRUE,"LOW")</f>
        <v>HIGH</v>
      </c>
      <c r="O2655" s="4" t="str">
        <f t="shared" si="124"/>
        <v>OTHERS</v>
      </c>
      <c r="P2655" s="4" t="str">
        <f t="shared" si="125"/>
        <v>PREMINUM MORNING</v>
      </c>
    </row>
    <row r="2656" spans="1:16" x14ac:dyDescent="0.3">
      <c r="A2656" s="4">
        <v>17</v>
      </c>
      <c r="B2656" t="s">
        <v>11</v>
      </c>
      <c r="C2656" s="4">
        <v>30.86</v>
      </c>
      <c r="D2656" t="s">
        <v>19</v>
      </c>
      <c r="E2656" t="s">
        <v>20</v>
      </c>
      <c r="F2656" s="4" t="s">
        <v>14</v>
      </c>
      <c r="G2656" s="4" t="s">
        <v>40</v>
      </c>
      <c r="H2656" s="4">
        <v>5</v>
      </c>
      <c r="I2656" s="4">
        <v>1</v>
      </c>
      <c r="J2656" s="1">
        <v>45667</v>
      </c>
      <c r="K2656" s="2">
        <v>4.1425925925925922E-2</v>
      </c>
      <c r="M2656" s="4" t="str">
        <f t="shared" si="123"/>
        <v>LOW</v>
      </c>
      <c r="N2656" s="4" t="str" cm="1">
        <f t="array" ref="N2656">_xlfn.IFS(C2656&gt;35,"HIGH",C2656&gt;25,"MIDDLE",TRUE,"LOW")</f>
        <v>MIDDLE</v>
      </c>
      <c r="O2656" s="4" t="str">
        <f t="shared" si="124"/>
        <v>OTHERS</v>
      </c>
      <c r="P2656" s="4" t="str">
        <f t="shared" si="125"/>
        <v>OTHERS</v>
      </c>
    </row>
    <row r="2657" spans="1:16" x14ac:dyDescent="0.3">
      <c r="A2657" s="4">
        <v>7</v>
      </c>
      <c r="B2657" t="s">
        <v>11</v>
      </c>
      <c r="C2657" s="4">
        <v>30.86</v>
      </c>
      <c r="D2657" t="s">
        <v>19</v>
      </c>
      <c r="E2657" t="s">
        <v>13</v>
      </c>
      <c r="F2657" s="4" t="s">
        <v>22</v>
      </c>
      <c r="G2657" s="4" t="s">
        <v>40</v>
      </c>
      <c r="H2657" s="4">
        <v>6</v>
      </c>
      <c r="I2657" s="4">
        <v>1</v>
      </c>
      <c r="J2657" s="1">
        <v>45668</v>
      </c>
      <c r="K2657" s="2">
        <v>3.0908564814814816E-2</v>
      </c>
      <c r="M2657" s="4" t="str">
        <f t="shared" si="123"/>
        <v>LOW</v>
      </c>
      <c r="N2657" s="4" t="str" cm="1">
        <f t="array" ref="N2657">_xlfn.IFS(C2657&gt;35,"HIGH",C2657&gt;25,"MIDDLE",TRUE,"LOW")</f>
        <v>MIDDLE</v>
      </c>
      <c r="O2657" s="4" t="str">
        <f t="shared" si="124"/>
        <v>OTHERS</v>
      </c>
      <c r="P2657" s="4" t="str">
        <f t="shared" si="125"/>
        <v>PREMINUM MORNING</v>
      </c>
    </row>
    <row r="2658" spans="1:16" x14ac:dyDescent="0.3">
      <c r="A2658" s="4">
        <v>10</v>
      </c>
      <c r="B2658" t="s">
        <v>11</v>
      </c>
      <c r="C2658" s="4">
        <v>35.76</v>
      </c>
      <c r="D2658" t="s">
        <v>16</v>
      </c>
      <c r="E2658" t="s">
        <v>13</v>
      </c>
      <c r="F2658" s="4" t="s">
        <v>22</v>
      </c>
      <c r="G2658" s="4" t="s">
        <v>40</v>
      </c>
      <c r="H2658" s="4">
        <v>6</v>
      </c>
      <c r="I2658" s="4">
        <v>1</v>
      </c>
      <c r="J2658" s="1">
        <v>45668</v>
      </c>
      <c r="K2658" s="2">
        <v>3.4505787037037036E-2</v>
      </c>
      <c r="M2658" s="4" t="str">
        <f t="shared" si="123"/>
        <v>HIGH</v>
      </c>
      <c r="N2658" s="4" t="str" cm="1">
        <f t="array" ref="N2658">_xlfn.IFS(C2658&gt;35,"HIGH",C2658&gt;25,"MIDDLE",TRUE,"LOW")</f>
        <v>HIGH</v>
      </c>
      <c r="O2658" s="4" t="str">
        <f t="shared" si="124"/>
        <v>PREMINUM MORNING</v>
      </c>
      <c r="P2658" s="4" t="str">
        <f t="shared" si="125"/>
        <v>PREMINUM MORNING</v>
      </c>
    </row>
    <row r="2659" spans="1:16" x14ac:dyDescent="0.3">
      <c r="A2659" s="4">
        <v>11</v>
      </c>
      <c r="B2659" t="s">
        <v>11</v>
      </c>
      <c r="C2659" s="4">
        <v>25.96</v>
      </c>
      <c r="D2659" t="s">
        <v>18</v>
      </c>
      <c r="E2659" t="s">
        <v>13</v>
      </c>
      <c r="F2659" s="4" t="s">
        <v>22</v>
      </c>
      <c r="G2659" s="4" t="s">
        <v>40</v>
      </c>
      <c r="H2659" s="4">
        <v>6</v>
      </c>
      <c r="I2659" s="4">
        <v>1</v>
      </c>
      <c r="J2659" s="1">
        <v>45668</v>
      </c>
      <c r="K2659" s="2">
        <v>9.6516203703703694E-3</v>
      </c>
      <c r="M2659" s="4" t="str">
        <f t="shared" si="123"/>
        <v>LOW</v>
      </c>
      <c r="N2659" s="4" t="str" cm="1">
        <f t="array" ref="N2659">_xlfn.IFS(C2659&gt;35,"HIGH",C2659&gt;25,"MIDDLE",TRUE,"LOW")</f>
        <v>MIDDLE</v>
      </c>
      <c r="O2659" s="4" t="str">
        <f t="shared" si="124"/>
        <v>OTHERS</v>
      </c>
      <c r="P2659" s="4" t="str">
        <f t="shared" si="125"/>
        <v>PREMINUM MORNING</v>
      </c>
    </row>
    <row r="2660" spans="1:16" x14ac:dyDescent="0.3">
      <c r="A2660" s="4">
        <v>11</v>
      </c>
      <c r="B2660" t="s">
        <v>11</v>
      </c>
      <c r="C2660" s="4">
        <v>35.76</v>
      </c>
      <c r="D2660" t="s">
        <v>12</v>
      </c>
      <c r="E2660" t="s">
        <v>13</v>
      </c>
      <c r="F2660" s="4" t="s">
        <v>22</v>
      </c>
      <c r="G2660" s="4" t="s">
        <v>40</v>
      </c>
      <c r="H2660" s="4">
        <v>6</v>
      </c>
      <c r="I2660" s="4">
        <v>1</v>
      </c>
      <c r="J2660" s="1">
        <v>45668</v>
      </c>
      <c r="K2660" s="2">
        <v>1.4092592592592592E-2</v>
      </c>
      <c r="M2660" s="4" t="str">
        <f t="shared" si="123"/>
        <v>HIGH</v>
      </c>
      <c r="N2660" s="4" t="str" cm="1">
        <f t="array" ref="N2660">_xlfn.IFS(C2660&gt;35,"HIGH",C2660&gt;25,"MIDDLE",TRUE,"LOW")</f>
        <v>HIGH</v>
      </c>
      <c r="O2660" s="4" t="str">
        <f t="shared" si="124"/>
        <v>PREMINUM MORNING</v>
      </c>
      <c r="P2660" s="4" t="str">
        <f t="shared" si="125"/>
        <v>PREMINUM MORNING</v>
      </c>
    </row>
    <row r="2661" spans="1:16" x14ac:dyDescent="0.3">
      <c r="A2661" s="4">
        <v>11</v>
      </c>
      <c r="B2661" t="s">
        <v>11</v>
      </c>
      <c r="C2661" s="4">
        <v>35.76</v>
      </c>
      <c r="D2661" t="s">
        <v>12</v>
      </c>
      <c r="E2661" t="s">
        <v>13</v>
      </c>
      <c r="F2661" s="4" t="s">
        <v>22</v>
      </c>
      <c r="G2661" s="4" t="s">
        <v>40</v>
      </c>
      <c r="H2661" s="4">
        <v>6</v>
      </c>
      <c r="I2661" s="4">
        <v>1</v>
      </c>
      <c r="J2661" s="1">
        <v>45668</v>
      </c>
      <c r="K2661" s="2">
        <v>1.4879629629629628E-2</v>
      </c>
      <c r="M2661" s="4" t="str">
        <f t="shared" si="123"/>
        <v>HIGH</v>
      </c>
      <c r="N2661" s="4" t="str" cm="1">
        <f t="array" ref="N2661">_xlfn.IFS(C2661&gt;35,"HIGH",C2661&gt;25,"MIDDLE",TRUE,"LOW")</f>
        <v>HIGH</v>
      </c>
      <c r="O2661" s="4" t="str">
        <f t="shared" si="124"/>
        <v>PREMINUM MORNING</v>
      </c>
      <c r="P2661" s="4" t="str">
        <f t="shared" si="125"/>
        <v>PREMINUM MORNING</v>
      </c>
    </row>
    <row r="2662" spans="1:16" x14ac:dyDescent="0.3">
      <c r="A2662" s="4">
        <v>12</v>
      </c>
      <c r="B2662" t="s">
        <v>11</v>
      </c>
      <c r="C2662" s="4">
        <v>35.76</v>
      </c>
      <c r="D2662" t="s">
        <v>12</v>
      </c>
      <c r="E2662" t="s">
        <v>17</v>
      </c>
      <c r="F2662" s="4" t="s">
        <v>22</v>
      </c>
      <c r="G2662" s="4" t="s">
        <v>40</v>
      </c>
      <c r="H2662" s="4">
        <v>6</v>
      </c>
      <c r="I2662" s="4">
        <v>1</v>
      </c>
      <c r="J2662" s="1">
        <v>45668</v>
      </c>
      <c r="K2662" s="2">
        <v>7.6238425925925935E-3</v>
      </c>
      <c r="M2662" s="4" t="str">
        <f t="shared" si="123"/>
        <v>HIGH</v>
      </c>
      <c r="N2662" s="4" t="str" cm="1">
        <f t="array" ref="N2662">_xlfn.IFS(C2662&gt;35,"HIGH",C2662&gt;25,"MIDDLE",TRUE,"LOW")</f>
        <v>HIGH</v>
      </c>
      <c r="O2662" s="4" t="str">
        <f t="shared" si="124"/>
        <v>OTHERS</v>
      </c>
      <c r="P2662" s="4" t="str">
        <f t="shared" si="125"/>
        <v>PREMINUM MORNING</v>
      </c>
    </row>
    <row r="2663" spans="1:16" x14ac:dyDescent="0.3">
      <c r="A2663" s="4">
        <v>12</v>
      </c>
      <c r="B2663" t="s">
        <v>11</v>
      </c>
      <c r="C2663" s="4">
        <v>35.76</v>
      </c>
      <c r="D2663" t="s">
        <v>12</v>
      </c>
      <c r="E2663" t="s">
        <v>17</v>
      </c>
      <c r="F2663" s="4" t="s">
        <v>22</v>
      </c>
      <c r="G2663" s="4" t="s">
        <v>40</v>
      </c>
      <c r="H2663" s="4">
        <v>6</v>
      </c>
      <c r="I2663" s="4">
        <v>1</v>
      </c>
      <c r="J2663" s="1">
        <v>45668</v>
      </c>
      <c r="K2663" s="2">
        <v>9.314814814814814E-3</v>
      </c>
      <c r="M2663" s="4" t="str">
        <f t="shared" si="123"/>
        <v>HIGH</v>
      </c>
      <c r="N2663" s="4" t="str" cm="1">
        <f t="array" ref="N2663">_xlfn.IFS(C2663&gt;35,"HIGH",C2663&gt;25,"MIDDLE",TRUE,"LOW")</f>
        <v>HIGH</v>
      </c>
      <c r="O2663" s="4" t="str">
        <f t="shared" si="124"/>
        <v>OTHERS</v>
      </c>
      <c r="P2663" s="4" t="str">
        <f t="shared" si="125"/>
        <v>PREMINUM MORNING</v>
      </c>
    </row>
    <row r="2664" spans="1:16" x14ac:dyDescent="0.3">
      <c r="A2664" s="4">
        <v>14</v>
      </c>
      <c r="B2664" t="s">
        <v>11</v>
      </c>
      <c r="C2664" s="4">
        <v>30.86</v>
      </c>
      <c r="D2664" t="s">
        <v>19</v>
      </c>
      <c r="E2664" t="s">
        <v>17</v>
      </c>
      <c r="F2664" s="4" t="s">
        <v>22</v>
      </c>
      <c r="G2664" s="4" t="s">
        <v>40</v>
      </c>
      <c r="H2664" s="4">
        <v>6</v>
      </c>
      <c r="I2664" s="4">
        <v>1</v>
      </c>
      <c r="J2664" s="1">
        <v>45668</v>
      </c>
      <c r="K2664" s="2">
        <v>8.9675925925925912E-3</v>
      </c>
      <c r="M2664" s="4" t="str">
        <f t="shared" si="123"/>
        <v>LOW</v>
      </c>
      <c r="N2664" s="4" t="str" cm="1">
        <f t="array" ref="N2664">_xlfn.IFS(C2664&gt;35,"HIGH",C2664&gt;25,"MIDDLE",TRUE,"LOW")</f>
        <v>MIDDLE</v>
      </c>
      <c r="O2664" s="4" t="str">
        <f t="shared" si="124"/>
        <v>OTHERS</v>
      </c>
      <c r="P2664" s="4" t="str">
        <f t="shared" si="125"/>
        <v>OTHERS</v>
      </c>
    </row>
    <row r="2665" spans="1:16" x14ac:dyDescent="0.3">
      <c r="A2665" s="4">
        <v>14</v>
      </c>
      <c r="B2665" t="s">
        <v>11</v>
      </c>
      <c r="C2665" s="4">
        <v>30.86</v>
      </c>
      <c r="D2665" t="s">
        <v>19</v>
      </c>
      <c r="E2665" t="s">
        <v>17</v>
      </c>
      <c r="F2665" s="4" t="s">
        <v>22</v>
      </c>
      <c r="G2665" s="4" t="s">
        <v>40</v>
      </c>
      <c r="H2665" s="4">
        <v>6</v>
      </c>
      <c r="I2665" s="4">
        <v>1</v>
      </c>
      <c r="J2665" s="1">
        <v>45668</v>
      </c>
      <c r="K2665" s="2">
        <v>1.0857638888888889E-2</v>
      </c>
      <c r="M2665" s="4" t="str">
        <f t="shared" si="123"/>
        <v>LOW</v>
      </c>
      <c r="N2665" s="4" t="str" cm="1">
        <f t="array" ref="N2665">_xlfn.IFS(C2665&gt;35,"HIGH",C2665&gt;25,"MIDDLE",TRUE,"LOW")</f>
        <v>MIDDLE</v>
      </c>
      <c r="O2665" s="4" t="str">
        <f t="shared" si="124"/>
        <v>OTHERS</v>
      </c>
      <c r="P2665" s="4" t="str">
        <f t="shared" si="125"/>
        <v>OTHERS</v>
      </c>
    </row>
    <row r="2666" spans="1:16" x14ac:dyDescent="0.3">
      <c r="A2666" s="4">
        <v>14</v>
      </c>
      <c r="B2666" t="s">
        <v>11</v>
      </c>
      <c r="C2666" s="4">
        <v>35.76</v>
      </c>
      <c r="D2666" t="s">
        <v>29</v>
      </c>
      <c r="E2666" t="s">
        <v>17</v>
      </c>
      <c r="F2666" s="4" t="s">
        <v>22</v>
      </c>
      <c r="G2666" s="4" t="s">
        <v>40</v>
      </c>
      <c r="H2666" s="4">
        <v>6</v>
      </c>
      <c r="I2666" s="4">
        <v>1</v>
      </c>
      <c r="J2666" s="1">
        <v>45668</v>
      </c>
      <c r="K2666" s="2">
        <v>1.1619212962962963E-2</v>
      </c>
      <c r="M2666" s="4" t="str">
        <f t="shared" si="123"/>
        <v>HIGH</v>
      </c>
      <c r="N2666" s="4" t="str" cm="1">
        <f t="array" ref="N2666">_xlfn.IFS(C2666&gt;35,"HIGH",C2666&gt;25,"MIDDLE",TRUE,"LOW")</f>
        <v>HIGH</v>
      </c>
      <c r="O2666" s="4" t="str">
        <f t="shared" si="124"/>
        <v>OTHERS</v>
      </c>
      <c r="P2666" s="4" t="str">
        <f t="shared" si="125"/>
        <v>PREMINUM MORNING</v>
      </c>
    </row>
    <row r="2667" spans="1:16" x14ac:dyDescent="0.3">
      <c r="A2667" s="4">
        <v>14</v>
      </c>
      <c r="B2667" t="s">
        <v>11</v>
      </c>
      <c r="C2667" s="4">
        <v>35.76</v>
      </c>
      <c r="D2667" t="s">
        <v>12</v>
      </c>
      <c r="E2667" t="s">
        <v>17</v>
      </c>
      <c r="F2667" s="4" t="s">
        <v>22</v>
      </c>
      <c r="G2667" s="4" t="s">
        <v>40</v>
      </c>
      <c r="H2667" s="4">
        <v>6</v>
      </c>
      <c r="I2667" s="4">
        <v>1</v>
      </c>
      <c r="J2667" s="1">
        <v>45668</v>
      </c>
      <c r="K2667" s="2">
        <v>3.2673611111111112E-2</v>
      </c>
      <c r="M2667" s="4" t="str">
        <f t="shared" si="123"/>
        <v>HIGH</v>
      </c>
      <c r="N2667" s="4" t="str" cm="1">
        <f t="array" ref="N2667">_xlfn.IFS(C2667&gt;35,"HIGH",C2667&gt;25,"MIDDLE",TRUE,"LOW")</f>
        <v>HIGH</v>
      </c>
      <c r="O2667" s="4" t="str">
        <f t="shared" si="124"/>
        <v>OTHERS</v>
      </c>
      <c r="P2667" s="4" t="str">
        <f t="shared" si="125"/>
        <v>PREMINUM MORNING</v>
      </c>
    </row>
    <row r="2668" spans="1:16" x14ac:dyDescent="0.3">
      <c r="A2668" s="4">
        <v>17</v>
      </c>
      <c r="B2668" t="s">
        <v>11</v>
      </c>
      <c r="C2668" s="4">
        <v>25.96</v>
      </c>
      <c r="D2668" t="s">
        <v>24</v>
      </c>
      <c r="E2668" t="s">
        <v>20</v>
      </c>
      <c r="F2668" s="4" t="s">
        <v>22</v>
      </c>
      <c r="G2668" s="4" t="s">
        <v>40</v>
      </c>
      <c r="H2668" s="4">
        <v>6</v>
      </c>
      <c r="I2668" s="4">
        <v>1</v>
      </c>
      <c r="J2668" s="1">
        <v>45668</v>
      </c>
      <c r="K2668" s="2">
        <v>1.3587962962962963E-2</v>
      </c>
      <c r="M2668" s="4" t="str">
        <f t="shared" si="123"/>
        <v>LOW</v>
      </c>
      <c r="N2668" s="4" t="str" cm="1">
        <f t="array" ref="N2668">_xlfn.IFS(C2668&gt;35,"HIGH",C2668&gt;25,"MIDDLE",TRUE,"LOW")</f>
        <v>MIDDLE</v>
      </c>
      <c r="O2668" s="4" t="str">
        <f t="shared" si="124"/>
        <v>OTHERS</v>
      </c>
      <c r="P2668" s="4" t="str">
        <f t="shared" si="125"/>
        <v>OTHERS</v>
      </c>
    </row>
    <row r="2669" spans="1:16" x14ac:dyDescent="0.3">
      <c r="A2669" s="4">
        <v>17</v>
      </c>
      <c r="B2669" t="s">
        <v>11</v>
      </c>
      <c r="C2669" s="4">
        <v>35.76</v>
      </c>
      <c r="D2669" t="s">
        <v>12</v>
      </c>
      <c r="E2669" t="s">
        <v>20</v>
      </c>
      <c r="F2669" s="4" t="s">
        <v>22</v>
      </c>
      <c r="G2669" s="4" t="s">
        <v>40</v>
      </c>
      <c r="H2669" s="4">
        <v>6</v>
      </c>
      <c r="I2669" s="4">
        <v>1</v>
      </c>
      <c r="J2669" s="1">
        <v>45668</v>
      </c>
      <c r="K2669" s="2">
        <v>1.4546296296296295E-2</v>
      </c>
      <c r="M2669" s="4" t="str">
        <f t="shared" si="123"/>
        <v>HIGH</v>
      </c>
      <c r="N2669" s="4" t="str" cm="1">
        <f t="array" ref="N2669">_xlfn.IFS(C2669&gt;35,"HIGH",C2669&gt;25,"MIDDLE",TRUE,"LOW")</f>
        <v>HIGH</v>
      </c>
      <c r="O2669" s="4" t="str">
        <f t="shared" si="124"/>
        <v>OTHERS</v>
      </c>
      <c r="P2669" s="4" t="str">
        <f t="shared" si="125"/>
        <v>PREMINUM MORNING</v>
      </c>
    </row>
    <row r="2670" spans="1:16" x14ac:dyDescent="0.3">
      <c r="A2670" s="4">
        <v>17</v>
      </c>
      <c r="B2670" t="s">
        <v>11</v>
      </c>
      <c r="C2670" s="4">
        <v>25.96</v>
      </c>
      <c r="D2670" t="s">
        <v>24</v>
      </c>
      <c r="E2670" t="s">
        <v>20</v>
      </c>
      <c r="F2670" s="4" t="s">
        <v>22</v>
      </c>
      <c r="G2670" s="4" t="s">
        <v>40</v>
      </c>
      <c r="H2670" s="4">
        <v>6</v>
      </c>
      <c r="I2670" s="4">
        <v>1</v>
      </c>
      <c r="J2670" s="1">
        <v>45668</v>
      </c>
      <c r="K2670" s="2">
        <v>1.5336805555555555E-2</v>
      </c>
      <c r="M2670" s="4" t="str">
        <f t="shared" si="123"/>
        <v>LOW</v>
      </c>
      <c r="N2670" s="4" t="str" cm="1">
        <f t="array" ref="N2670">_xlfn.IFS(C2670&gt;35,"HIGH",C2670&gt;25,"MIDDLE",TRUE,"LOW")</f>
        <v>MIDDLE</v>
      </c>
      <c r="O2670" s="4" t="str">
        <f t="shared" si="124"/>
        <v>OTHERS</v>
      </c>
      <c r="P2670" s="4" t="str">
        <f t="shared" si="125"/>
        <v>OTHERS</v>
      </c>
    </row>
    <row r="2671" spans="1:16" x14ac:dyDescent="0.3">
      <c r="A2671" s="4">
        <v>18</v>
      </c>
      <c r="B2671" t="s">
        <v>11</v>
      </c>
      <c r="C2671" s="4">
        <v>30.86</v>
      </c>
      <c r="D2671" t="s">
        <v>19</v>
      </c>
      <c r="E2671" t="s">
        <v>20</v>
      </c>
      <c r="F2671" s="4" t="s">
        <v>22</v>
      </c>
      <c r="G2671" s="4" t="s">
        <v>40</v>
      </c>
      <c r="H2671" s="4">
        <v>6</v>
      </c>
      <c r="I2671" s="4">
        <v>1</v>
      </c>
      <c r="J2671" s="1">
        <v>45668</v>
      </c>
      <c r="K2671" s="2">
        <v>1.0243055555555556E-3</v>
      </c>
      <c r="M2671" s="4" t="str">
        <f t="shared" si="123"/>
        <v>LOW</v>
      </c>
      <c r="N2671" s="4" t="str" cm="1">
        <f t="array" ref="N2671">_xlfn.IFS(C2671&gt;35,"HIGH",C2671&gt;25,"MIDDLE",TRUE,"LOW")</f>
        <v>MIDDLE</v>
      </c>
      <c r="O2671" s="4" t="str">
        <f t="shared" si="124"/>
        <v>OTHERS</v>
      </c>
      <c r="P2671" s="4" t="str">
        <f t="shared" si="125"/>
        <v>OTHERS</v>
      </c>
    </row>
    <row r="2672" spans="1:16" x14ac:dyDescent="0.3">
      <c r="A2672" s="4">
        <v>11</v>
      </c>
      <c r="B2672" t="s">
        <v>11</v>
      </c>
      <c r="C2672" s="4">
        <v>30.86</v>
      </c>
      <c r="D2672" t="s">
        <v>19</v>
      </c>
      <c r="E2672" t="s">
        <v>13</v>
      </c>
      <c r="F2672" s="4" t="s">
        <v>23</v>
      </c>
      <c r="G2672" s="4" t="s">
        <v>40</v>
      </c>
      <c r="H2672" s="4">
        <v>7</v>
      </c>
      <c r="I2672" s="4">
        <v>1</v>
      </c>
      <c r="J2672" s="1">
        <v>45669</v>
      </c>
      <c r="K2672" s="2">
        <v>3.1625E-2</v>
      </c>
      <c r="M2672" s="4" t="str">
        <f t="shared" si="123"/>
        <v>LOW</v>
      </c>
      <c r="N2672" s="4" t="str" cm="1">
        <f t="array" ref="N2672">_xlfn.IFS(C2672&gt;35,"HIGH",C2672&gt;25,"MIDDLE",TRUE,"LOW")</f>
        <v>MIDDLE</v>
      </c>
      <c r="O2672" s="4" t="str">
        <f t="shared" si="124"/>
        <v>OTHERS</v>
      </c>
      <c r="P2672" s="4" t="str">
        <f t="shared" si="125"/>
        <v>PREMINUM MORNING</v>
      </c>
    </row>
    <row r="2673" spans="1:16" x14ac:dyDescent="0.3">
      <c r="A2673" s="4">
        <v>11</v>
      </c>
      <c r="B2673" t="s">
        <v>11</v>
      </c>
      <c r="C2673" s="4">
        <v>25.96</v>
      </c>
      <c r="D2673" t="s">
        <v>18</v>
      </c>
      <c r="E2673" t="s">
        <v>13</v>
      </c>
      <c r="F2673" s="4" t="s">
        <v>23</v>
      </c>
      <c r="G2673" s="4" t="s">
        <v>40</v>
      </c>
      <c r="H2673" s="4">
        <v>7</v>
      </c>
      <c r="I2673" s="4">
        <v>1</v>
      </c>
      <c r="J2673" s="1">
        <v>45669</v>
      </c>
      <c r="K2673" s="2">
        <v>3.3549768518518513E-2</v>
      </c>
      <c r="M2673" s="4" t="str">
        <f t="shared" si="123"/>
        <v>LOW</v>
      </c>
      <c r="N2673" s="4" t="str" cm="1">
        <f t="array" ref="N2673">_xlfn.IFS(C2673&gt;35,"HIGH",C2673&gt;25,"MIDDLE",TRUE,"LOW")</f>
        <v>MIDDLE</v>
      </c>
      <c r="O2673" s="4" t="str">
        <f t="shared" si="124"/>
        <v>OTHERS</v>
      </c>
      <c r="P2673" s="4" t="str">
        <f t="shared" si="125"/>
        <v>PREMINUM MORNING</v>
      </c>
    </row>
    <row r="2674" spans="1:16" x14ac:dyDescent="0.3">
      <c r="A2674" s="4">
        <v>11</v>
      </c>
      <c r="B2674" t="s">
        <v>11</v>
      </c>
      <c r="C2674" s="4">
        <v>30.86</v>
      </c>
      <c r="D2674" t="s">
        <v>19</v>
      </c>
      <c r="E2674" t="s">
        <v>13</v>
      </c>
      <c r="F2674" s="4" t="s">
        <v>23</v>
      </c>
      <c r="G2674" s="4" t="s">
        <v>40</v>
      </c>
      <c r="H2674" s="4">
        <v>7</v>
      </c>
      <c r="I2674" s="4">
        <v>1</v>
      </c>
      <c r="J2674" s="1">
        <v>45669</v>
      </c>
      <c r="K2674" s="2">
        <v>3.4609953703703705E-2</v>
      </c>
      <c r="M2674" s="4" t="str">
        <f t="shared" si="123"/>
        <v>LOW</v>
      </c>
      <c r="N2674" s="4" t="str" cm="1">
        <f t="array" ref="N2674">_xlfn.IFS(C2674&gt;35,"HIGH",C2674&gt;25,"MIDDLE",TRUE,"LOW")</f>
        <v>MIDDLE</v>
      </c>
      <c r="O2674" s="4" t="str">
        <f t="shared" si="124"/>
        <v>OTHERS</v>
      </c>
      <c r="P2674" s="4" t="str">
        <f t="shared" si="125"/>
        <v>PREMINUM MORNING</v>
      </c>
    </row>
    <row r="2675" spans="1:16" x14ac:dyDescent="0.3">
      <c r="A2675" s="4">
        <v>16</v>
      </c>
      <c r="B2675" t="s">
        <v>11</v>
      </c>
      <c r="C2675" s="4">
        <v>35.76</v>
      </c>
      <c r="D2675" t="s">
        <v>16</v>
      </c>
      <c r="E2675" t="s">
        <v>17</v>
      </c>
      <c r="F2675" s="4" t="s">
        <v>23</v>
      </c>
      <c r="G2675" s="4" t="s">
        <v>40</v>
      </c>
      <c r="H2675" s="4">
        <v>7</v>
      </c>
      <c r="I2675" s="4">
        <v>1</v>
      </c>
      <c r="J2675" s="1">
        <v>45669</v>
      </c>
      <c r="K2675" s="2">
        <v>1.1097222222222222E-2</v>
      </c>
      <c r="M2675" s="4" t="str">
        <f t="shared" si="123"/>
        <v>HIGH</v>
      </c>
      <c r="N2675" s="4" t="str" cm="1">
        <f t="array" ref="N2675">_xlfn.IFS(C2675&gt;35,"HIGH",C2675&gt;25,"MIDDLE",TRUE,"LOW")</f>
        <v>HIGH</v>
      </c>
      <c r="O2675" s="4" t="str">
        <f t="shared" si="124"/>
        <v>OTHERS</v>
      </c>
      <c r="P2675" s="4" t="str">
        <f t="shared" si="125"/>
        <v>PREMINUM MORNING</v>
      </c>
    </row>
    <row r="2676" spans="1:16" x14ac:dyDescent="0.3">
      <c r="A2676" s="4">
        <v>20</v>
      </c>
      <c r="B2676" t="s">
        <v>11</v>
      </c>
      <c r="C2676" s="4">
        <v>30.86</v>
      </c>
      <c r="D2676" t="s">
        <v>19</v>
      </c>
      <c r="E2676" t="s">
        <v>20</v>
      </c>
      <c r="F2676" s="4" t="s">
        <v>23</v>
      </c>
      <c r="G2676" s="4" t="s">
        <v>40</v>
      </c>
      <c r="H2676" s="4">
        <v>7</v>
      </c>
      <c r="I2676" s="4">
        <v>1</v>
      </c>
      <c r="J2676" s="1">
        <v>45669</v>
      </c>
      <c r="K2676" s="2">
        <v>3.8938657407407408E-2</v>
      </c>
      <c r="M2676" s="4" t="str">
        <f t="shared" si="123"/>
        <v>LOW</v>
      </c>
      <c r="N2676" s="4" t="str" cm="1">
        <f t="array" ref="N2676">_xlfn.IFS(C2676&gt;35,"HIGH",C2676&gt;25,"MIDDLE",TRUE,"LOW")</f>
        <v>MIDDLE</v>
      </c>
      <c r="O2676" s="4" t="str">
        <f t="shared" si="124"/>
        <v>OTHERS</v>
      </c>
      <c r="P2676" s="4" t="str">
        <f t="shared" si="125"/>
        <v>OTHERS</v>
      </c>
    </row>
    <row r="2677" spans="1:16" x14ac:dyDescent="0.3">
      <c r="A2677" s="4">
        <v>8</v>
      </c>
      <c r="B2677" t="s">
        <v>11</v>
      </c>
      <c r="C2677" s="4">
        <v>30.86</v>
      </c>
      <c r="D2677" t="s">
        <v>19</v>
      </c>
      <c r="E2677" t="s">
        <v>13</v>
      </c>
      <c r="F2677" s="4" t="s">
        <v>25</v>
      </c>
      <c r="G2677" s="4" t="s">
        <v>40</v>
      </c>
      <c r="H2677" s="4">
        <v>1</v>
      </c>
      <c r="I2677" s="4">
        <v>1</v>
      </c>
      <c r="J2677" s="1">
        <v>45670</v>
      </c>
      <c r="K2677" s="2">
        <v>5.7905092592592591E-3</v>
      </c>
      <c r="M2677" s="4" t="str">
        <f t="shared" si="123"/>
        <v>LOW</v>
      </c>
      <c r="N2677" s="4" t="str" cm="1">
        <f t="array" ref="N2677">_xlfn.IFS(C2677&gt;35,"HIGH",C2677&gt;25,"MIDDLE",TRUE,"LOW")</f>
        <v>MIDDLE</v>
      </c>
      <c r="O2677" s="4" t="str">
        <f t="shared" si="124"/>
        <v>OTHERS</v>
      </c>
      <c r="P2677" s="4" t="str">
        <f t="shared" si="125"/>
        <v>PREMINUM MORNING</v>
      </c>
    </row>
    <row r="2678" spans="1:16" x14ac:dyDescent="0.3">
      <c r="A2678" s="4">
        <v>9</v>
      </c>
      <c r="B2678" t="s">
        <v>11</v>
      </c>
      <c r="C2678" s="4">
        <v>30.86</v>
      </c>
      <c r="D2678" t="s">
        <v>19</v>
      </c>
      <c r="E2678" t="s">
        <v>13</v>
      </c>
      <c r="F2678" s="4" t="s">
        <v>25</v>
      </c>
      <c r="G2678" s="4" t="s">
        <v>40</v>
      </c>
      <c r="H2678" s="4">
        <v>1</v>
      </c>
      <c r="I2678" s="4">
        <v>1</v>
      </c>
      <c r="J2678" s="1">
        <v>45670</v>
      </c>
      <c r="K2678" s="2">
        <v>1.2032407407407407E-2</v>
      </c>
      <c r="M2678" s="4" t="str">
        <f t="shared" si="123"/>
        <v>LOW</v>
      </c>
      <c r="N2678" s="4" t="str" cm="1">
        <f t="array" ref="N2678">_xlfn.IFS(C2678&gt;35,"HIGH",C2678&gt;25,"MIDDLE",TRUE,"LOW")</f>
        <v>MIDDLE</v>
      </c>
      <c r="O2678" s="4" t="str">
        <f t="shared" si="124"/>
        <v>OTHERS</v>
      </c>
      <c r="P2678" s="4" t="str">
        <f t="shared" si="125"/>
        <v>PREMINUM MORNING</v>
      </c>
    </row>
    <row r="2679" spans="1:16" x14ac:dyDescent="0.3">
      <c r="A2679" s="4">
        <v>13</v>
      </c>
      <c r="B2679" t="s">
        <v>11</v>
      </c>
      <c r="C2679" s="4">
        <v>25.96</v>
      </c>
      <c r="D2679" t="s">
        <v>24</v>
      </c>
      <c r="E2679" t="s">
        <v>17</v>
      </c>
      <c r="F2679" s="4" t="s">
        <v>25</v>
      </c>
      <c r="G2679" s="4" t="s">
        <v>40</v>
      </c>
      <c r="H2679" s="4">
        <v>1</v>
      </c>
      <c r="I2679" s="4">
        <v>1</v>
      </c>
      <c r="J2679" s="1">
        <v>45670</v>
      </c>
      <c r="K2679" s="2">
        <v>2.0439814814814813E-3</v>
      </c>
      <c r="M2679" s="4" t="str">
        <f t="shared" si="123"/>
        <v>LOW</v>
      </c>
      <c r="N2679" s="4" t="str" cm="1">
        <f t="array" ref="N2679">_xlfn.IFS(C2679&gt;35,"HIGH",C2679&gt;25,"MIDDLE",TRUE,"LOW")</f>
        <v>MIDDLE</v>
      </c>
      <c r="O2679" s="4" t="str">
        <f t="shared" si="124"/>
        <v>OTHERS</v>
      </c>
      <c r="P2679" s="4" t="str">
        <f t="shared" si="125"/>
        <v>OTHERS</v>
      </c>
    </row>
    <row r="2680" spans="1:16" x14ac:dyDescent="0.3">
      <c r="A2680" s="4">
        <v>13</v>
      </c>
      <c r="B2680" t="s">
        <v>11</v>
      </c>
      <c r="C2680" s="4">
        <v>35.76</v>
      </c>
      <c r="D2680" t="s">
        <v>12</v>
      </c>
      <c r="E2680" t="s">
        <v>17</v>
      </c>
      <c r="F2680" s="4" t="s">
        <v>25</v>
      </c>
      <c r="G2680" s="4" t="s">
        <v>40</v>
      </c>
      <c r="H2680" s="4">
        <v>1</v>
      </c>
      <c r="I2680" s="4">
        <v>1</v>
      </c>
      <c r="J2680" s="1">
        <v>45670</v>
      </c>
      <c r="K2680" s="2">
        <v>3.526157407407407E-2</v>
      </c>
      <c r="M2680" s="4" t="str">
        <f t="shared" si="123"/>
        <v>HIGH</v>
      </c>
      <c r="N2680" s="4" t="str" cm="1">
        <f t="array" ref="N2680">_xlfn.IFS(C2680&gt;35,"HIGH",C2680&gt;25,"MIDDLE",TRUE,"LOW")</f>
        <v>HIGH</v>
      </c>
      <c r="O2680" s="4" t="str">
        <f t="shared" si="124"/>
        <v>OTHERS</v>
      </c>
      <c r="P2680" s="4" t="str">
        <f t="shared" si="125"/>
        <v>PREMINUM MORNING</v>
      </c>
    </row>
    <row r="2681" spans="1:16" x14ac:dyDescent="0.3">
      <c r="A2681" s="4">
        <v>14</v>
      </c>
      <c r="B2681" t="s">
        <v>11</v>
      </c>
      <c r="C2681" s="4">
        <v>35.76</v>
      </c>
      <c r="D2681" t="s">
        <v>12</v>
      </c>
      <c r="E2681" t="s">
        <v>17</v>
      </c>
      <c r="F2681" s="4" t="s">
        <v>25</v>
      </c>
      <c r="G2681" s="4" t="s">
        <v>40</v>
      </c>
      <c r="H2681" s="4">
        <v>1</v>
      </c>
      <c r="I2681" s="4">
        <v>1</v>
      </c>
      <c r="J2681" s="1">
        <v>45670</v>
      </c>
      <c r="K2681" s="2">
        <v>7.9548611111111105E-3</v>
      </c>
      <c r="M2681" s="4" t="str">
        <f t="shared" si="123"/>
        <v>HIGH</v>
      </c>
      <c r="N2681" s="4" t="str" cm="1">
        <f t="array" ref="N2681">_xlfn.IFS(C2681&gt;35,"HIGH",C2681&gt;25,"MIDDLE",TRUE,"LOW")</f>
        <v>HIGH</v>
      </c>
      <c r="O2681" s="4" t="str">
        <f t="shared" si="124"/>
        <v>OTHERS</v>
      </c>
      <c r="P2681" s="4" t="str">
        <f t="shared" si="125"/>
        <v>PREMINUM MORNING</v>
      </c>
    </row>
    <row r="2682" spans="1:16" x14ac:dyDescent="0.3">
      <c r="A2682" s="4">
        <v>14</v>
      </c>
      <c r="B2682" t="s">
        <v>11</v>
      </c>
      <c r="C2682" s="4">
        <v>35.76</v>
      </c>
      <c r="D2682" t="s">
        <v>29</v>
      </c>
      <c r="E2682" t="s">
        <v>17</v>
      </c>
      <c r="F2682" s="4" t="s">
        <v>25</v>
      </c>
      <c r="G2682" s="4" t="s">
        <v>40</v>
      </c>
      <c r="H2682" s="4">
        <v>1</v>
      </c>
      <c r="I2682" s="4">
        <v>1</v>
      </c>
      <c r="J2682" s="1">
        <v>45670</v>
      </c>
      <c r="K2682" s="2">
        <v>8.6608796296296295E-3</v>
      </c>
      <c r="M2682" s="4" t="str">
        <f t="shared" si="123"/>
        <v>HIGH</v>
      </c>
      <c r="N2682" s="4" t="str" cm="1">
        <f t="array" ref="N2682">_xlfn.IFS(C2682&gt;35,"HIGH",C2682&gt;25,"MIDDLE",TRUE,"LOW")</f>
        <v>HIGH</v>
      </c>
      <c r="O2682" s="4" t="str">
        <f t="shared" si="124"/>
        <v>OTHERS</v>
      </c>
      <c r="P2682" s="4" t="str">
        <f t="shared" si="125"/>
        <v>PREMINUM MORNING</v>
      </c>
    </row>
    <row r="2683" spans="1:16" x14ac:dyDescent="0.3">
      <c r="A2683" s="4">
        <v>16</v>
      </c>
      <c r="B2683" t="s">
        <v>11</v>
      </c>
      <c r="C2683" s="4">
        <v>35.76</v>
      </c>
      <c r="D2683" t="s">
        <v>12</v>
      </c>
      <c r="E2683" t="s">
        <v>17</v>
      </c>
      <c r="F2683" s="4" t="s">
        <v>25</v>
      </c>
      <c r="G2683" s="4" t="s">
        <v>40</v>
      </c>
      <c r="H2683" s="4">
        <v>1</v>
      </c>
      <c r="I2683" s="4">
        <v>1</v>
      </c>
      <c r="J2683" s="1">
        <v>45670</v>
      </c>
      <c r="K2683" s="2">
        <v>1.7781249999999998E-2</v>
      </c>
      <c r="M2683" s="4" t="str">
        <f t="shared" si="123"/>
        <v>HIGH</v>
      </c>
      <c r="N2683" s="4" t="str" cm="1">
        <f t="array" ref="N2683">_xlfn.IFS(C2683&gt;35,"HIGH",C2683&gt;25,"MIDDLE",TRUE,"LOW")</f>
        <v>HIGH</v>
      </c>
      <c r="O2683" s="4" t="str">
        <f t="shared" si="124"/>
        <v>OTHERS</v>
      </c>
      <c r="P2683" s="4" t="str">
        <f t="shared" si="125"/>
        <v>PREMINUM MORNING</v>
      </c>
    </row>
    <row r="2684" spans="1:16" x14ac:dyDescent="0.3">
      <c r="A2684" s="4">
        <v>20</v>
      </c>
      <c r="B2684" t="s">
        <v>11</v>
      </c>
      <c r="C2684" s="4">
        <v>21.06</v>
      </c>
      <c r="D2684" t="s">
        <v>26</v>
      </c>
      <c r="E2684" t="s">
        <v>20</v>
      </c>
      <c r="F2684" s="4" t="s">
        <v>25</v>
      </c>
      <c r="G2684" s="4" t="s">
        <v>40</v>
      </c>
      <c r="H2684" s="4">
        <v>1</v>
      </c>
      <c r="I2684" s="4">
        <v>1</v>
      </c>
      <c r="J2684" s="1">
        <v>45670</v>
      </c>
      <c r="K2684" s="2">
        <v>3.5628472222222221E-2</v>
      </c>
      <c r="M2684" s="4" t="str">
        <f t="shared" si="123"/>
        <v>LOW</v>
      </c>
      <c r="N2684" s="4" t="str" cm="1">
        <f t="array" ref="N2684">_xlfn.IFS(C2684&gt;35,"HIGH",C2684&gt;25,"MIDDLE",TRUE,"LOW")</f>
        <v>LOW</v>
      </c>
      <c r="O2684" s="4" t="str">
        <f t="shared" si="124"/>
        <v>OTHERS</v>
      </c>
      <c r="P2684" s="4" t="str">
        <f t="shared" si="125"/>
        <v>OTHERS</v>
      </c>
    </row>
    <row r="2685" spans="1:16" x14ac:dyDescent="0.3">
      <c r="A2685" s="4">
        <v>7</v>
      </c>
      <c r="B2685" t="s">
        <v>11</v>
      </c>
      <c r="C2685" s="4">
        <v>35.76</v>
      </c>
      <c r="D2685" t="s">
        <v>12</v>
      </c>
      <c r="E2685" t="s">
        <v>13</v>
      </c>
      <c r="F2685" s="4" t="s">
        <v>27</v>
      </c>
      <c r="G2685" s="4" t="s">
        <v>40</v>
      </c>
      <c r="H2685" s="4">
        <v>2</v>
      </c>
      <c r="I2685" s="4">
        <v>1</v>
      </c>
      <c r="J2685" s="1">
        <v>45671</v>
      </c>
      <c r="K2685" s="2">
        <v>2.6186342592592591E-2</v>
      </c>
      <c r="M2685" s="4" t="str">
        <f t="shared" si="123"/>
        <v>HIGH</v>
      </c>
      <c r="N2685" s="4" t="str" cm="1">
        <f t="array" ref="N2685">_xlfn.IFS(C2685&gt;35,"HIGH",C2685&gt;25,"MIDDLE",TRUE,"LOW")</f>
        <v>HIGH</v>
      </c>
      <c r="O2685" s="4" t="str">
        <f t="shared" si="124"/>
        <v>PREMINUM MORNING</v>
      </c>
      <c r="P2685" s="4" t="str">
        <f t="shared" si="125"/>
        <v>PREMINUM MORNING</v>
      </c>
    </row>
    <row r="2686" spans="1:16" x14ac:dyDescent="0.3">
      <c r="A2686" s="4">
        <v>9</v>
      </c>
      <c r="B2686" t="s">
        <v>11</v>
      </c>
      <c r="C2686" s="4">
        <v>25.96</v>
      </c>
      <c r="D2686" t="s">
        <v>24</v>
      </c>
      <c r="E2686" t="s">
        <v>13</v>
      </c>
      <c r="F2686" s="4" t="s">
        <v>27</v>
      </c>
      <c r="G2686" s="4" t="s">
        <v>40</v>
      </c>
      <c r="H2686" s="4">
        <v>2</v>
      </c>
      <c r="I2686" s="4">
        <v>1</v>
      </c>
      <c r="J2686" s="1">
        <v>45671</v>
      </c>
      <c r="K2686" s="2">
        <v>3.7300925925925925E-2</v>
      </c>
      <c r="M2686" s="4" t="str">
        <f t="shared" si="123"/>
        <v>LOW</v>
      </c>
      <c r="N2686" s="4" t="str" cm="1">
        <f t="array" ref="N2686">_xlfn.IFS(C2686&gt;35,"HIGH",C2686&gt;25,"MIDDLE",TRUE,"LOW")</f>
        <v>MIDDLE</v>
      </c>
      <c r="O2686" s="4" t="str">
        <f t="shared" si="124"/>
        <v>OTHERS</v>
      </c>
      <c r="P2686" s="4" t="str">
        <f t="shared" si="125"/>
        <v>PREMINUM MORNING</v>
      </c>
    </row>
    <row r="2687" spans="1:16" x14ac:dyDescent="0.3">
      <c r="A2687" s="4">
        <v>10</v>
      </c>
      <c r="B2687" t="s">
        <v>11</v>
      </c>
      <c r="C2687" s="4">
        <v>30.86</v>
      </c>
      <c r="D2687" t="s">
        <v>19</v>
      </c>
      <c r="E2687" t="s">
        <v>13</v>
      </c>
      <c r="F2687" s="4" t="s">
        <v>27</v>
      </c>
      <c r="G2687" s="4" t="s">
        <v>40</v>
      </c>
      <c r="H2687" s="4">
        <v>2</v>
      </c>
      <c r="I2687" s="4">
        <v>1</v>
      </c>
      <c r="J2687" s="1">
        <v>45671</v>
      </c>
      <c r="K2687" s="2">
        <v>1.511111111111111E-2</v>
      </c>
      <c r="M2687" s="4" t="str">
        <f t="shared" si="123"/>
        <v>LOW</v>
      </c>
      <c r="N2687" s="4" t="str" cm="1">
        <f t="array" ref="N2687">_xlfn.IFS(C2687&gt;35,"HIGH",C2687&gt;25,"MIDDLE",TRUE,"LOW")</f>
        <v>MIDDLE</v>
      </c>
      <c r="O2687" s="4" t="str">
        <f t="shared" si="124"/>
        <v>OTHERS</v>
      </c>
      <c r="P2687" s="4" t="str">
        <f t="shared" si="125"/>
        <v>PREMINUM MORNING</v>
      </c>
    </row>
    <row r="2688" spans="1:16" x14ac:dyDescent="0.3">
      <c r="A2688" s="4">
        <v>12</v>
      </c>
      <c r="B2688" t="s">
        <v>11</v>
      </c>
      <c r="C2688" s="4">
        <v>35.76</v>
      </c>
      <c r="D2688" t="s">
        <v>12</v>
      </c>
      <c r="E2688" t="s">
        <v>17</v>
      </c>
      <c r="F2688" s="4" t="s">
        <v>27</v>
      </c>
      <c r="G2688" s="4" t="s">
        <v>40</v>
      </c>
      <c r="H2688" s="4">
        <v>2</v>
      </c>
      <c r="I2688" s="4">
        <v>1</v>
      </c>
      <c r="J2688" s="1">
        <v>45671</v>
      </c>
      <c r="K2688" s="2">
        <v>3.4194444444444444E-2</v>
      </c>
      <c r="M2688" s="4" t="str">
        <f t="shared" si="123"/>
        <v>HIGH</v>
      </c>
      <c r="N2688" s="4" t="str" cm="1">
        <f t="array" ref="N2688">_xlfn.IFS(C2688&gt;35,"HIGH",C2688&gt;25,"MIDDLE",TRUE,"LOW")</f>
        <v>HIGH</v>
      </c>
      <c r="O2688" s="4" t="str">
        <f t="shared" si="124"/>
        <v>OTHERS</v>
      </c>
      <c r="P2688" s="4" t="str">
        <f t="shared" si="125"/>
        <v>PREMINUM MORNING</v>
      </c>
    </row>
    <row r="2689" spans="1:16" x14ac:dyDescent="0.3">
      <c r="A2689" s="4">
        <v>16</v>
      </c>
      <c r="B2689" t="s">
        <v>11</v>
      </c>
      <c r="C2689" s="4">
        <v>30.86</v>
      </c>
      <c r="D2689" t="s">
        <v>19</v>
      </c>
      <c r="E2689" t="s">
        <v>17</v>
      </c>
      <c r="F2689" s="4" t="s">
        <v>27</v>
      </c>
      <c r="G2689" s="4" t="s">
        <v>40</v>
      </c>
      <c r="H2689" s="4">
        <v>2</v>
      </c>
      <c r="I2689" s="4">
        <v>1</v>
      </c>
      <c r="J2689" s="1">
        <v>45671</v>
      </c>
      <c r="K2689" s="2">
        <v>1.272337962962963E-2</v>
      </c>
      <c r="M2689" s="4" t="str">
        <f t="shared" si="123"/>
        <v>LOW</v>
      </c>
      <c r="N2689" s="4" t="str" cm="1">
        <f t="array" ref="N2689">_xlfn.IFS(C2689&gt;35,"HIGH",C2689&gt;25,"MIDDLE",TRUE,"LOW")</f>
        <v>MIDDLE</v>
      </c>
      <c r="O2689" s="4" t="str">
        <f t="shared" si="124"/>
        <v>OTHERS</v>
      </c>
      <c r="P2689" s="4" t="str">
        <f t="shared" si="125"/>
        <v>OTHERS</v>
      </c>
    </row>
    <row r="2690" spans="1:16" x14ac:dyDescent="0.3">
      <c r="A2690" s="4">
        <v>16</v>
      </c>
      <c r="B2690" t="s">
        <v>11</v>
      </c>
      <c r="C2690" s="4">
        <v>30.86</v>
      </c>
      <c r="D2690" t="s">
        <v>19</v>
      </c>
      <c r="E2690" t="s">
        <v>17</v>
      </c>
      <c r="F2690" s="4" t="s">
        <v>27</v>
      </c>
      <c r="G2690" s="4" t="s">
        <v>40</v>
      </c>
      <c r="H2690" s="4">
        <v>2</v>
      </c>
      <c r="I2690" s="4">
        <v>1</v>
      </c>
      <c r="J2690" s="1">
        <v>45671</v>
      </c>
      <c r="K2690" s="2">
        <v>1.3501157407407408E-2</v>
      </c>
      <c r="M2690" s="4" t="str">
        <f t="shared" si="123"/>
        <v>LOW</v>
      </c>
      <c r="N2690" s="4" t="str" cm="1">
        <f t="array" ref="N2690">_xlfn.IFS(C2690&gt;35,"HIGH",C2690&gt;25,"MIDDLE",TRUE,"LOW")</f>
        <v>MIDDLE</v>
      </c>
      <c r="O2690" s="4" t="str">
        <f t="shared" si="124"/>
        <v>OTHERS</v>
      </c>
      <c r="P2690" s="4" t="str">
        <f t="shared" si="125"/>
        <v>OTHERS</v>
      </c>
    </row>
    <row r="2691" spans="1:16" x14ac:dyDescent="0.3">
      <c r="A2691" s="4">
        <v>19</v>
      </c>
      <c r="B2691" t="s">
        <v>11</v>
      </c>
      <c r="C2691" s="4">
        <v>35.76</v>
      </c>
      <c r="D2691" t="s">
        <v>29</v>
      </c>
      <c r="E2691" t="s">
        <v>20</v>
      </c>
      <c r="F2691" s="4" t="s">
        <v>27</v>
      </c>
      <c r="G2691" s="4" t="s">
        <v>40</v>
      </c>
      <c r="H2691" s="4">
        <v>2</v>
      </c>
      <c r="I2691" s="4">
        <v>1</v>
      </c>
      <c r="J2691" s="1">
        <v>45671</v>
      </c>
      <c r="K2691" s="2">
        <v>2.9119212962962965E-2</v>
      </c>
      <c r="M2691" s="4" t="str">
        <f t="shared" ref="M2691:M2754" si="126">IF(C2691&gt;35,"HIGH","LOW")</f>
        <v>HIGH</v>
      </c>
      <c r="N2691" s="4" t="str" cm="1">
        <f t="array" ref="N2691">_xlfn.IFS(C2691&gt;35,"HIGH",C2691&gt;25,"MIDDLE",TRUE,"LOW")</f>
        <v>HIGH</v>
      </c>
      <c r="O2691" s="4" t="str">
        <f t="shared" ref="O2691:O2754" si="127">IF(AND(C2691&gt;35,E2691="MORNING"),"PREMINUM MORNING","OTHERS")</f>
        <v>OTHERS</v>
      </c>
      <c r="P2691" s="4" t="str">
        <f t="shared" ref="P2691:P2754" si="128">IF(OR(C2691&gt;35,E2691="MORNING"),"PREMINUM MORNING","OTHERS")</f>
        <v>PREMINUM MORNING</v>
      </c>
    </row>
    <row r="2692" spans="1:16" x14ac:dyDescent="0.3">
      <c r="A2692" s="4">
        <v>21</v>
      </c>
      <c r="B2692" t="s">
        <v>11</v>
      </c>
      <c r="C2692" s="4">
        <v>35.76</v>
      </c>
      <c r="D2692" t="s">
        <v>12</v>
      </c>
      <c r="E2692" t="s">
        <v>20</v>
      </c>
      <c r="F2692" s="4" t="s">
        <v>27</v>
      </c>
      <c r="G2692" s="4" t="s">
        <v>40</v>
      </c>
      <c r="H2692" s="4">
        <v>2</v>
      </c>
      <c r="I2692" s="4">
        <v>1</v>
      </c>
      <c r="J2692" s="1">
        <v>45671</v>
      </c>
      <c r="K2692" s="2">
        <v>1.8009259259259259E-3</v>
      </c>
      <c r="M2692" s="4" t="str">
        <f t="shared" si="126"/>
        <v>HIGH</v>
      </c>
      <c r="N2692" s="4" t="str" cm="1">
        <f t="array" ref="N2692">_xlfn.IFS(C2692&gt;35,"HIGH",C2692&gt;25,"MIDDLE",TRUE,"LOW")</f>
        <v>HIGH</v>
      </c>
      <c r="O2692" s="4" t="str">
        <f t="shared" si="127"/>
        <v>OTHERS</v>
      </c>
      <c r="P2692" s="4" t="str">
        <f t="shared" si="128"/>
        <v>PREMINUM MORNING</v>
      </c>
    </row>
    <row r="2693" spans="1:16" x14ac:dyDescent="0.3">
      <c r="A2693" s="4">
        <v>9</v>
      </c>
      <c r="B2693" t="s">
        <v>11</v>
      </c>
      <c r="C2693" s="4">
        <v>30.86</v>
      </c>
      <c r="D2693" t="s">
        <v>19</v>
      </c>
      <c r="E2693" t="s">
        <v>13</v>
      </c>
      <c r="F2693" s="4" t="s">
        <v>28</v>
      </c>
      <c r="G2693" s="4" t="s">
        <v>40</v>
      </c>
      <c r="H2693" s="4">
        <v>3</v>
      </c>
      <c r="I2693" s="4">
        <v>1</v>
      </c>
      <c r="J2693" s="1">
        <v>45672</v>
      </c>
      <c r="K2693" s="2">
        <v>8.3819444444444453E-3</v>
      </c>
      <c r="M2693" s="4" t="str">
        <f t="shared" si="126"/>
        <v>LOW</v>
      </c>
      <c r="N2693" s="4" t="str" cm="1">
        <f t="array" ref="N2693">_xlfn.IFS(C2693&gt;35,"HIGH",C2693&gt;25,"MIDDLE",TRUE,"LOW")</f>
        <v>MIDDLE</v>
      </c>
      <c r="O2693" s="4" t="str">
        <f t="shared" si="127"/>
        <v>OTHERS</v>
      </c>
      <c r="P2693" s="4" t="str">
        <f t="shared" si="128"/>
        <v>PREMINUM MORNING</v>
      </c>
    </row>
    <row r="2694" spans="1:16" x14ac:dyDescent="0.3">
      <c r="A2694" s="4">
        <v>11</v>
      </c>
      <c r="B2694" t="s">
        <v>11</v>
      </c>
      <c r="C2694" s="4">
        <v>25.96</v>
      </c>
      <c r="D2694" t="s">
        <v>18</v>
      </c>
      <c r="E2694" t="s">
        <v>13</v>
      </c>
      <c r="F2694" s="4" t="s">
        <v>28</v>
      </c>
      <c r="G2694" s="4" t="s">
        <v>40</v>
      </c>
      <c r="H2694" s="4">
        <v>3</v>
      </c>
      <c r="I2694" s="4">
        <v>1</v>
      </c>
      <c r="J2694" s="1">
        <v>45672</v>
      </c>
      <c r="K2694" s="2">
        <v>7.2187500000000003E-3</v>
      </c>
      <c r="M2694" s="4" t="str">
        <f t="shared" si="126"/>
        <v>LOW</v>
      </c>
      <c r="N2694" s="4" t="str" cm="1">
        <f t="array" ref="N2694">_xlfn.IFS(C2694&gt;35,"HIGH",C2694&gt;25,"MIDDLE",TRUE,"LOW")</f>
        <v>MIDDLE</v>
      </c>
      <c r="O2694" s="4" t="str">
        <f t="shared" si="127"/>
        <v>OTHERS</v>
      </c>
      <c r="P2694" s="4" t="str">
        <f t="shared" si="128"/>
        <v>PREMINUM MORNING</v>
      </c>
    </row>
    <row r="2695" spans="1:16" x14ac:dyDescent="0.3">
      <c r="A2695" s="4">
        <v>13</v>
      </c>
      <c r="B2695" t="s">
        <v>11</v>
      </c>
      <c r="C2695" s="4">
        <v>35.76</v>
      </c>
      <c r="D2695" t="s">
        <v>29</v>
      </c>
      <c r="E2695" t="s">
        <v>17</v>
      </c>
      <c r="F2695" s="4" t="s">
        <v>28</v>
      </c>
      <c r="G2695" s="4" t="s">
        <v>40</v>
      </c>
      <c r="H2695" s="4">
        <v>3</v>
      </c>
      <c r="I2695" s="4">
        <v>1</v>
      </c>
      <c r="J2695" s="1">
        <v>45672</v>
      </c>
      <c r="K2695" s="2">
        <v>9.8912037037037041E-3</v>
      </c>
      <c r="M2695" s="4" t="str">
        <f t="shared" si="126"/>
        <v>HIGH</v>
      </c>
      <c r="N2695" s="4" t="str" cm="1">
        <f t="array" ref="N2695">_xlfn.IFS(C2695&gt;35,"HIGH",C2695&gt;25,"MIDDLE",TRUE,"LOW")</f>
        <v>HIGH</v>
      </c>
      <c r="O2695" s="4" t="str">
        <f t="shared" si="127"/>
        <v>OTHERS</v>
      </c>
      <c r="P2695" s="4" t="str">
        <f t="shared" si="128"/>
        <v>PREMINUM MORNING</v>
      </c>
    </row>
    <row r="2696" spans="1:16" x14ac:dyDescent="0.3">
      <c r="A2696" s="4">
        <v>15</v>
      </c>
      <c r="B2696" t="s">
        <v>11</v>
      </c>
      <c r="C2696" s="4">
        <v>35.76</v>
      </c>
      <c r="D2696" t="s">
        <v>12</v>
      </c>
      <c r="E2696" t="s">
        <v>17</v>
      </c>
      <c r="F2696" s="4" t="s">
        <v>28</v>
      </c>
      <c r="G2696" s="4" t="s">
        <v>40</v>
      </c>
      <c r="H2696" s="4">
        <v>3</v>
      </c>
      <c r="I2696" s="4">
        <v>1</v>
      </c>
      <c r="J2696" s="1">
        <v>45672</v>
      </c>
      <c r="K2696" s="2">
        <v>2.455902777777778E-2</v>
      </c>
      <c r="M2696" s="4" t="str">
        <f t="shared" si="126"/>
        <v>HIGH</v>
      </c>
      <c r="N2696" s="4" t="str" cm="1">
        <f t="array" ref="N2696">_xlfn.IFS(C2696&gt;35,"HIGH",C2696&gt;25,"MIDDLE",TRUE,"LOW")</f>
        <v>HIGH</v>
      </c>
      <c r="O2696" s="4" t="str">
        <f t="shared" si="127"/>
        <v>OTHERS</v>
      </c>
      <c r="P2696" s="4" t="str">
        <f t="shared" si="128"/>
        <v>PREMINUM MORNING</v>
      </c>
    </row>
    <row r="2697" spans="1:16" x14ac:dyDescent="0.3">
      <c r="A2697" s="4">
        <v>15</v>
      </c>
      <c r="B2697" t="s">
        <v>11</v>
      </c>
      <c r="C2697" s="4">
        <v>35.76</v>
      </c>
      <c r="D2697" t="s">
        <v>29</v>
      </c>
      <c r="E2697" t="s">
        <v>17</v>
      </c>
      <c r="F2697" s="4" t="s">
        <v>28</v>
      </c>
      <c r="G2697" s="4" t="s">
        <v>40</v>
      </c>
      <c r="H2697" s="4">
        <v>3</v>
      </c>
      <c r="I2697" s="4">
        <v>1</v>
      </c>
      <c r="J2697" s="1">
        <v>45672</v>
      </c>
      <c r="K2697" s="2">
        <v>2.5554398148148149E-2</v>
      </c>
      <c r="M2697" s="4" t="str">
        <f t="shared" si="126"/>
        <v>HIGH</v>
      </c>
      <c r="N2697" s="4" t="str" cm="1">
        <f t="array" ref="N2697">_xlfn.IFS(C2697&gt;35,"HIGH",C2697&gt;25,"MIDDLE",TRUE,"LOW")</f>
        <v>HIGH</v>
      </c>
      <c r="O2697" s="4" t="str">
        <f t="shared" si="127"/>
        <v>OTHERS</v>
      </c>
      <c r="P2697" s="4" t="str">
        <f t="shared" si="128"/>
        <v>PREMINUM MORNING</v>
      </c>
    </row>
    <row r="2698" spans="1:16" x14ac:dyDescent="0.3">
      <c r="A2698" s="4">
        <v>15</v>
      </c>
      <c r="B2698" t="s">
        <v>11</v>
      </c>
      <c r="C2698" s="4">
        <v>35.76</v>
      </c>
      <c r="D2698" t="s">
        <v>12</v>
      </c>
      <c r="E2698" t="s">
        <v>17</v>
      </c>
      <c r="F2698" s="4" t="s">
        <v>28</v>
      </c>
      <c r="G2698" s="4" t="s">
        <v>40</v>
      </c>
      <c r="H2698" s="4">
        <v>3</v>
      </c>
      <c r="I2698" s="4">
        <v>1</v>
      </c>
      <c r="J2698" s="1">
        <v>45672</v>
      </c>
      <c r="K2698" s="2">
        <v>2.6339120370370367E-2</v>
      </c>
      <c r="M2698" s="4" t="str">
        <f t="shared" si="126"/>
        <v>HIGH</v>
      </c>
      <c r="N2698" s="4" t="str" cm="1">
        <f t="array" ref="N2698">_xlfn.IFS(C2698&gt;35,"HIGH",C2698&gt;25,"MIDDLE",TRUE,"LOW")</f>
        <v>HIGH</v>
      </c>
      <c r="O2698" s="4" t="str">
        <f t="shared" si="127"/>
        <v>OTHERS</v>
      </c>
      <c r="P2698" s="4" t="str">
        <f t="shared" si="128"/>
        <v>PREMINUM MORNING</v>
      </c>
    </row>
    <row r="2699" spans="1:16" x14ac:dyDescent="0.3">
      <c r="A2699" s="4">
        <v>16</v>
      </c>
      <c r="B2699" t="s">
        <v>11</v>
      </c>
      <c r="C2699" s="4">
        <v>35.76</v>
      </c>
      <c r="D2699" t="s">
        <v>12</v>
      </c>
      <c r="E2699" t="s">
        <v>17</v>
      </c>
      <c r="F2699" s="4" t="s">
        <v>28</v>
      </c>
      <c r="G2699" s="4" t="s">
        <v>40</v>
      </c>
      <c r="H2699" s="4">
        <v>3</v>
      </c>
      <c r="I2699" s="4">
        <v>1</v>
      </c>
      <c r="J2699" s="1">
        <v>45672</v>
      </c>
      <c r="K2699" s="2">
        <v>3.8495370370370367E-2</v>
      </c>
      <c r="M2699" s="4" t="str">
        <f t="shared" si="126"/>
        <v>HIGH</v>
      </c>
      <c r="N2699" s="4" t="str" cm="1">
        <f t="array" ref="N2699">_xlfn.IFS(C2699&gt;35,"HIGH",C2699&gt;25,"MIDDLE",TRUE,"LOW")</f>
        <v>HIGH</v>
      </c>
      <c r="O2699" s="4" t="str">
        <f t="shared" si="127"/>
        <v>OTHERS</v>
      </c>
      <c r="P2699" s="4" t="str">
        <f t="shared" si="128"/>
        <v>PREMINUM MORNING</v>
      </c>
    </row>
    <row r="2700" spans="1:16" x14ac:dyDescent="0.3">
      <c r="A2700" s="4">
        <v>18</v>
      </c>
      <c r="B2700" t="s">
        <v>11</v>
      </c>
      <c r="C2700" s="4">
        <v>35.76</v>
      </c>
      <c r="D2700" t="s">
        <v>12</v>
      </c>
      <c r="E2700" t="s">
        <v>20</v>
      </c>
      <c r="F2700" s="4" t="s">
        <v>28</v>
      </c>
      <c r="G2700" s="4" t="s">
        <v>40</v>
      </c>
      <c r="H2700" s="4">
        <v>3</v>
      </c>
      <c r="I2700" s="4">
        <v>1</v>
      </c>
      <c r="J2700" s="1">
        <v>45672</v>
      </c>
      <c r="K2700" s="2">
        <v>4.3101851851851851E-3</v>
      </c>
      <c r="M2700" s="4" t="str">
        <f t="shared" si="126"/>
        <v>HIGH</v>
      </c>
      <c r="N2700" s="4" t="str" cm="1">
        <f t="array" ref="N2700">_xlfn.IFS(C2700&gt;35,"HIGH",C2700&gt;25,"MIDDLE",TRUE,"LOW")</f>
        <v>HIGH</v>
      </c>
      <c r="O2700" s="4" t="str">
        <f t="shared" si="127"/>
        <v>OTHERS</v>
      </c>
      <c r="P2700" s="4" t="str">
        <f t="shared" si="128"/>
        <v>PREMINUM MORNING</v>
      </c>
    </row>
    <row r="2701" spans="1:16" x14ac:dyDescent="0.3">
      <c r="A2701" s="4">
        <v>19</v>
      </c>
      <c r="B2701" t="s">
        <v>11</v>
      </c>
      <c r="C2701" s="4">
        <v>35.76</v>
      </c>
      <c r="D2701" t="s">
        <v>12</v>
      </c>
      <c r="E2701" t="s">
        <v>20</v>
      </c>
      <c r="F2701" s="4" t="s">
        <v>28</v>
      </c>
      <c r="G2701" s="4" t="s">
        <v>40</v>
      </c>
      <c r="H2701" s="4">
        <v>3</v>
      </c>
      <c r="I2701" s="4">
        <v>1</v>
      </c>
      <c r="J2701" s="1">
        <v>45672</v>
      </c>
      <c r="K2701" s="2">
        <v>3.5579861111111111E-2</v>
      </c>
      <c r="M2701" s="4" t="str">
        <f t="shared" si="126"/>
        <v>HIGH</v>
      </c>
      <c r="N2701" s="4" t="str" cm="1">
        <f t="array" ref="N2701">_xlfn.IFS(C2701&gt;35,"HIGH",C2701&gt;25,"MIDDLE",TRUE,"LOW")</f>
        <v>HIGH</v>
      </c>
      <c r="O2701" s="4" t="str">
        <f t="shared" si="127"/>
        <v>OTHERS</v>
      </c>
      <c r="P2701" s="4" t="str">
        <f t="shared" si="128"/>
        <v>PREMINUM MORNING</v>
      </c>
    </row>
    <row r="2702" spans="1:16" x14ac:dyDescent="0.3">
      <c r="A2702" s="4">
        <v>21</v>
      </c>
      <c r="B2702" t="s">
        <v>11</v>
      </c>
      <c r="C2702" s="4">
        <v>35.76</v>
      </c>
      <c r="D2702" t="s">
        <v>29</v>
      </c>
      <c r="E2702" t="s">
        <v>20</v>
      </c>
      <c r="F2702" s="4" t="s">
        <v>28</v>
      </c>
      <c r="G2702" s="4" t="s">
        <v>40</v>
      </c>
      <c r="H2702" s="4">
        <v>3</v>
      </c>
      <c r="I2702" s="4">
        <v>1</v>
      </c>
      <c r="J2702" s="1">
        <v>45672</v>
      </c>
      <c r="K2702" s="2">
        <v>2.8637731481481483E-2</v>
      </c>
      <c r="M2702" s="4" t="str">
        <f t="shared" si="126"/>
        <v>HIGH</v>
      </c>
      <c r="N2702" s="4" t="str" cm="1">
        <f t="array" ref="N2702">_xlfn.IFS(C2702&gt;35,"HIGH",C2702&gt;25,"MIDDLE",TRUE,"LOW")</f>
        <v>HIGH</v>
      </c>
      <c r="O2702" s="4" t="str">
        <f t="shared" si="127"/>
        <v>OTHERS</v>
      </c>
      <c r="P2702" s="4" t="str">
        <f t="shared" si="128"/>
        <v>PREMINUM MORNING</v>
      </c>
    </row>
    <row r="2703" spans="1:16" x14ac:dyDescent="0.3">
      <c r="A2703" s="4">
        <v>9</v>
      </c>
      <c r="B2703" t="s">
        <v>11</v>
      </c>
      <c r="C2703" s="4">
        <v>35.76</v>
      </c>
      <c r="D2703" t="s">
        <v>12</v>
      </c>
      <c r="E2703" t="s">
        <v>13</v>
      </c>
      <c r="F2703" s="4" t="s">
        <v>30</v>
      </c>
      <c r="G2703" s="4" t="s">
        <v>40</v>
      </c>
      <c r="H2703" s="4">
        <v>4</v>
      </c>
      <c r="I2703" s="4">
        <v>1</v>
      </c>
      <c r="J2703" s="1">
        <v>45673</v>
      </c>
      <c r="K2703" s="2">
        <v>2.2890046296296297E-2</v>
      </c>
      <c r="M2703" s="4" t="str">
        <f t="shared" si="126"/>
        <v>HIGH</v>
      </c>
      <c r="N2703" s="4" t="str" cm="1">
        <f t="array" ref="N2703">_xlfn.IFS(C2703&gt;35,"HIGH",C2703&gt;25,"MIDDLE",TRUE,"LOW")</f>
        <v>HIGH</v>
      </c>
      <c r="O2703" s="4" t="str">
        <f t="shared" si="127"/>
        <v>PREMINUM MORNING</v>
      </c>
      <c r="P2703" s="4" t="str">
        <f t="shared" si="128"/>
        <v>PREMINUM MORNING</v>
      </c>
    </row>
    <row r="2704" spans="1:16" x14ac:dyDescent="0.3">
      <c r="A2704" s="4">
        <v>9</v>
      </c>
      <c r="B2704" t="s">
        <v>11</v>
      </c>
      <c r="C2704" s="4">
        <v>30.86</v>
      </c>
      <c r="D2704" t="s">
        <v>19</v>
      </c>
      <c r="E2704" t="s">
        <v>13</v>
      </c>
      <c r="F2704" s="4" t="s">
        <v>30</v>
      </c>
      <c r="G2704" s="4" t="s">
        <v>40</v>
      </c>
      <c r="H2704" s="4">
        <v>4</v>
      </c>
      <c r="I2704" s="4">
        <v>1</v>
      </c>
      <c r="J2704" s="1">
        <v>45673</v>
      </c>
      <c r="K2704" s="2">
        <v>2.6497685185185187E-2</v>
      </c>
      <c r="M2704" s="4" t="str">
        <f t="shared" si="126"/>
        <v>LOW</v>
      </c>
      <c r="N2704" s="4" t="str" cm="1">
        <f t="array" ref="N2704">_xlfn.IFS(C2704&gt;35,"HIGH",C2704&gt;25,"MIDDLE",TRUE,"LOW")</f>
        <v>MIDDLE</v>
      </c>
      <c r="O2704" s="4" t="str">
        <f t="shared" si="127"/>
        <v>OTHERS</v>
      </c>
      <c r="P2704" s="4" t="str">
        <f t="shared" si="128"/>
        <v>PREMINUM MORNING</v>
      </c>
    </row>
    <row r="2705" spans="1:16" x14ac:dyDescent="0.3">
      <c r="A2705" s="4">
        <v>10</v>
      </c>
      <c r="B2705" t="s">
        <v>11</v>
      </c>
      <c r="C2705" s="4">
        <v>30.86</v>
      </c>
      <c r="D2705" t="s">
        <v>19</v>
      </c>
      <c r="E2705" t="s">
        <v>13</v>
      </c>
      <c r="F2705" s="4" t="s">
        <v>30</v>
      </c>
      <c r="G2705" s="4" t="s">
        <v>40</v>
      </c>
      <c r="H2705" s="4">
        <v>4</v>
      </c>
      <c r="I2705" s="4">
        <v>1</v>
      </c>
      <c r="J2705" s="1">
        <v>45673</v>
      </c>
      <c r="K2705" s="2">
        <v>2.8945601851851854E-2</v>
      </c>
      <c r="M2705" s="4" t="str">
        <f t="shared" si="126"/>
        <v>LOW</v>
      </c>
      <c r="N2705" s="4" t="str" cm="1">
        <f t="array" ref="N2705">_xlfn.IFS(C2705&gt;35,"HIGH",C2705&gt;25,"MIDDLE",TRUE,"LOW")</f>
        <v>MIDDLE</v>
      </c>
      <c r="O2705" s="4" t="str">
        <f t="shared" si="127"/>
        <v>OTHERS</v>
      </c>
      <c r="P2705" s="4" t="str">
        <f t="shared" si="128"/>
        <v>PREMINUM MORNING</v>
      </c>
    </row>
    <row r="2706" spans="1:16" x14ac:dyDescent="0.3">
      <c r="A2706" s="4">
        <v>12</v>
      </c>
      <c r="B2706" t="s">
        <v>11</v>
      </c>
      <c r="C2706" s="4">
        <v>25.96</v>
      </c>
      <c r="D2706" t="s">
        <v>24</v>
      </c>
      <c r="E2706" t="s">
        <v>17</v>
      </c>
      <c r="F2706" s="4" t="s">
        <v>30</v>
      </c>
      <c r="G2706" s="4" t="s">
        <v>40</v>
      </c>
      <c r="H2706" s="4">
        <v>4</v>
      </c>
      <c r="I2706" s="4">
        <v>1</v>
      </c>
      <c r="J2706" s="1">
        <v>45673</v>
      </c>
      <c r="K2706" s="2">
        <v>8.5219907407407397E-3</v>
      </c>
      <c r="M2706" s="4" t="str">
        <f t="shared" si="126"/>
        <v>LOW</v>
      </c>
      <c r="N2706" s="4" t="str" cm="1">
        <f t="array" ref="N2706">_xlfn.IFS(C2706&gt;35,"HIGH",C2706&gt;25,"MIDDLE",TRUE,"LOW")</f>
        <v>MIDDLE</v>
      </c>
      <c r="O2706" s="4" t="str">
        <f t="shared" si="127"/>
        <v>OTHERS</v>
      </c>
      <c r="P2706" s="4" t="str">
        <f t="shared" si="128"/>
        <v>OTHERS</v>
      </c>
    </row>
    <row r="2707" spans="1:16" x14ac:dyDescent="0.3">
      <c r="A2707" s="4">
        <v>15</v>
      </c>
      <c r="B2707" t="s">
        <v>11</v>
      </c>
      <c r="C2707" s="4">
        <v>35.76</v>
      </c>
      <c r="D2707" t="s">
        <v>12</v>
      </c>
      <c r="E2707" t="s">
        <v>17</v>
      </c>
      <c r="F2707" s="4" t="s">
        <v>30</v>
      </c>
      <c r="G2707" s="4" t="s">
        <v>40</v>
      </c>
      <c r="H2707" s="4">
        <v>4</v>
      </c>
      <c r="I2707" s="4">
        <v>1</v>
      </c>
      <c r="J2707" s="1">
        <v>45673</v>
      </c>
      <c r="K2707" s="2">
        <v>1.1333333333333334E-2</v>
      </c>
      <c r="M2707" s="4" t="str">
        <f t="shared" si="126"/>
        <v>HIGH</v>
      </c>
      <c r="N2707" s="4" t="str" cm="1">
        <f t="array" ref="N2707">_xlfn.IFS(C2707&gt;35,"HIGH",C2707&gt;25,"MIDDLE",TRUE,"LOW")</f>
        <v>HIGH</v>
      </c>
      <c r="O2707" s="4" t="str">
        <f t="shared" si="127"/>
        <v>OTHERS</v>
      </c>
      <c r="P2707" s="4" t="str">
        <f t="shared" si="128"/>
        <v>PREMINUM MORNING</v>
      </c>
    </row>
    <row r="2708" spans="1:16" x14ac:dyDescent="0.3">
      <c r="A2708" s="4">
        <v>16</v>
      </c>
      <c r="B2708" t="s">
        <v>11</v>
      </c>
      <c r="C2708" s="4">
        <v>35.76</v>
      </c>
      <c r="D2708" t="s">
        <v>12</v>
      </c>
      <c r="E2708" t="s">
        <v>17</v>
      </c>
      <c r="F2708" s="4" t="s">
        <v>30</v>
      </c>
      <c r="G2708" s="4" t="s">
        <v>40</v>
      </c>
      <c r="H2708" s="4">
        <v>4</v>
      </c>
      <c r="I2708" s="4">
        <v>1</v>
      </c>
      <c r="J2708" s="1">
        <v>45673</v>
      </c>
      <c r="K2708" s="2">
        <v>2.4432870370370369E-2</v>
      </c>
      <c r="M2708" s="4" t="str">
        <f t="shared" si="126"/>
        <v>HIGH</v>
      </c>
      <c r="N2708" s="4" t="str" cm="1">
        <f t="array" ref="N2708">_xlfn.IFS(C2708&gt;35,"HIGH",C2708&gt;25,"MIDDLE",TRUE,"LOW")</f>
        <v>HIGH</v>
      </c>
      <c r="O2708" s="4" t="str">
        <f t="shared" si="127"/>
        <v>OTHERS</v>
      </c>
      <c r="P2708" s="4" t="str">
        <f t="shared" si="128"/>
        <v>PREMINUM MORNING</v>
      </c>
    </row>
    <row r="2709" spans="1:16" x14ac:dyDescent="0.3">
      <c r="A2709" s="4">
        <v>18</v>
      </c>
      <c r="B2709" t="s">
        <v>11</v>
      </c>
      <c r="C2709" s="4">
        <v>35.76</v>
      </c>
      <c r="D2709" t="s">
        <v>29</v>
      </c>
      <c r="E2709" t="s">
        <v>20</v>
      </c>
      <c r="F2709" s="4" t="s">
        <v>30</v>
      </c>
      <c r="G2709" s="4" t="s">
        <v>40</v>
      </c>
      <c r="H2709" s="4">
        <v>4</v>
      </c>
      <c r="I2709" s="4">
        <v>1</v>
      </c>
      <c r="J2709" s="1">
        <v>45673</v>
      </c>
      <c r="K2709" s="2">
        <v>1.1081018518518518E-2</v>
      </c>
      <c r="M2709" s="4" t="str">
        <f t="shared" si="126"/>
        <v>HIGH</v>
      </c>
      <c r="N2709" s="4" t="str" cm="1">
        <f t="array" ref="N2709">_xlfn.IFS(C2709&gt;35,"HIGH",C2709&gt;25,"MIDDLE",TRUE,"LOW")</f>
        <v>HIGH</v>
      </c>
      <c r="O2709" s="4" t="str">
        <f t="shared" si="127"/>
        <v>OTHERS</v>
      </c>
      <c r="P2709" s="4" t="str">
        <f t="shared" si="128"/>
        <v>PREMINUM MORNING</v>
      </c>
    </row>
    <row r="2710" spans="1:16" x14ac:dyDescent="0.3">
      <c r="A2710" s="4">
        <v>21</v>
      </c>
      <c r="B2710" t="s">
        <v>11</v>
      </c>
      <c r="C2710" s="4">
        <v>35.76</v>
      </c>
      <c r="D2710" t="s">
        <v>16</v>
      </c>
      <c r="E2710" t="s">
        <v>20</v>
      </c>
      <c r="F2710" s="4" t="s">
        <v>30</v>
      </c>
      <c r="G2710" s="4" t="s">
        <v>40</v>
      </c>
      <c r="H2710" s="4">
        <v>4</v>
      </c>
      <c r="I2710" s="4">
        <v>1</v>
      </c>
      <c r="J2710" s="1">
        <v>45673</v>
      </c>
      <c r="K2710" s="2">
        <v>1.1107638888888889E-2</v>
      </c>
      <c r="M2710" s="4" t="str">
        <f t="shared" si="126"/>
        <v>HIGH</v>
      </c>
      <c r="N2710" s="4" t="str" cm="1">
        <f t="array" ref="N2710">_xlfn.IFS(C2710&gt;35,"HIGH",C2710&gt;25,"MIDDLE",TRUE,"LOW")</f>
        <v>HIGH</v>
      </c>
      <c r="O2710" s="4" t="str">
        <f t="shared" si="127"/>
        <v>OTHERS</v>
      </c>
      <c r="P2710" s="4" t="str">
        <f t="shared" si="128"/>
        <v>PREMINUM MORNING</v>
      </c>
    </row>
    <row r="2711" spans="1:16" x14ac:dyDescent="0.3">
      <c r="A2711" s="4">
        <v>21</v>
      </c>
      <c r="B2711" t="s">
        <v>11</v>
      </c>
      <c r="C2711" s="4">
        <v>35.76</v>
      </c>
      <c r="D2711" t="s">
        <v>16</v>
      </c>
      <c r="E2711" t="s">
        <v>20</v>
      </c>
      <c r="F2711" s="4" t="s">
        <v>30</v>
      </c>
      <c r="G2711" s="4" t="s">
        <v>40</v>
      </c>
      <c r="H2711" s="4">
        <v>4</v>
      </c>
      <c r="I2711" s="4">
        <v>1</v>
      </c>
      <c r="J2711" s="1">
        <v>45673</v>
      </c>
      <c r="K2711" s="2">
        <v>1.1796296296296296E-2</v>
      </c>
      <c r="M2711" s="4" t="str">
        <f t="shared" si="126"/>
        <v>HIGH</v>
      </c>
      <c r="N2711" s="4" t="str" cm="1">
        <f t="array" ref="N2711">_xlfn.IFS(C2711&gt;35,"HIGH",C2711&gt;25,"MIDDLE",TRUE,"LOW")</f>
        <v>HIGH</v>
      </c>
      <c r="O2711" s="4" t="str">
        <f t="shared" si="127"/>
        <v>OTHERS</v>
      </c>
      <c r="P2711" s="4" t="str">
        <f t="shared" si="128"/>
        <v>PREMINUM MORNING</v>
      </c>
    </row>
    <row r="2712" spans="1:16" x14ac:dyDescent="0.3">
      <c r="A2712" s="4">
        <v>21</v>
      </c>
      <c r="B2712" t="s">
        <v>11</v>
      </c>
      <c r="C2712" s="4">
        <v>25.96</v>
      </c>
      <c r="D2712" t="s">
        <v>24</v>
      </c>
      <c r="E2712" t="s">
        <v>20</v>
      </c>
      <c r="F2712" s="4" t="s">
        <v>30</v>
      </c>
      <c r="G2712" s="4" t="s">
        <v>40</v>
      </c>
      <c r="H2712" s="4">
        <v>4</v>
      </c>
      <c r="I2712" s="4">
        <v>1</v>
      </c>
      <c r="J2712" s="1">
        <v>45673</v>
      </c>
      <c r="K2712" s="2">
        <v>2.7922453703703703E-2</v>
      </c>
      <c r="M2712" s="4" t="str">
        <f t="shared" si="126"/>
        <v>LOW</v>
      </c>
      <c r="N2712" s="4" t="str" cm="1">
        <f t="array" ref="N2712">_xlfn.IFS(C2712&gt;35,"HIGH",C2712&gt;25,"MIDDLE",TRUE,"LOW")</f>
        <v>MIDDLE</v>
      </c>
      <c r="O2712" s="4" t="str">
        <f t="shared" si="127"/>
        <v>OTHERS</v>
      </c>
      <c r="P2712" s="4" t="str">
        <f t="shared" si="128"/>
        <v>OTHERS</v>
      </c>
    </row>
    <row r="2713" spans="1:16" x14ac:dyDescent="0.3">
      <c r="A2713" s="4">
        <v>7</v>
      </c>
      <c r="B2713" t="s">
        <v>11</v>
      </c>
      <c r="C2713" s="4">
        <v>35.76</v>
      </c>
      <c r="D2713" t="s">
        <v>21</v>
      </c>
      <c r="E2713" t="s">
        <v>13</v>
      </c>
      <c r="F2713" s="4" t="s">
        <v>14</v>
      </c>
      <c r="G2713" s="4" t="s">
        <v>40</v>
      </c>
      <c r="H2713" s="4">
        <v>5</v>
      </c>
      <c r="I2713" s="4">
        <v>1</v>
      </c>
      <c r="J2713" s="1">
        <v>45674</v>
      </c>
      <c r="K2713" s="2">
        <v>2.6618055555555558E-2</v>
      </c>
      <c r="M2713" s="4" t="str">
        <f t="shared" si="126"/>
        <v>HIGH</v>
      </c>
      <c r="N2713" s="4" t="str" cm="1">
        <f t="array" ref="N2713">_xlfn.IFS(C2713&gt;35,"HIGH",C2713&gt;25,"MIDDLE",TRUE,"LOW")</f>
        <v>HIGH</v>
      </c>
      <c r="O2713" s="4" t="str">
        <f t="shared" si="127"/>
        <v>PREMINUM MORNING</v>
      </c>
      <c r="P2713" s="4" t="str">
        <f t="shared" si="128"/>
        <v>PREMINUM MORNING</v>
      </c>
    </row>
    <row r="2714" spans="1:16" x14ac:dyDescent="0.3">
      <c r="A2714" s="4">
        <v>8</v>
      </c>
      <c r="B2714" t="s">
        <v>11</v>
      </c>
      <c r="C2714" s="4">
        <v>35.76</v>
      </c>
      <c r="D2714" t="s">
        <v>12</v>
      </c>
      <c r="E2714" t="s">
        <v>13</v>
      </c>
      <c r="F2714" s="4" t="s">
        <v>14</v>
      </c>
      <c r="G2714" s="4" t="s">
        <v>40</v>
      </c>
      <c r="H2714" s="4">
        <v>5</v>
      </c>
      <c r="I2714" s="4">
        <v>1</v>
      </c>
      <c r="J2714" s="1">
        <v>45674</v>
      </c>
      <c r="K2714" s="2">
        <v>1.8296296296296297E-2</v>
      </c>
      <c r="M2714" s="4" t="str">
        <f t="shared" si="126"/>
        <v>HIGH</v>
      </c>
      <c r="N2714" s="4" t="str" cm="1">
        <f t="array" ref="N2714">_xlfn.IFS(C2714&gt;35,"HIGH",C2714&gt;25,"MIDDLE",TRUE,"LOW")</f>
        <v>HIGH</v>
      </c>
      <c r="O2714" s="4" t="str">
        <f t="shared" si="127"/>
        <v>PREMINUM MORNING</v>
      </c>
      <c r="P2714" s="4" t="str">
        <f t="shared" si="128"/>
        <v>PREMINUM MORNING</v>
      </c>
    </row>
    <row r="2715" spans="1:16" x14ac:dyDescent="0.3">
      <c r="A2715" s="4">
        <v>8</v>
      </c>
      <c r="B2715" t="s">
        <v>11</v>
      </c>
      <c r="C2715" s="4">
        <v>35.76</v>
      </c>
      <c r="D2715" t="s">
        <v>29</v>
      </c>
      <c r="E2715" t="s">
        <v>13</v>
      </c>
      <c r="F2715" s="4" t="s">
        <v>14</v>
      </c>
      <c r="G2715" s="4" t="s">
        <v>40</v>
      </c>
      <c r="H2715" s="4">
        <v>5</v>
      </c>
      <c r="I2715" s="4">
        <v>1</v>
      </c>
      <c r="J2715" s="1">
        <v>45674</v>
      </c>
      <c r="K2715" s="2">
        <v>1.9310185185185187E-2</v>
      </c>
      <c r="M2715" s="4" t="str">
        <f t="shared" si="126"/>
        <v>HIGH</v>
      </c>
      <c r="N2715" s="4" t="str" cm="1">
        <f t="array" ref="N2715">_xlfn.IFS(C2715&gt;35,"HIGH",C2715&gt;25,"MIDDLE",TRUE,"LOW")</f>
        <v>HIGH</v>
      </c>
      <c r="O2715" s="4" t="str">
        <f t="shared" si="127"/>
        <v>PREMINUM MORNING</v>
      </c>
      <c r="P2715" s="4" t="str">
        <f t="shared" si="128"/>
        <v>PREMINUM MORNING</v>
      </c>
    </row>
    <row r="2716" spans="1:16" x14ac:dyDescent="0.3">
      <c r="A2716" s="4">
        <v>8</v>
      </c>
      <c r="B2716" t="s">
        <v>11</v>
      </c>
      <c r="C2716" s="4">
        <v>30.86</v>
      </c>
      <c r="D2716" t="s">
        <v>19</v>
      </c>
      <c r="E2716" t="s">
        <v>13</v>
      </c>
      <c r="F2716" s="4" t="s">
        <v>14</v>
      </c>
      <c r="G2716" s="4" t="s">
        <v>40</v>
      </c>
      <c r="H2716" s="4">
        <v>5</v>
      </c>
      <c r="I2716" s="4">
        <v>1</v>
      </c>
      <c r="J2716" s="1">
        <v>45674</v>
      </c>
      <c r="K2716" s="2">
        <v>3.3288194444444447E-2</v>
      </c>
      <c r="M2716" s="4" t="str">
        <f t="shared" si="126"/>
        <v>LOW</v>
      </c>
      <c r="N2716" s="4" t="str" cm="1">
        <f t="array" ref="N2716">_xlfn.IFS(C2716&gt;35,"HIGH",C2716&gt;25,"MIDDLE",TRUE,"LOW")</f>
        <v>MIDDLE</v>
      </c>
      <c r="O2716" s="4" t="str">
        <f t="shared" si="127"/>
        <v>OTHERS</v>
      </c>
      <c r="P2716" s="4" t="str">
        <f t="shared" si="128"/>
        <v>PREMINUM MORNING</v>
      </c>
    </row>
    <row r="2717" spans="1:16" x14ac:dyDescent="0.3">
      <c r="A2717" s="4">
        <v>9</v>
      </c>
      <c r="B2717" t="s">
        <v>11</v>
      </c>
      <c r="C2717" s="4">
        <v>30.86</v>
      </c>
      <c r="D2717" t="s">
        <v>19</v>
      </c>
      <c r="E2717" t="s">
        <v>13</v>
      </c>
      <c r="F2717" s="4" t="s">
        <v>14</v>
      </c>
      <c r="G2717" s="4" t="s">
        <v>40</v>
      </c>
      <c r="H2717" s="4">
        <v>5</v>
      </c>
      <c r="I2717" s="4">
        <v>1</v>
      </c>
      <c r="J2717" s="1">
        <v>45674</v>
      </c>
      <c r="K2717" s="2">
        <v>1.9194444444444445E-2</v>
      </c>
      <c r="M2717" s="4" t="str">
        <f t="shared" si="126"/>
        <v>LOW</v>
      </c>
      <c r="N2717" s="4" t="str" cm="1">
        <f t="array" ref="N2717">_xlfn.IFS(C2717&gt;35,"HIGH",C2717&gt;25,"MIDDLE",TRUE,"LOW")</f>
        <v>MIDDLE</v>
      </c>
      <c r="O2717" s="4" t="str">
        <f t="shared" si="127"/>
        <v>OTHERS</v>
      </c>
      <c r="P2717" s="4" t="str">
        <f t="shared" si="128"/>
        <v>PREMINUM MORNING</v>
      </c>
    </row>
    <row r="2718" spans="1:16" x14ac:dyDescent="0.3">
      <c r="A2718" s="4">
        <v>14</v>
      </c>
      <c r="B2718" t="s">
        <v>11</v>
      </c>
      <c r="C2718" s="4">
        <v>35.76</v>
      </c>
      <c r="D2718" t="s">
        <v>21</v>
      </c>
      <c r="E2718" t="s">
        <v>17</v>
      </c>
      <c r="F2718" s="4" t="s">
        <v>14</v>
      </c>
      <c r="G2718" s="4" t="s">
        <v>40</v>
      </c>
      <c r="H2718" s="4">
        <v>5</v>
      </c>
      <c r="I2718" s="4">
        <v>1</v>
      </c>
      <c r="J2718" s="1">
        <v>45674</v>
      </c>
      <c r="K2718" s="2">
        <v>1.4513888888888889E-2</v>
      </c>
      <c r="M2718" s="4" t="str">
        <f t="shared" si="126"/>
        <v>HIGH</v>
      </c>
      <c r="N2718" s="4" t="str" cm="1">
        <f t="array" ref="N2718">_xlfn.IFS(C2718&gt;35,"HIGH",C2718&gt;25,"MIDDLE",TRUE,"LOW")</f>
        <v>HIGH</v>
      </c>
      <c r="O2718" s="4" t="str">
        <f t="shared" si="127"/>
        <v>OTHERS</v>
      </c>
      <c r="P2718" s="4" t="str">
        <f t="shared" si="128"/>
        <v>PREMINUM MORNING</v>
      </c>
    </row>
    <row r="2719" spans="1:16" x14ac:dyDescent="0.3">
      <c r="A2719" s="4">
        <v>14</v>
      </c>
      <c r="B2719" t="s">
        <v>11</v>
      </c>
      <c r="C2719" s="4">
        <v>35.76</v>
      </c>
      <c r="D2719" t="s">
        <v>21</v>
      </c>
      <c r="E2719" t="s">
        <v>17</v>
      </c>
      <c r="F2719" s="4" t="s">
        <v>14</v>
      </c>
      <c r="G2719" s="4" t="s">
        <v>40</v>
      </c>
      <c r="H2719" s="4">
        <v>5</v>
      </c>
      <c r="I2719" s="4">
        <v>1</v>
      </c>
      <c r="J2719" s="1">
        <v>45674</v>
      </c>
      <c r="K2719" s="2">
        <v>1.5309027777777779E-2</v>
      </c>
      <c r="M2719" s="4" t="str">
        <f t="shared" si="126"/>
        <v>HIGH</v>
      </c>
      <c r="N2719" s="4" t="str" cm="1">
        <f t="array" ref="N2719">_xlfn.IFS(C2719&gt;35,"HIGH",C2719&gt;25,"MIDDLE",TRUE,"LOW")</f>
        <v>HIGH</v>
      </c>
      <c r="O2719" s="4" t="str">
        <f t="shared" si="127"/>
        <v>OTHERS</v>
      </c>
      <c r="P2719" s="4" t="str">
        <f t="shared" si="128"/>
        <v>PREMINUM MORNING</v>
      </c>
    </row>
    <row r="2720" spans="1:16" x14ac:dyDescent="0.3">
      <c r="A2720" s="4">
        <v>17</v>
      </c>
      <c r="B2720" t="s">
        <v>11</v>
      </c>
      <c r="C2720" s="4">
        <v>35.76</v>
      </c>
      <c r="D2720" t="s">
        <v>16</v>
      </c>
      <c r="E2720" t="s">
        <v>20</v>
      </c>
      <c r="F2720" s="4" t="s">
        <v>14</v>
      </c>
      <c r="G2720" s="4" t="s">
        <v>40</v>
      </c>
      <c r="H2720" s="4">
        <v>5</v>
      </c>
      <c r="I2720" s="4">
        <v>1</v>
      </c>
      <c r="J2720" s="1">
        <v>45674</v>
      </c>
      <c r="K2720" s="2">
        <v>2.7206018518518518E-2</v>
      </c>
      <c r="M2720" s="4" t="str">
        <f t="shared" si="126"/>
        <v>HIGH</v>
      </c>
      <c r="N2720" s="4" t="str" cm="1">
        <f t="array" ref="N2720">_xlfn.IFS(C2720&gt;35,"HIGH",C2720&gt;25,"MIDDLE",TRUE,"LOW")</f>
        <v>HIGH</v>
      </c>
      <c r="O2720" s="4" t="str">
        <f t="shared" si="127"/>
        <v>OTHERS</v>
      </c>
      <c r="P2720" s="4" t="str">
        <f t="shared" si="128"/>
        <v>PREMINUM MORNING</v>
      </c>
    </row>
    <row r="2721" spans="1:16" x14ac:dyDescent="0.3">
      <c r="A2721" s="4">
        <v>21</v>
      </c>
      <c r="B2721" t="s">
        <v>11</v>
      </c>
      <c r="C2721" s="4">
        <v>35.76</v>
      </c>
      <c r="D2721" t="s">
        <v>16</v>
      </c>
      <c r="E2721" t="s">
        <v>20</v>
      </c>
      <c r="F2721" s="4" t="s">
        <v>14</v>
      </c>
      <c r="G2721" s="4" t="s">
        <v>40</v>
      </c>
      <c r="H2721" s="4">
        <v>5</v>
      </c>
      <c r="I2721" s="4">
        <v>1</v>
      </c>
      <c r="J2721" s="1">
        <v>45674</v>
      </c>
      <c r="K2721" s="2">
        <v>1.5497685185185186E-2</v>
      </c>
      <c r="M2721" s="4" t="str">
        <f t="shared" si="126"/>
        <v>HIGH</v>
      </c>
      <c r="N2721" s="4" t="str" cm="1">
        <f t="array" ref="N2721">_xlfn.IFS(C2721&gt;35,"HIGH",C2721&gt;25,"MIDDLE",TRUE,"LOW")</f>
        <v>HIGH</v>
      </c>
      <c r="O2721" s="4" t="str">
        <f t="shared" si="127"/>
        <v>OTHERS</v>
      </c>
      <c r="P2721" s="4" t="str">
        <f t="shared" si="128"/>
        <v>PREMINUM MORNING</v>
      </c>
    </row>
    <row r="2722" spans="1:16" x14ac:dyDescent="0.3">
      <c r="A2722" s="4">
        <v>10</v>
      </c>
      <c r="B2722" t="s">
        <v>11</v>
      </c>
      <c r="C2722" s="4">
        <v>30.86</v>
      </c>
      <c r="D2722" t="s">
        <v>19</v>
      </c>
      <c r="E2722" t="s">
        <v>13</v>
      </c>
      <c r="F2722" s="4" t="s">
        <v>22</v>
      </c>
      <c r="G2722" s="4" t="s">
        <v>40</v>
      </c>
      <c r="H2722" s="4">
        <v>6</v>
      </c>
      <c r="I2722" s="4">
        <v>1</v>
      </c>
      <c r="J2722" s="1">
        <v>45675</v>
      </c>
      <c r="K2722" s="2">
        <v>8.7754629629629641E-3</v>
      </c>
      <c r="M2722" s="4" t="str">
        <f t="shared" si="126"/>
        <v>LOW</v>
      </c>
      <c r="N2722" s="4" t="str" cm="1">
        <f t="array" ref="N2722">_xlfn.IFS(C2722&gt;35,"HIGH",C2722&gt;25,"MIDDLE",TRUE,"LOW")</f>
        <v>MIDDLE</v>
      </c>
      <c r="O2722" s="4" t="str">
        <f t="shared" si="127"/>
        <v>OTHERS</v>
      </c>
      <c r="P2722" s="4" t="str">
        <f t="shared" si="128"/>
        <v>PREMINUM MORNING</v>
      </c>
    </row>
    <row r="2723" spans="1:16" x14ac:dyDescent="0.3">
      <c r="A2723" s="4">
        <v>16</v>
      </c>
      <c r="B2723" t="s">
        <v>11</v>
      </c>
      <c r="C2723" s="4">
        <v>35.76</v>
      </c>
      <c r="D2723" t="s">
        <v>16</v>
      </c>
      <c r="E2723" t="s">
        <v>17</v>
      </c>
      <c r="F2723" s="4" t="s">
        <v>22</v>
      </c>
      <c r="G2723" s="4" t="s">
        <v>40</v>
      </c>
      <c r="H2723" s="4">
        <v>6</v>
      </c>
      <c r="I2723" s="4">
        <v>1</v>
      </c>
      <c r="J2723" s="1">
        <v>45675</v>
      </c>
      <c r="K2723" s="2">
        <v>2.3380787037037037E-2</v>
      </c>
      <c r="M2723" s="4" t="str">
        <f t="shared" si="126"/>
        <v>HIGH</v>
      </c>
      <c r="N2723" s="4" t="str" cm="1">
        <f t="array" ref="N2723">_xlfn.IFS(C2723&gt;35,"HIGH",C2723&gt;25,"MIDDLE",TRUE,"LOW")</f>
        <v>HIGH</v>
      </c>
      <c r="O2723" s="4" t="str">
        <f t="shared" si="127"/>
        <v>OTHERS</v>
      </c>
      <c r="P2723" s="4" t="str">
        <f t="shared" si="128"/>
        <v>PREMINUM MORNING</v>
      </c>
    </row>
    <row r="2724" spans="1:16" x14ac:dyDescent="0.3">
      <c r="A2724" s="4">
        <v>16</v>
      </c>
      <c r="B2724" t="s">
        <v>11</v>
      </c>
      <c r="C2724" s="4">
        <v>35.76</v>
      </c>
      <c r="D2724" t="s">
        <v>12</v>
      </c>
      <c r="E2724" t="s">
        <v>17</v>
      </c>
      <c r="F2724" s="4" t="s">
        <v>22</v>
      </c>
      <c r="G2724" s="4" t="s">
        <v>40</v>
      </c>
      <c r="H2724" s="4">
        <v>6</v>
      </c>
      <c r="I2724" s="4">
        <v>1</v>
      </c>
      <c r="J2724" s="1">
        <v>45675</v>
      </c>
      <c r="K2724" s="2">
        <v>2.4469907407407405E-2</v>
      </c>
      <c r="M2724" s="4" t="str">
        <f t="shared" si="126"/>
        <v>HIGH</v>
      </c>
      <c r="N2724" s="4" t="str" cm="1">
        <f t="array" ref="N2724">_xlfn.IFS(C2724&gt;35,"HIGH",C2724&gt;25,"MIDDLE",TRUE,"LOW")</f>
        <v>HIGH</v>
      </c>
      <c r="O2724" s="4" t="str">
        <f t="shared" si="127"/>
        <v>OTHERS</v>
      </c>
      <c r="P2724" s="4" t="str">
        <f t="shared" si="128"/>
        <v>PREMINUM MORNING</v>
      </c>
    </row>
    <row r="2725" spans="1:16" x14ac:dyDescent="0.3">
      <c r="A2725" s="4">
        <v>16</v>
      </c>
      <c r="B2725" t="s">
        <v>11</v>
      </c>
      <c r="C2725" s="4">
        <v>35.76</v>
      </c>
      <c r="D2725" t="s">
        <v>16</v>
      </c>
      <c r="E2725" t="s">
        <v>17</v>
      </c>
      <c r="F2725" s="4" t="s">
        <v>22</v>
      </c>
      <c r="G2725" s="4" t="s">
        <v>40</v>
      </c>
      <c r="H2725" s="4">
        <v>6</v>
      </c>
      <c r="I2725" s="4">
        <v>1</v>
      </c>
      <c r="J2725" s="1">
        <v>45675</v>
      </c>
      <c r="K2725" s="2">
        <v>2.5335648148148149E-2</v>
      </c>
      <c r="M2725" s="4" t="str">
        <f t="shared" si="126"/>
        <v>HIGH</v>
      </c>
      <c r="N2725" s="4" t="str" cm="1">
        <f t="array" ref="N2725">_xlfn.IFS(C2725&gt;35,"HIGH",C2725&gt;25,"MIDDLE",TRUE,"LOW")</f>
        <v>HIGH</v>
      </c>
      <c r="O2725" s="4" t="str">
        <f t="shared" si="127"/>
        <v>OTHERS</v>
      </c>
      <c r="P2725" s="4" t="str">
        <f t="shared" si="128"/>
        <v>PREMINUM MORNING</v>
      </c>
    </row>
    <row r="2726" spans="1:16" x14ac:dyDescent="0.3">
      <c r="A2726" s="4">
        <v>8</v>
      </c>
      <c r="B2726" t="s">
        <v>11</v>
      </c>
      <c r="C2726" s="4">
        <v>30.86</v>
      </c>
      <c r="D2726" t="s">
        <v>19</v>
      </c>
      <c r="E2726" t="s">
        <v>13</v>
      </c>
      <c r="F2726" s="4" t="s">
        <v>25</v>
      </c>
      <c r="G2726" s="4" t="s">
        <v>40</v>
      </c>
      <c r="H2726" s="4">
        <v>1</v>
      </c>
      <c r="I2726" s="4">
        <v>1</v>
      </c>
      <c r="J2726" s="1">
        <v>45677</v>
      </c>
      <c r="K2726" s="2">
        <v>2.0694444444444446E-2</v>
      </c>
      <c r="M2726" s="4" t="str">
        <f t="shared" si="126"/>
        <v>LOW</v>
      </c>
      <c r="N2726" s="4" t="str" cm="1">
        <f t="array" ref="N2726">_xlfn.IFS(C2726&gt;35,"HIGH",C2726&gt;25,"MIDDLE",TRUE,"LOW")</f>
        <v>MIDDLE</v>
      </c>
      <c r="O2726" s="4" t="str">
        <f t="shared" si="127"/>
        <v>OTHERS</v>
      </c>
      <c r="P2726" s="4" t="str">
        <f t="shared" si="128"/>
        <v>PREMINUM MORNING</v>
      </c>
    </row>
    <row r="2727" spans="1:16" x14ac:dyDescent="0.3">
      <c r="A2727" s="4">
        <v>10</v>
      </c>
      <c r="B2727" t="s">
        <v>11</v>
      </c>
      <c r="C2727" s="4">
        <v>30.86</v>
      </c>
      <c r="D2727" t="s">
        <v>19</v>
      </c>
      <c r="E2727" t="s">
        <v>13</v>
      </c>
      <c r="F2727" s="4" t="s">
        <v>25</v>
      </c>
      <c r="G2727" s="4" t="s">
        <v>40</v>
      </c>
      <c r="H2727" s="4">
        <v>1</v>
      </c>
      <c r="I2727" s="4">
        <v>1</v>
      </c>
      <c r="J2727" s="1">
        <v>45677</v>
      </c>
      <c r="K2727" s="2">
        <v>3.9875000000000001E-2</v>
      </c>
      <c r="M2727" s="4" t="str">
        <f t="shared" si="126"/>
        <v>LOW</v>
      </c>
      <c r="N2727" s="4" t="str" cm="1">
        <f t="array" ref="N2727">_xlfn.IFS(C2727&gt;35,"HIGH",C2727&gt;25,"MIDDLE",TRUE,"LOW")</f>
        <v>MIDDLE</v>
      </c>
      <c r="O2727" s="4" t="str">
        <f t="shared" si="127"/>
        <v>OTHERS</v>
      </c>
      <c r="P2727" s="4" t="str">
        <f t="shared" si="128"/>
        <v>PREMINUM MORNING</v>
      </c>
    </row>
    <row r="2728" spans="1:16" x14ac:dyDescent="0.3">
      <c r="A2728" s="4">
        <v>11</v>
      </c>
      <c r="B2728" t="s">
        <v>11</v>
      </c>
      <c r="C2728" s="4">
        <v>25.96</v>
      </c>
      <c r="D2728" t="s">
        <v>24</v>
      </c>
      <c r="E2728" t="s">
        <v>13</v>
      </c>
      <c r="F2728" s="4" t="s">
        <v>25</v>
      </c>
      <c r="G2728" s="4" t="s">
        <v>40</v>
      </c>
      <c r="H2728" s="4">
        <v>1</v>
      </c>
      <c r="I2728" s="4">
        <v>1</v>
      </c>
      <c r="J2728" s="1">
        <v>45677</v>
      </c>
      <c r="K2728" s="2">
        <v>2.8055555555555556E-2</v>
      </c>
      <c r="M2728" s="4" t="str">
        <f t="shared" si="126"/>
        <v>LOW</v>
      </c>
      <c r="N2728" s="4" t="str" cm="1">
        <f t="array" ref="N2728">_xlfn.IFS(C2728&gt;35,"HIGH",C2728&gt;25,"MIDDLE",TRUE,"LOW")</f>
        <v>MIDDLE</v>
      </c>
      <c r="O2728" s="4" t="str">
        <f t="shared" si="127"/>
        <v>OTHERS</v>
      </c>
      <c r="P2728" s="4" t="str">
        <f t="shared" si="128"/>
        <v>PREMINUM MORNING</v>
      </c>
    </row>
    <row r="2729" spans="1:16" x14ac:dyDescent="0.3">
      <c r="A2729" s="4">
        <v>12</v>
      </c>
      <c r="B2729" t="s">
        <v>11</v>
      </c>
      <c r="C2729" s="4">
        <v>25.96</v>
      </c>
      <c r="D2729" t="s">
        <v>18</v>
      </c>
      <c r="E2729" t="s">
        <v>17</v>
      </c>
      <c r="F2729" s="4" t="s">
        <v>25</v>
      </c>
      <c r="G2729" s="4" t="s">
        <v>40</v>
      </c>
      <c r="H2729" s="4">
        <v>1</v>
      </c>
      <c r="I2729" s="4">
        <v>1</v>
      </c>
      <c r="J2729" s="1">
        <v>45677</v>
      </c>
      <c r="K2729" s="2">
        <v>3.3553240740740739E-3</v>
      </c>
      <c r="M2729" s="4" t="str">
        <f t="shared" si="126"/>
        <v>LOW</v>
      </c>
      <c r="N2729" s="4" t="str" cm="1">
        <f t="array" ref="N2729">_xlfn.IFS(C2729&gt;35,"HIGH",C2729&gt;25,"MIDDLE",TRUE,"LOW")</f>
        <v>MIDDLE</v>
      </c>
      <c r="O2729" s="4" t="str">
        <f t="shared" si="127"/>
        <v>OTHERS</v>
      </c>
      <c r="P2729" s="4" t="str">
        <f t="shared" si="128"/>
        <v>OTHERS</v>
      </c>
    </row>
    <row r="2730" spans="1:16" x14ac:dyDescent="0.3">
      <c r="A2730" s="4">
        <v>12</v>
      </c>
      <c r="B2730" t="s">
        <v>11</v>
      </c>
      <c r="C2730" s="4">
        <v>25.96</v>
      </c>
      <c r="D2730" t="s">
        <v>24</v>
      </c>
      <c r="E2730" t="s">
        <v>17</v>
      </c>
      <c r="F2730" s="4" t="s">
        <v>25</v>
      </c>
      <c r="G2730" s="4" t="s">
        <v>40</v>
      </c>
      <c r="H2730" s="4">
        <v>1</v>
      </c>
      <c r="I2730" s="4">
        <v>1</v>
      </c>
      <c r="J2730" s="1">
        <v>45677</v>
      </c>
      <c r="K2730" s="2">
        <v>4.1747685185185186E-3</v>
      </c>
      <c r="M2730" s="4" t="str">
        <f t="shared" si="126"/>
        <v>LOW</v>
      </c>
      <c r="N2730" s="4" t="str" cm="1">
        <f t="array" ref="N2730">_xlfn.IFS(C2730&gt;35,"HIGH",C2730&gt;25,"MIDDLE",TRUE,"LOW")</f>
        <v>MIDDLE</v>
      </c>
      <c r="O2730" s="4" t="str">
        <f t="shared" si="127"/>
        <v>OTHERS</v>
      </c>
      <c r="P2730" s="4" t="str">
        <f t="shared" si="128"/>
        <v>OTHERS</v>
      </c>
    </row>
    <row r="2731" spans="1:16" x14ac:dyDescent="0.3">
      <c r="A2731" s="4">
        <v>13</v>
      </c>
      <c r="B2731" t="s">
        <v>11</v>
      </c>
      <c r="C2731" s="4">
        <v>30.86</v>
      </c>
      <c r="D2731" t="s">
        <v>19</v>
      </c>
      <c r="E2731" t="s">
        <v>17</v>
      </c>
      <c r="F2731" s="4" t="s">
        <v>25</v>
      </c>
      <c r="G2731" s="4" t="s">
        <v>40</v>
      </c>
      <c r="H2731" s="4">
        <v>1</v>
      </c>
      <c r="I2731" s="4">
        <v>1</v>
      </c>
      <c r="J2731" s="1">
        <v>45677</v>
      </c>
      <c r="K2731" s="2">
        <v>3.1413194444444445E-2</v>
      </c>
      <c r="M2731" s="4" t="str">
        <f t="shared" si="126"/>
        <v>LOW</v>
      </c>
      <c r="N2731" s="4" t="str" cm="1">
        <f t="array" ref="N2731">_xlfn.IFS(C2731&gt;35,"HIGH",C2731&gt;25,"MIDDLE",TRUE,"LOW")</f>
        <v>MIDDLE</v>
      </c>
      <c r="O2731" s="4" t="str">
        <f t="shared" si="127"/>
        <v>OTHERS</v>
      </c>
      <c r="P2731" s="4" t="str">
        <f t="shared" si="128"/>
        <v>OTHERS</v>
      </c>
    </row>
    <row r="2732" spans="1:16" x14ac:dyDescent="0.3">
      <c r="A2732" s="4">
        <v>20</v>
      </c>
      <c r="B2732" t="s">
        <v>11</v>
      </c>
      <c r="C2732" s="4">
        <v>35.76</v>
      </c>
      <c r="D2732" t="s">
        <v>16</v>
      </c>
      <c r="E2732" t="s">
        <v>20</v>
      </c>
      <c r="F2732" s="4" t="s">
        <v>25</v>
      </c>
      <c r="G2732" s="4" t="s">
        <v>40</v>
      </c>
      <c r="H2732" s="4">
        <v>1</v>
      </c>
      <c r="I2732" s="4">
        <v>1</v>
      </c>
      <c r="J2732" s="1">
        <v>45677</v>
      </c>
      <c r="K2732" s="2">
        <v>5.6874999999999998E-3</v>
      </c>
      <c r="M2732" s="4" t="str">
        <f t="shared" si="126"/>
        <v>HIGH</v>
      </c>
      <c r="N2732" s="4" t="str" cm="1">
        <f t="array" ref="N2732">_xlfn.IFS(C2732&gt;35,"HIGH",C2732&gt;25,"MIDDLE",TRUE,"LOW")</f>
        <v>HIGH</v>
      </c>
      <c r="O2732" s="4" t="str">
        <f t="shared" si="127"/>
        <v>OTHERS</v>
      </c>
      <c r="P2732" s="4" t="str">
        <f t="shared" si="128"/>
        <v>PREMINUM MORNING</v>
      </c>
    </row>
    <row r="2733" spans="1:16" x14ac:dyDescent="0.3">
      <c r="A2733" s="4">
        <v>20</v>
      </c>
      <c r="B2733" t="s">
        <v>11</v>
      </c>
      <c r="C2733" s="4">
        <v>35.76</v>
      </c>
      <c r="D2733" t="s">
        <v>29</v>
      </c>
      <c r="E2733" t="s">
        <v>20</v>
      </c>
      <c r="F2733" s="4" t="s">
        <v>25</v>
      </c>
      <c r="G2733" s="4" t="s">
        <v>40</v>
      </c>
      <c r="H2733" s="4">
        <v>1</v>
      </c>
      <c r="I2733" s="4">
        <v>1</v>
      </c>
      <c r="J2733" s="1">
        <v>45677</v>
      </c>
      <c r="K2733" s="2">
        <v>1.8343750000000002E-2</v>
      </c>
      <c r="M2733" s="4" t="str">
        <f t="shared" si="126"/>
        <v>HIGH</v>
      </c>
      <c r="N2733" s="4" t="str" cm="1">
        <f t="array" ref="N2733">_xlfn.IFS(C2733&gt;35,"HIGH",C2733&gt;25,"MIDDLE",TRUE,"LOW")</f>
        <v>HIGH</v>
      </c>
      <c r="O2733" s="4" t="str">
        <f t="shared" si="127"/>
        <v>OTHERS</v>
      </c>
      <c r="P2733" s="4" t="str">
        <f t="shared" si="128"/>
        <v>PREMINUM MORNING</v>
      </c>
    </row>
    <row r="2734" spans="1:16" x14ac:dyDescent="0.3">
      <c r="A2734" s="4">
        <v>20</v>
      </c>
      <c r="B2734" t="s">
        <v>11</v>
      </c>
      <c r="C2734" s="4">
        <v>35.76</v>
      </c>
      <c r="D2734" t="s">
        <v>29</v>
      </c>
      <c r="E2734" t="s">
        <v>20</v>
      </c>
      <c r="F2734" s="4" t="s">
        <v>25</v>
      </c>
      <c r="G2734" s="4" t="s">
        <v>40</v>
      </c>
      <c r="H2734" s="4">
        <v>1</v>
      </c>
      <c r="I2734" s="4">
        <v>1</v>
      </c>
      <c r="J2734" s="1">
        <v>45677</v>
      </c>
      <c r="K2734" s="2">
        <v>1.9085648148148147E-2</v>
      </c>
      <c r="M2734" s="4" t="str">
        <f t="shared" si="126"/>
        <v>HIGH</v>
      </c>
      <c r="N2734" s="4" t="str" cm="1">
        <f t="array" ref="N2734">_xlfn.IFS(C2734&gt;35,"HIGH",C2734&gt;25,"MIDDLE",TRUE,"LOW")</f>
        <v>HIGH</v>
      </c>
      <c r="O2734" s="4" t="str">
        <f t="shared" si="127"/>
        <v>OTHERS</v>
      </c>
      <c r="P2734" s="4" t="str">
        <f t="shared" si="128"/>
        <v>PREMINUM MORNING</v>
      </c>
    </row>
    <row r="2735" spans="1:16" x14ac:dyDescent="0.3">
      <c r="A2735" s="4">
        <v>21</v>
      </c>
      <c r="B2735" t="s">
        <v>11</v>
      </c>
      <c r="C2735" s="4">
        <v>35.76</v>
      </c>
      <c r="D2735" t="s">
        <v>12</v>
      </c>
      <c r="E2735" t="s">
        <v>20</v>
      </c>
      <c r="F2735" s="4" t="s">
        <v>25</v>
      </c>
      <c r="G2735" s="4" t="s">
        <v>40</v>
      </c>
      <c r="H2735" s="4">
        <v>1</v>
      </c>
      <c r="I2735" s="4">
        <v>1</v>
      </c>
      <c r="J2735" s="1">
        <v>45677</v>
      </c>
      <c r="K2735" s="2">
        <v>9.5532407407407406E-3</v>
      </c>
      <c r="M2735" s="4" t="str">
        <f t="shared" si="126"/>
        <v>HIGH</v>
      </c>
      <c r="N2735" s="4" t="str" cm="1">
        <f t="array" ref="N2735">_xlfn.IFS(C2735&gt;35,"HIGH",C2735&gt;25,"MIDDLE",TRUE,"LOW")</f>
        <v>HIGH</v>
      </c>
      <c r="O2735" s="4" t="str">
        <f t="shared" si="127"/>
        <v>OTHERS</v>
      </c>
      <c r="P2735" s="4" t="str">
        <f t="shared" si="128"/>
        <v>PREMINUM MORNING</v>
      </c>
    </row>
    <row r="2736" spans="1:16" x14ac:dyDescent="0.3">
      <c r="A2736" s="4">
        <v>8</v>
      </c>
      <c r="B2736" t="s">
        <v>11</v>
      </c>
      <c r="C2736" s="4">
        <v>35.76</v>
      </c>
      <c r="D2736" t="s">
        <v>21</v>
      </c>
      <c r="E2736" t="s">
        <v>13</v>
      </c>
      <c r="F2736" s="4" t="s">
        <v>27</v>
      </c>
      <c r="G2736" s="4" t="s">
        <v>40</v>
      </c>
      <c r="H2736" s="4">
        <v>2</v>
      </c>
      <c r="I2736" s="4">
        <v>1</v>
      </c>
      <c r="J2736" s="1">
        <v>45678</v>
      </c>
      <c r="K2736" s="2">
        <v>3.5219907407407409E-3</v>
      </c>
      <c r="M2736" s="4" t="str">
        <f t="shared" si="126"/>
        <v>HIGH</v>
      </c>
      <c r="N2736" s="4" t="str" cm="1">
        <f t="array" ref="N2736">_xlfn.IFS(C2736&gt;35,"HIGH",C2736&gt;25,"MIDDLE",TRUE,"LOW")</f>
        <v>HIGH</v>
      </c>
      <c r="O2736" s="4" t="str">
        <f t="shared" si="127"/>
        <v>PREMINUM MORNING</v>
      </c>
      <c r="P2736" s="4" t="str">
        <f t="shared" si="128"/>
        <v>PREMINUM MORNING</v>
      </c>
    </row>
    <row r="2737" spans="1:16" x14ac:dyDescent="0.3">
      <c r="A2737" s="4">
        <v>8</v>
      </c>
      <c r="B2737" t="s">
        <v>11</v>
      </c>
      <c r="C2737" s="4">
        <v>25.96</v>
      </c>
      <c r="D2737" t="s">
        <v>24</v>
      </c>
      <c r="E2737" t="s">
        <v>13</v>
      </c>
      <c r="F2737" s="4" t="s">
        <v>27</v>
      </c>
      <c r="G2737" s="4" t="s">
        <v>40</v>
      </c>
      <c r="H2737" s="4">
        <v>2</v>
      </c>
      <c r="I2737" s="4">
        <v>1</v>
      </c>
      <c r="J2737" s="1">
        <v>45678</v>
      </c>
      <c r="K2737" s="2">
        <v>1.272337962962963E-2</v>
      </c>
      <c r="M2737" s="4" t="str">
        <f t="shared" si="126"/>
        <v>LOW</v>
      </c>
      <c r="N2737" s="4" t="str" cm="1">
        <f t="array" ref="N2737">_xlfn.IFS(C2737&gt;35,"HIGH",C2737&gt;25,"MIDDLE",TRUE,"LOW")</f>
        <v>MIDDLE</v>
      </c>
      <c r="O2737" s="4" t="str">
        <f t="shared" si="127"/>
        <v>OTHERS</v>
      </c>
      <c r="P2737" s="4" t="str">
        <f t="shared" si="128"/>
        <v>PREMINUM MORNING</v>
      </c>
    </row>
    <row r="2738" spans="1:16" x14ac:dyDescent="0.3">
      <c r="A2738" s="4">
        <v>8</v>
      </c>
      <c r="B2738" t="s">
        <v>11</v>
      </c>
      <c r="C2738" s="4">
        <v>30.86</v>
      </c>
      <c r="D2738" t="s">
        <v>19</v>
      </c>
      <c r="E2738" t="s">
        <v>13</v>
      </c>
      <c r="F2738" s="4" t="s">
        <v>27</v>
      </c>
      <c r="G2738" s="4" t="s">
        <v>40</v>
      </c>
      <c r="H2738" s="4">
        <v>2</v>
      </c>
      <c r="I2738" s="4">
        <v>1</v>
      </c>
      <c r="J2738" s="1">
        <v>45678</v>
      </c>
      <c r="K2738" s="2">
        <v>1.3521990740740741E-2</v>
      </c>
      <c r="M2738" s="4" t="str">
        <f t="shared" si="126"/>
        <v>LOW</v>
      </c>
      <c r="N2738" s="4" t="str" cm="1">
        <f t="array" ref="N2738">_xlfn.IFS(C2738&gt;35,"HIGH",C2738&gt;25,"MIDDLE",TRUE,"LOW")</f>
        <v>MIDDLE</v>
      </c>
      <c r="O2738" s="4" t="str">
        <f t="shared" si="127"/>
        <v>OTHERS</v>
      </c>
      <c r="P2738" s="4" t="str">
        <f t="shared" si="128"/>
        <v>PREMINUM MORNING</v>
      </c>
    </row>
    <row r="2739" spans="1:16" x14ac:dyDescent="0.3">
      <c r="A2739" s="4">
        <v>15</v>
      </c>
      <c r="B2739" t="s">
        <v>11</v>
      </c>
      <c r="C2739" s="4">
        <v>25.96</v>
      </c>
      <c r="D2739" t="s">
        <v>18</v>
      </c>
      <c r="E2739" t="s">
        <v>17</v>
      </c>
      <c r="F2739" s="4" t="s">
        <v>27</v>
      </c>
      <c r="G2739" s="4" t="s">
        <v>40</v>
      </c>
      <c r="H2739" s="4">
        <v>2</v>
      </c>
      <c r="I2739" s="4">
        <v>1</v>
      </c>
      <c r="J2739" s="1">
        <v>45678</v>
      </c>
      <c r="K2739" s="2">
        <v>2.4496527777777777E-2</v>
      </c>
      <c r="M2739" s="4" t="str">
        <f t="shared" si="126"/>
        <v>LOW</v>
      </c>
      <c r="N2739" s="4" t="str" cm="1">
        <f t="array" ref="N2739">_xlfn.IFS(C2739&gt;35,"HIGH",C2739&gt;25,"MIDDLE",TRUE,"LOW")</f>
        <v>MIDDLE</v>
      </c>
      <c r="O2739" s="4" t="str">
        <f t="shared" si="127"/>
        <v>OTHERS</v>
      </c>
      <c r="P2739" s="4" t="str">
        <f t="shared" si="128"/>
        <v>OTHERS</v>
      </c>
    </row>
    <row r="2740" spans="1:16" x14ac:dyDescent="0.3">
      <c r="A2740" s="4">
        <v>18</v>
      </c>
      <c r="B2740" t="s">
        <v>11</v>
      </c>
      <c r="C2740" s="4">
        <v>35.76</v>
      </c>
      <c r="D2740" t="s">
        <v>16</v>
      </c>
      <c r="E2740" t="s">
        <v>20</v>
      </c>
      <c r="F2740" s="4" t="s">
        <v>27</v>
      </c>
      <c r="G2740" s="4" t="s">
        <v>40</v>
      </c>
      <c r="H2740" s="4">
        <v>2</v>
      </c>
      <c r="I2740" s="4">
        <v>1</v>
      </c>
      <c r="J2740" s="1">
        <v>45678</v>
      </c>
      <c r="K2740" s="2">
        <v>2.2600694444444444E-2</v>
      </c>
      <c r="M2740" s="4" t="str">
        <f t="shared" si="126"/>
        <v>HIGH</v>
      </c>
      <c r="N2740" s="4" t="str" cm="1">
        <f t="array" ref="N2740">_xlfn.IFS(C2740&gt;35,"HIGH",C2740&gt;25,"MIDDLE",TRUE,"LOW")</f>
        <v>HIGH</v>
      </c>
      <c r="O2740" s="4" t="str">
        <f t="shared" si="127"/>
        <v>OTHERS</v>
      </c>
      <c r="P2740" s="4" t="str">
        <f t="shared" si="128"/>
        <v>PREMINUM MORNING</v>
      </c>
    </row>
    <row r="2741" spans="1:16" x14ac:dyDescent="0.3">
      <c r="A2741" s="4">
        <v>18</v>
      </c>
      <c r="B2741" t="s">
        <v>11</v>
      </c>
      <c r="C2741" s="4">
        <v>35.76</v>
      </c>
      <c r="D2741" t="s">
        <v>12</v>
      </c>
      <c r="E2741" t="s">
        <v>20</v>
      </c>
      <c r="F2741" s="4" t="s">
        <v>27</v>
      </c>
      <c r="G2741" s="4" t="s">
        <v>40</v>
      </c>
      <c r="H2741" s="4">
        <v>2</v>
      </c>
      <c r="I2741" s="4">
        <v>1</v>
      </c>
      <c r="J2741" s="1">
        <v>45678</v>
      </c>
      <c r="K2741" s="2">
        <v>3.7655092592592594E-2</v>
      </c>
      <c r="M2741" s="4" t="str">
        <f t="shared" si="126"/>
        <v>HIGH</v>
      </c>
      <c r="N2741" s="4" t="str" cm="1">
        <f t="array" ref="N2741">_xlfn.IFS(C2741&gt;35,"HIGH",C2741&gt;25,"MIDDLE",TRUE,"LOW")</f>
        <v>HIGH</v>
      </c>
      <c r="O2741" s="4" t="str">
        <f t="shared" si="127"/>
        <v>OTHERS</v>
      </c>
      <c r="P2741" s="4" t="str">
        <f t="shared" si="128"/>
        <v>PREMINUM MORNING</v>
      </c>
    </row>
    <row r="2742" spans="1:16" x14ac:dyDescent="0.3">
      <c r="A2742" s="4">
        <v>18</v>
      </c>
      <c r="B2742" t="s">
        <v>11</v>
      </c>
      <c r="C2742" s="4">
        <v>35.76</v>
      </c>
      <c r="D2742" t="s">
        <v>12</v>
      </c>
      <c r="E2742" t="s">
        <v>20</v>
      </c>
      <c r="F2742" s="4" t="s">
        <v>27</v>
      </c>
      <c r="G2742" s="4" t="s">
        <v>40</v>
      </c>
      <c r="H2742" s="4">
        <v>2</v>
      </c>
      <c r="I2742" s="4">
        <v>1</v>
      </c>
      <c r="J2742" s="1">
        <v>45678</v>
      </c>
      <c r="K2742" s="2">
        <v>3.9065972222222224E-2</v>
      </c>
      <c r="M2742" s="4" t="str">
        <f t="shared" si="126"/>
        <v>HIGH</v>
      </c>
      <c r="N2742" s="4" t="str" cm="1">
        <f t="array" ref="N2742">_xlfn.IFS(C2742&gt;35,"HIGH",C2742&gt;25,"MIDDLE",TRUE,"LOW")</f>
        <v>HIGH</v>
      </c>
      <c r="O2742" s="4" t="str">
        <f t="shared" si="127"/>
        <v>OTHERS</v>
      </c>
      <c r="P2742" s="4" t="str">
        <f t="shared" si="128"/>
        <v>PREMINUM MORNING</v>
      </c>
    </row>
    <row r="2743" spans="1:16" x14ac:dyDescent="0.3">
      <c r="A2743" s="4">
        <v>19</v>
      </c>
      <c r="B2743" t="s">
        <v>11</v>
      </c>
      <c r="C2743" s="4">
        <v>25.96</v>
      </c>
      <c r="D2743" t="s">
        <v>18</v>
      </c>
      <c r="E2743" t="s">
        <v>20</v>
      </c>
      <c r="F2743" s="4" t="s">
        <v>27</v>
      </c>
      <c r="G2743" s="4" t="s">
        <v>40</v>
      </c>
      <c r="H2743" s="4">
        <v>2</v>
      </c>
      <c r="I2743" s="4">
        <v>1</v>
      </c>
      <c r="J2743" s="1">
        <v>45678</v>
      </c>
      <c r="K2743" s="2">
        <v>1.066087962962963E-2</v>
      </c>
      <c r="M2743" s="4" t="str">
        <f t="shared" si="126"/>
        <v>LOW</v>
      </c>
      <c r="N2743" s="4" t="str" cm="1">
        <f t="array" ref="N2743">_xlfn.IFS(C2743&gt;35,"HIGH",C2743&gt;25,"MIDDLE",TRUE,"LOW")</f>
        <v>MIDDLE</v>
      </c>
      <c r="O2743" s="4" t="str">
        <f t="shared" si="127"/>
        <v>OTHERS</v>
      </c>
      <c r="P2743" s="4" t="str">
        <f t="shared" si="128"/>
        <v>OTHERS</v>
      </c>
    </row>
    <row r="2744" spans="1:16" x14ac:dyDescent="0.3">
      <c r="A2744" s="4">
        <v>11</v>
      </c>
      <c r="B2744" t="s">
        <v>11</v>
      </c>
      <c r="C2744" s="4">
        <v>21.06</v>
      </c>
      <c r="D2744" t="s">
        <v>26</v>
      </c>
      <c r="E2744" t="s">
        <v>13</v>
      </c>
      <c r="F2744" s="4" t="s">
        <v>28</v>
      </c>
      <c r="G2744" s="4" t="s">
        <v>40</v>
      </c>
      <c r="H2744" s="4">
        <v>3</v>
      </c>
      <c r="I2744" s="4">
        <v>1</v>
      </c>
      <c r="J2744" s="1">
        <v>45679</v>
      </c>
      <c r="K2744" s="2">
        <v>1.7197916666666667E-2</v>
      </c>
      <c r="M2744" s="4" t="str">
        <f t="shared" si="126"/>
        <v>LOW</v>
      </c>
      <c r="N2744" s="4" t="str" cm="1">
        <f t="array" ref="N2744">_xlfn.IFS(C2744&gt;35,"HIGH",C2744&gt;25,"MIDDLE",TRUE,"LOW")</f>
        <v>LOW</v>
      </c>
      <c r="O2744" s="4" t="str">
        <f t="shared" si="127"/>
        <v>OTHERS</v>
      </c>
      <c r="P2744" s="4" t="str">
        <f t="shared" si="128"/>
        <v>PREMINUM MORNING</v>
      </c>
    </row>
    <row r="2745" spans="1:16" x14ac:dyDescent="0.3">
      <c r="A2745" s="4">
        <v>17</v>
      </c>
      <c r="B2745" t="s">
        <v>11</v>
      </c>
      <c r="C2745" s="4">
        <v>30.86</v>
      </c>
      <c r="D2745" t="s">
        <v>19</v>
      </c>
      <c r="E2745" t="s">
        <v>20</v>
      </c>
      <c r="F2745" s="4" t="s">
        <v>28</v>
      </c>
      <c r="G2745" s="4" t="s">
        <v>40</v>
      </c>
      <c r="H2745" s="4">
        <v>3</v>
      </c>
      <c r="I2745" s="4">
        <v>1</v>
      </c>
      <c r="J2745" s="1">
        <v>45679</v>
      </c>
      <c r="K2745" s="2">
        <v>2.2297453703703705E-2</v>
      </c>
      <c r="M2745" s="4" t="str">
        <f t="shared" si="126"/>
        <v>LOW</v>
      </c>
      <c r="N2745" s="4" t="str" cm="1">
        <f t="array" ref="N2745">_xlfn.IFS(C2745&gt;35,"HIGH",C2745&gt;25,"MIDDLE",TRUE,"LOW")</f>
        <v>MIDDLE</v>
      </c>
      <c r="O2745" s="4" t="str">
        <f t="shared" si="127"/>
        <v>OTHERS</v>
      </c>
      <c r="P2745" s="4" t="str">
        <f t="shared" si="128"/>
        <v>OTHERS</v>
      </c>
    </row>
    <row r="2746" spans="1:16" x14ac:dyDescent="0.3">
      <c r="A2746" s="4">
        <v>18</v>
      </c>
      <c r="B2746" t="s">
        <v>11</v>
      </c>
      <c r="C2746" s="4">
        <v>35.76</v>
      </c>
      <c r="D2746" t="s">
        <v>21</v>
      </c>
      <c r="E2746" t="s">
        <v>20</v>
      </c>
      <c r="F2746" s="4" t="s">
        <v>28</v>
      </c>
      <c r="G2746" s="4" t="s">
        <v>40</v>
      </c>
      <c r="H2746" s="4">
        <v>3</v>
      </c>
      <c r="I2746" s="4">
        <v>1</v>
      </c>
      <c r="J2746" s="1">
        <v>45679</v>
      </c>
      <c r="K2746" s="2">
        <v>3.4715277777777775E-2</v>
      </c>
      <c r="M2746" s="4" t="str">
        <f t="shared" si="126"/>
        <v>HIGH</v>
      </c>
      <c r="N2746" s="4" t="str" cm="1">
        <f t="array" ref="N2746">_xlfn.IFS(C2746&gt;35,"HIGH",C2746&gt;25,"MIDDLE",TRUE,"LOW")</f>
        <v>HIGH</v>
      </c>
      <c r="O2746" s="4" t="str">
        <f t="shared" si="127"/>
        <v>OTHERS</v>
      </c>
      <c r="P2746" s="4" t="str">
        <f t="shared" si="128"/>
        <v>PREMINUM MORNING</v>
      </c>
    </row>
    <row r="2747" spans="1:16" x14ac:dyDescent="0.3">
      <c r="A2747" s="4">
        <v>19</v>
      </c>
      <c r="B2747" t="s">
        <v>11</v>
      </c>
      <c r="C2747" s="4">
        <v>30.86</v>
      </c>
      <c r="D2747" t="s">
        <v>19</v>
      </c>
      <c r="E2747" t="s">
        <v>20</v>
      </c>
      <c r="F2747" s="4" t="s">
        <v>28</v>
      </c>
      <c r="G2747" s="4" t="s">
        <v>40</v>
      </c>
      <c r="H2747" s="4">
        <v>3</v>
      </c>
      <c r="I2747" s="4">
        <v>1</v>
      </c>
      <c r="J2747" s="1">
        <v>45679</v>
      </c>
      <c r="K2747" s="2">
        <v>7.2453703703703708E-3</v>
      </c>
      <c r="M2747" s="4" t="str">
        <f t="shared" si="126"/>
        <v>LOW</v>
      </c>
      <c r="N2747" s="4" t="str" cm="1">
        <f t="array" ref="N2747">_xlfn.IFS(C2747&gt;35,"HIGH",C2747&gt;25,"MIDDLE",TRUE,"LOW")</f>
        <v>MIDDLE</v>
      </c>
      <c r="O2747" s="4" t="str">
        <f t="shared" si="127"/>
        <v>OTHERS</v>
      </c>
      <c r="P2747" s="4" t="str">
        <f t="shared" si="128"/>
        <v>OTHERS</v>
      </c>
    </row>
    <row r="2748" spans="1:16" x14ac:dyDescent="0.3">
      <c r="A2748" s="4">
        <v>19</v>
      </c>
      <c r="B2748" t="s">
        <v>11</v>
      </c>
      <c r="C2748" s="4">
        <v>35.76</v>
      </c>
      <c r="D2748" t="s">
        <v>29</v>
      </c>
      <c r="E2748" t="s">
        <v>20</v>
      </c>
      <c r="F2748" s="4" t="s">
        <v>28</v>
      </c>
      <c r="G2748" s="4" t="s">
        <v>40</v>
      </c>
      <c r="H2748" s="4">
        <v>3</v>
      </c>
      <c r="I2748" s="4">
        <v>1</v>
      </c>
      <c r="J2748" s="1">
        <v>45679</v>
      </c>
      <c r="K2748" s="2">
        <v>7.9062500000000001E-3</v>
      </c>
      <c r="M2748" s="4" t="str">
        <f t="shared" si="126"/>
        <v>HIGH</v>
      </c>
      <c r="N2748" s="4" t="str" cm="1">
        <f t="array" ref="N2748">_xlfn.IFS(C2748&gt;35,"HIGH",C2748&gt;25,"MIDDLE",TRUE,"LOW")</f>
        <v>HIGH</v>
      </c>
      <c r="O2748" s="4" t="str">
        <f t="shared" si="127"/>
        <v>OTHERS</v>
      </c>
      <c r="P2748" s="4" t="str">
        <f t="shared" si="128"/>
        <v>PREMINUM MORNING</v>
      </c>
    </row>
    <row r="2749" spans="1:16" x14ac:dyDescent="0.3">
      <c r="A2749" s="4">
        <v>19</v>
      </c>
      <c r="B2749" t="s">
        <v>11</v>
      </c>
      <c r="C2749" s="4">
        <v>35.76</v>
      </c>
      <c r="D2749" t="s">
        <v>12</v>
      </c>
      <c r="E2749" t="s">
        <v>20</v>
      </c>
      <c r="F2749" s="4" t="s">
        <v>28</v>
      </c>
      <c r="G2749" s="4" t="s">
        <v>40</v>
      </c>
      <c r="H2749" s="4">
        <v>3</v>
      </c>
      <c r="I2749" s="4">
        <v>1</v>
      </c>
      <c r="J2749" s="1">
        <v>45679</v>
      </c>
      <c r="K2749" s="2">
        <v>2.0320601851851854E-2</v>
      </c>
      <c r="M2749" s="4" t="str">
        <f t="shared" si="126"/>
        <v>HIGH</v>
      </c>
      <c r="N2749" s="4" t="str" cm="1">
        <f t="array" ref="N2749">_xlfn.IFS(C2749&gt;35,"HIGH",C2749&gt;25,"MIDDLE",TRUE,"LOW")</f>
        <v>HIGH</v>
      </c>
      <c r="O2749" s="4" t="str">
        <f t="shared" si="127"/>
        <v>OTHERS</v>
      </c>
      <c r="P2749" s="4" t="str">
        <f t="shared" si="128"/>
        <v>PREMINUM MORNING</v>
      </c>
    </row>
    <row r="2750" spans="1:16" x14ac:dyDescent="0.3">
      <c r="A2750" s="4">
        <v>20</v>
      </c>
      <c r="B2750" t="s">
        <v>11</v>
      </c>
      <c r="C2750" s="4">
        <v>30.86</v>
      </c>
      <c r="D2750" t="s">
        <v>19</v>
      </c>
      <c r="E2750" t="s">
        <v>20</v>
      </c>
      <c r="F2750" s="4" t="s">
        <v>28</v>
      </c>
      <c r="G2750" s="4" t="s">
        <v>40</v>
      </c>
      <c r="H2750" s="4">
        <v>3</v>
      </c>
      <c r="I2750" s="4">
        <v>1</v>
      </c>
      <c r="J2750" s="1">
        <v>45679</v>
      </c>
      <c r="K2750" s="2">
        <v>1.0077546296296296E-2</v>
      </c>
      <c r="M2750" s="4" t="str">
        <f t="shared" si="126"/>
        <v>LOW</v>
      </c>
      <c r="N2750" s="4" t="str" cm="1">
        <f t="array" ref="N2750">_xlfn.IFS(C2750&gt;35,"HIGH",C2750&gt;25,"MIDDLE",TRUE,"LOW")</f>
        <v>MIDDLE</v>
      </c>
      <c r="O2750" s="4" t="str">
        <f t="shared" si="127"/>
        <v>OTHERS</v>
      </c>
      <c r="P2750" s="4" t="str">
        <f t="shared" si="128"/>
        <v>OTHERS</v>
      </c>
    </row>
    <row r="2751" spans="1:16" x14ac:dyDescent="0.3">
      <c r="A2751" s="4">
        <v>13</v>
      </c>
      <c r="B2751" t="s">
        <v>11</v>
      </c>
      <c r="C2751" s="4">
        <v>35.76</v>
      </c>
      <c r="D2751" t="s">
        <v>29</v>
      </c>
      <c r="E2751" t="s">
        <v>17</v>
      </c>
      <c r="F2751" s="4" t="s">
        <v>14</v>
      </c>
      <c r="G2751" s="4" t="s">
        <v>40</v>
      </c>
      <c r="H2751" s="4">
        <v>5</v>
      </c>
      <c r="I2751" s="4">
        <v>1</v>
      </c>
      <c r="J2751" s="1">
        <v>45681</v>
      </c>
      <c r="K2751" s="2">
        <v>2.9363425925925925E-2</v>
      </c>
      <c r="M2751" s="4" t="str">
        <f t="shared" si="126"/>
        <v>HIGH</v>
      </c>
      <c r="N2751" s="4" t="str" cm="1">
        <f t="array" ref="N2751">_xlfn.IFS(C2751&gt;35,"HIGH",C2751&gt;25,"MIDDLE",TRUE,"LOW")</f>
        <v>HIGH</v>
      </c>
      <c r="O2751" s="4" t="str">
        <f t="shared" si="127"/>
        <v>OTHERS</v>
      </c>
      <c r="P2751" s="4" t="str">
        <f t="shared" si="128"/>
        <v>PREMINUM MORNING</v>
      </c>
    </row>
    <row r="2752" spans="1:16" x14ac:dyDescent="0.3">
      <c r="A2752" s="4">
        <v>13</v>
      </c>
      <c r="B2752" t="s">
        <v>11</v>
      </c>
      <c r="C2752" s="4">
        <v>25.96</v>
      </c>
      <c r="D2752" t="s">
        <v>24</v>
      </c>
      <c r="E2752" t="s">
        <v>17</v>
      </c>
      <c r="F2752" s="4" t="s">
        <v>14</v>
      </c>
      <c r="G2752" s="4" t="s">
        <v>40</v>
      </c>
      <c r="H2752" s="4">
        <v>5</v>
      </c>
      <c r="I2752" s="4">
        <v>1</v>
      </c>
      <c r="J2752" s="1">
        <v>45681</v>
      </c>
      <c r="K2752" s="2">
        <v>3.0296296296296297E-2</v>
      </c>
      <c r="M2752" s="4" t="str">
        <f t="shared" si="126"/>
        <v>LOW</v>
      </c>
      <c r="N2752" s="4" t="str" cm="1">
        <f t="array" ref="N2752">_xlfn.IFS(C2752&gt;35,"HIGH",C2752&gt;25,"MIDDLE",TRUE,"LOW")</f>
        <v>MIDDLE</v>
      </c>
      <c r="O2752" s="4" t="str">
        <f t="shared" si="127"/>
        <v>OTHERS</v>
      </c>
      <c r="P2752" s="4" t="str">
        <f t="shared" si="128"/>
        <v>OTHERS</v>
      </c>
    </row>
    <row r="2753" spans="1:16" x14ac:dyDescent="0.3">
      <c r="A2753" s="4">
        <v>15</v>
      </c>
      <c r="B2753" t="s">
        <v>11</v>
      </c>
      <c r="C2753" s="4">
        <v>35.76</v>
      </c>
      <c r="D2753" t="s">
        <v>21</v>
      </c>
      <c r="E2753" t="s">
        <v>17</v>
      </c>
      <c r="F2753" s="4" t="s">
        <v>14</v>
      </c>
      <c r="G2753" s="4" t="s">
        <v>40</v>
      </c>
      <c r="H2753" s="4">
        <v>5</v>
      </c>
      <c r="I2753" s="4">
        <v>1</v>
      </c>
      <c r="J2753" s="1">
        <v>45681</v>
      </c>
      <c r="K2753" s="2">
        <v>1.9893518518518519E-2</v>
      </c>
      <c r="M2753" s="4" t="str">
        <f t="shared" si="126"/>
        <v>HIGH</v>
      </c>
      <c r="N2753" s="4" t="str" cm="1">
        <f t="array" ref="N2753">_xlfn.IFS(C2753&gt;35,"HIGH",C2753&gt;25,"MIDDLE",TRUE,"LOW")</f>
        <v>HIGH</v>
      </c>
      <c r="O2753" s="4" t="str">
        <f t="shared" si="127"/>
        <v>OTHERS</v>
      </c>
      <c r="P2753" s="4" t="str">
        <f t="shared" si="128"/>
        <v>PREMINUM MORNING</v>
      </c>
    </row>
    <row r="2754" spans="1:16" x14ac:dyDescent="0.3">
      <c r="A2754" s="4">
        <v>17</v>
      </c>
      <c r="B2754" t="s">
        <v>11</v>
      </c>
      <c r="C2754" s="4">
        <v>25.96</v>
      </c>
      <c r="D2754" t="s">
        <v>18</v>
      </c>
      <c r="E2754" t="s">
        <v>20</v>
      </c>
      <c r="F2754" s="4" t="s">
        <v>14</v>
      </c>
      <c r="G2754" s="4" t="s">
        <v>40</v>
      </c>
      <c r="H2754" s="4">
        <v>5</v>
      </c>
      <c r="I2754" s="4">
        <v>1</v>
      </c>
      <c r="J2754" s="1">
        <v>45681</v>
      </c>
      <c r="K2754" s="2">
        <v>2.9042824074074075E-2</v>
      </c>
      <c r="M2754" s="4" t="str">
        <f t="shared" si="126"/>
        <v>LOW</v>
      </c>
      <c r="N2754" s="4" t="str" cm="1">
        <f t="array" ref="N2754">_xlfn.IFS(C2754&gt;35,"HIGH",C2754&gt;25,"MIDDLE",TRUE,"LOW")</f>
        <v>MIDDLE</v>
      </c>
      <c r="O2754" s="4" t="str">
        <f t="shared" si="127"/>
        <v>OTHERS</v>
      </c>
      <c r="P2754" s="4" t="str">
        <f t="shared" si="128"/>
        <v>OTHERS</v>
      </c>
    </row>
    <row r="2755" spans="1:16" x14ac:dyDescent="0.3">
      <c r="A2755" s="4">
        <v>21</v>
      </c>
      <c r="B2755" t="s">
        <v>11</v>
      </c>
      <c r="C2755" s="4">
        <v>35.76</v>
      </c>
      <c r="D2755" t="s">
        <v>21</v>
      </c>
      <c r="E2755" t="s">
        <v>20</v>
      </c>
      <c r="F2755" s="4" t="s">
        <v>14</v>
      </c>
      <c r="G2755" s="4" t="s">
        <v>40</v>
      </c>
      <c r="H2755" s="4">
        <v>5</v>
      </c>
      <c r="I2755" s="4">
        <v>1</v>
      </c>
      <c r="J2755" s="1">
        <v>45681</v>
      </c>
      <c r="K2755" s="2">
        <v>1.1416666666666667E-2</v>
      </c>
      <c r="M2755" s="4" t="str">
        <f t="shared" ref="M2755:M2818" si="129">IF(C2755&gt;35,"HIGH","LOW")</f>
        <v>HIGH</v>
      </c>
      <c r="N2755" s="4" t="str" cm="1">
        <f t="array" ref="N2755">_xlfn.IFS(C2755&gt;35,"HIGH",C2755&gt;25,"MIDDLE",TRUE,"LOW")</f>
        <v>HIGH</v>
      </c>
      <c r="O2755" s="4" t="str">
        <f t="shared" ref="O2755:O2818" si="130">IF(AND(C2755&gt;35,E2755="MORNING"),"PREMINUM MORNING","OTHERS")</f>
        <v>OTHERS</v>
      </c>
      <c r="P2755" s="4" t="str">
        <f t="shared" ref="P2755:P2818" si="131">IF(OR(C2755&gt;35,E2755="MORNING"),"PREMINUM MORNING","OTHERS")</f>
        <v>PREMINUM MORNING</v>
      </c>
    </row>
    <row r="2756" spans="1:16" x14ac:dyDescent="0.3">
      <c r="A2756" s="4">
        <v>22</v>
      </c>
      <c r="B2756" t="s">
        <v>11</v>
      </c>
      <c r="C2756" s="4">
        <v>35.76</v>
      </c>
      <c r="D2756" t="s">
        <v>16</v>
      </c>
      <c r="E2756" t="s">
        <v>20</v>
      </c>
      <c r="F2756" s="4" t="s">
        <v>14</v>
      </c>
      <c r="G2756" s="4" t="s">
        <v>40</v>
      </c>
      <c r="H2756" s="4">
        <v>5</v>
      </c>
      <c r="I2756" s="4">
        <v>1</v>
      </c>
      <c r="J2756" s="1">
        <v>45681</v>
      </c>
      <c r="K2756" s="2">
        <v>2.2171296296296297E-2</v>
      </c>
      <c r="M2756" s="4" t="str">
        <f t="shared" si="129"/>
        <v>HIGH</v>
      </c>
      <c r="N2756" s="4" t="str" cm="1">
        <f t="array" ref="N2756">_xlfn.IFS(C2756&gt;35,"HIGH",C2756&gt;25,"MIDDLE",TRUE,"LOW")</f>
        <v>HIGH</v>
      </c>
      <c r="O2756" s="4" t="str">
        <f t="shared" si="130"/>
        <v>OTHERS</v>
      </c>
      <c r="P2756" s="4" t="str">
        <f t="shared" si="131"/>
        <v>PREMINUM MORNING</v>
      </c>
    </row>
    <row r="2757" spans="1:16" x14ac:dyDescent="0.3">
      <c r="A2757" s="4">
        <v>22</v>
      </c>
      <c r="B2757" t="s">
        <v>11</v>
      </c>
      <c r="C2757" s="4">
        <v>35.76</v>
      </c>
      <c r="D2757" t="s">
        <v>12</v>
      </c>
      <c r="E2757" t="s">
        <v>20</v>
      </c>
      <c r="F2757" s="4" t="s">
        <v>14</v>
      </c>
      <c r="G2757" s="4" t="s">
        <v>40</v>
      </c>
      <c r="H2757" s="4">
        <v>5</v>
      </c>
      <c r="I2757" s="4">
        <v>1</v>
      </c>
      <c r="J2757" s="1">
        <v>45681</v>
      </c>
      <c r="K2757" s="2">
        <v>2.2892361111111113E-2</v>
      </c>
      <c r="M2757" s="4" t="str">
        <f t="shared" si="129"/>
        <v>HIGH</v>
      </c>
      <c r="N2757" s="4" t="str" cm="1">
        <f t="array" ref="N2757">_xlfn.IFS(C2757&gt;35,"HIGH",C2757&gt;25,"MIDDLE",TRUE,"LOW")</f>
        <v>HIGH</v>
      </c>
      <c r="O2757" s="4" t="str">
        <f t="shared" si="130"/>
        <v>OTHERS</v>
      </c>
      <c r="P2757" s="4" t="str">
        <f t="shared" si="131"/>
        <v>PREMINUM MORNING</v>
      </c>
    </row>
    <row r="2758" spans="1:16" x14ac:dyDescent="0.3">
      <c r="A2758" s="4">
        <v>13</v>
      </c>
      <c r="B2758" t="s">
        <v>11</v>
      </c>
      <c r="C2758" s="4">
        <v>35.76</v>
      </c>
      <c r="D2758" t="s">
        <v>29</v>
      </c>
      <c r="E2758" t="s">
        <v>17</v>
      </c>
      <c r="F2758" s="4" t="s">
        <v>22</v>
      </c>
      <c r="G2758" s="4" t="s">
        <v>40</v>
      </c>
      <c r="H2758" s="4">
        <v>6</v>
      </c>
      <c r="I2758" s="4">
        <v>1</v>
      </c>
      <c r="J2758" s="1">
        <v>45682</v>
      </c>
      <c r="K2758" s="2">
        <v>1.4631944444444446E-2</v>
      </c>
      <c r="M2758" s="4" t="str">
        <f t="shared" si="129"/>
        <v>HIGH</v>
      </c>
      <c r="N2758" s="4" t="str" cm="1">
        <f t="array" ref="N2758">_xlfn.IFS(C2758&gt;35,"HIGH",C2758&gt;25,"MIDDLE",TRUE,"LOW")</f>
        <v>HIGH</v>
      </c>
      <c r="O2758" s="4" t="str">
        <f t="shared" si="130"/>
        <v>OTHERS</v>
      </c>
      <c r="P2758" s="4" t="str">
        <f t="shared" si="131"/>
        <v>PREMINUM MORNING</v>
      </c>
    </row>
    <row r="2759" spans="1:16" x14ac:dyDescent="0.3">
      <c r="A2759" s="4">
        <v>14</v>
      </c>
      <c r="B2759" t="s">
        <v>11</v>
      </c>
      <c r="C2759" s="4">
        <v>35.76</v>
      </c>
      <c r="D2759" t="s">
        <v>29</v>
      </c>
      <c r="E2759" t="s">
        <v>17</v>
      </c>
      <c r="F2759" s="4" t="s">
        <v>22</v>
      </c>
      <c r="G2759" s="4" t="s">
        <v>40</v>
      </c>
      <c r="H2759" s="4">
        <v>6</v>
      </c>
      <c r="I2759" s="4">
        <v>1</v>
      </c>
      <c r="J2759" s="1">
        <v>45682</v>
      </c>
      <c r="K2759" s="2">
        <v>2.667361111111111E-2</v>
      </c>
      <c r="M2759" s="4" t="str">
        <f t="shared" si="129"/>
        <v>HIGH</v>
      </c>
      <c r="N2759" s="4" t="str" cm="1">
        <f t="array" ref="N2759">_xlfn.IFS(C2759&gt;35,"HIGH",C2759&gt;25,"MIDDLE",TRUE,"LOW")</f>
        <v>HIGH</v>
      </c>
      <c r="O2759" s="4" t="str">
        <f t="shared" si="130"/>
        <v>OTHERS</v>
      </c>
      <c r="P2759" s="4" t="str">
        <f t="shared" si="131"/>
        <v>PREMINUM MORNING</v>
      </c>
    </row>
    <row r="2760" spans="1:16" x14ac:dyDescent="0.3">
      <c r="A2760" s="4">
        <v>14</v>
      </c>
      <c r="B2760" t="s">
        <v>11</v>
      </c>
      <c r="C2760" s="4">
        <v>25.96</v>
      </c>
      <c r="D2760" t="s">
        <v>18</v>
      </c>
      <c r="E2760" t="s">
        <v>17</v>
      </c>
      <c r="F2760" s="4" t="s">
        <v>22</v>
      </c>
      <c r="G2760" s="4" t="s">
        <v>40</v>
      </c>
      <c r="H2760" s="4">
        <v>6</v>
      </c>
      <c r="I2760" s="4">
        <v>1</v>
      </c>
      <c r="J2760" s="1">
        <v>45682</v>
      </c>
      <c r="K2760" s="2">
        <v>2.7489583333333331E-2</v>
      </c>
      <c r="M2760" s="4" t="str">
        <f t="shared" si="129"/>
        <v>LOW</v>
      </c>
      <c r="N2760" s="4" t="str" cm="1">
        <f t="array" ref="N2760">_xlfn.IFS(C2760&gt;35,"HIGH",C2760&gt;25,"MIDDLE",TRUE,"LOW")</f>
        <v>MIDDLE</v>
      </c>
      <c r="O2760" s="4" t="str">
        <f t="shared" si="130"/>
        <v>OTHERS</v>
      </c>
      <c r="P2760" s="4" t="str">
        <f t="shared" si="131"/>
        <v>OTHERS</v>
      </c>
    </row>
    <row r="2761" spans="1:16" x14ac:dyDescent="0.3">
      <c r="A2761" s="4">
        <v>12</v>
      </c>
      <c r="B2761" t="s">
        <v>11</v>
      </c>
      <c r="C2761" s="4">
        <v>25.96</v>
      </c>
      <c r="D2761" t="s">
        <v>18</v>
      </c>
      <c r="E2761" t="s">
        <v>17</v>
      </c>
      <c r="F2761" s="4" t="s">
        <v>23</v>
      </c>
      <c r="G2761" s="4" t="s">
        <v>40</v>
      </c>
      <c r="H2761" s="4">
        <v>7</v>
      </c>
      <c r="I2761" s="4">
        <v>1</v>
      </c>
      <c r="J2761" s="1">
        <v>45683</v>
      </c>
      <c r="K2761" s="2">
        <v>2.4571759259259258E-2</v>
      </c>
      <c r="M2761" s="4" t="str">
        <f t="shared" si="129"/>
        <v>LOW</v>
      </c>
      <c r="N2761" s="4" t="str" cm="1">
        <f t="array" ref="N2761">_xlfn.IFS(C2761&gt;35,"HIGH",C2761&gt;25,"MIDDLE",TRUE,"LOW")</f>
        <v>MIDDLE</v>
      </c>
      <c r="O2761" s="4" t="str">
        <f t="shared" si="130"/>
        <v>OTHERS</v>
      </c>
      <c r="P2761" s="4" t="str">
        <f t="shared" si="131"/>
        <v>OTHERS</v>
      </c>
    </row>
    <row r="2762" spans="1:16" x14ac:dyDescent="0.3">
      <c r="A2762" s="4">
        <v>12</v>
      </c>
      <c r="B2762" t="s">
        <v>11</v>
      </c>
      <c r="C2762" s="4">
        <v>21.06</v>
      </c>
      <c r="D2762" t="s">
        <v>26</v>
      </c>
      <c r="E2762" t="s">
        <v>17</v>
      </c>
      <c r="F2762" s="4" t="s">
        <v>23</v>
      </c>
      <c r="G2762" s="4" t="s">
        <v>40</v>
      </c>
      <c r="H2762" s="4">
        <v>7</v>
      </c>
      <c r="I2762" s="4">
        <v>1</v>
      </c>
      <c r="J2762" s="1">
        <v>45683</v>
      </c>
      <c r="K2762" s="2">
        <v>2.539351851851852E-2</v>
      </c>
      <c r="M2762" s="4" t="str">
        <f t="shared" si="129"/>
        <v>LOW</v>
      </c>
      <c r="N2762" s="4" t="str" cm="1">
        <f t="array" ref="N2762">_xlfn.IFS(C2762&gt;35,"HIGH",C2762&gt;25,"MIDDLE",TRUE,"LOW")</f>
        <v>LOW</v>
      </c>
      <c r="O2762" s="4" t="str">
        <f t="shared" si="130"/>
        <v>OTHERS</v>
      </c>
      <c r="P2762" s="4" t="str">
        <f t="shared" si="131"/>
        <v>OTHERS</v>
      </c>
    </row>
    <row r="2763" spans="1:16" x14ac:dyDescent="0.3">
      <c r="A2763" s="4">
        <v>8</v>
      </c>
      <c r="B2763" t="s">
        <v>11</v>
      </c>
      <c r="C2763" s="4">
        <v>25.96</v>
      </c>
      <c r="D2763" t="s">
        <v>24</v>
      </c>
      <c r="E2763" t="s">
        <v>13</v>
      </c>
      <c r="F2763" s="4" t="s">
        <v>25</v>
      </c>
      <c r="G2763" s="4" t="s">
        <v>40</v>
      </c>
      <c r="H2763" s="4">
        <v>1</v>
      </c>
      <c r="I2763" s="4">
        <v>1</v>
      </c>
      <c r="J2763" s="1">
        <v>45684</v>
      </c>
      <c r="K2763" s="2">
        <v>5.3518518518518516E-3</v>
      </c>
      <c r="M2763" s="4" t="str">
        <f t="shared" si="129"/>
        <v>LOW</v>
      </c>
      <c r="N2763" s="4" t="str" cm="1">
        <f t="array" ref="N2763">_xlfn.IFS(C2763&gt;35,"HIGH",C2763&gt;25,"MIDDLE",TRUE,"LOW")</f>
        <v>MIDDLE</v>
      </c>
      <c r="O2763" s="4" t="str">
        <f t="shared" si="130"/>
        <v>OTHERS</v>
      </c>
      <c r="P2763" s="4" t="str">
        <f t="shared" si="131"/>
        <v>PREMINUM MORNING</v>
      </c>
    </row>
    <row r="2764" spans="1:16" x14ac:dyDescent="0.3">
      <c r="A2764" s="4">
        <v>8</v>
      </c>
      <c r="B2764" t="s">
        <v>11</v>
      </c>
      <c r="C2764" s="4">
        <v>25.96</v>
      </c>
      <c r="D2764" t="s">
        <v>18</v>
      </c>
      <c r="E2764" t="s">
        <v>13</v>
      </c>
      <c r="F2764" s="4" t="s">
        <v>25</v>
      </c>
      <c r="G2764" s="4" t="s">
        <v>40</v>
      </c>
      <c r="H2764" s="4">
        <v>1</v>
      </c>
      <c r="I2764" s="4">
        <v>1</v>
      </c>
      <c r="J2764" s="1">
        <v>45684</v>
      </c>
      <c r="K2764" s="2">
        <v>2.2725694444444444E-2</v>
      </c>
      <c r="M2764" s="4" t="str">
        <f t="shared" si="129"/>
        <v>LOW</v>
      </c>
      <c r="N2764" s="4" t="str" cm="1">
        <f t="array" ref="N2764">_xlfn.IFS(C2764&gt;35,"HIGH",C2764&gt;25,"MIDDLE",TRUE,"LOW")</f>
        <v>MIDDLE</v>
      </c>
      <c r="O2764" s="4" t="str">
        <f t="shared" si="130"/>
        <v>OTHERS</v>
      </c>
      <c r="P2764" s="4" t="str">
        <f t="shared" si="131"/>
        <v>PREMINUM MORNING</v>
      </c>
    </row>
    <row r="2765" spans="1:16" x14ac:dyDescent="0.3">
      <c r="A2765" s="4">
        <v>12</v>
      </c>
      <c r="B2765" t="s">
        <v>11</v>
      </c>
      <c r="C2765" s="4">
        <v>35.76</v>
      </c>
      <c r="D2765" t="s">
        <v>29</v>
      </c>
      <c r="E2765" t="s">
        <v>17</v>
      </c>
      <c r="F2765" s="4" t="s">
        <v>25</v>
      </c>
      <c r="G2765" s="4" t="s">
        <v>40</v>
      </c>
      <c r="H2765" s="4">
        <v>1</v>
      </c>
      <c r="I2765" s="4">
        <v>1</v>
      </c>
      <c r="J2765" s="1">
        <v>45684</v>
      </c>
      <c r="K2765" s="2">
        <v>3.4999999999999996E-3</v>
      </c>
      <c r="M2765" s="4" t="str">
        <f t="shared" si="129"/>
        <v>HIGH</v>
      </c>
      <c r="N2765" s="4" t="str" cm="1">
        <f t="array" ref="N2765">_xlfn.IFS(C2765&gt;35,"HIGH",C2765&gt;25,"MIDDLE",TRUE,"LOW")</f>
        <v>HIGH</v>
      </c>
      <c r="O2765" s="4" t="str">
        <f t="shared" si="130"/>
        <v>OTHERS</v>
      </c>
      <c r="P2765" s="4" t="str">
        <f t="shared" si="131"/>
        <v>PREMINUM MORNING</v>
      </c>
    </row>
    <row r="2766" spans="1:16" x14ac:dyDescent="0.3">
      <c r="A2766" s="4">
        <v>13</v>
      </c>
      <c r="B2766" t="s">
        <v>11</v>
      </c>
      <c r="C2766" s="4">
        <v>30.86</v>
      </c>
      <c r="D2766" t="s">
        <v>19</v>
      </c>
      <c r="E2766" t="s">
        <v>17</v>
      </c>
      <c r="F2766" s="4" t="s">
        <v>25</v>
      </c>
      <c r="G2766" s="4" t="s">
        <v>40</v>
      </c>
      <c r="H2766" s="4">
        <v>1</v>
      </c>
      <c r="I2766" s="4">
        <v>1</v>
      </c>
      <c r="J2766" s="1">
        <v>45684</v>
      </c>
      <c r="K2766" s="2">
        <v>3.1351851851851853E-2</v>
      </c>
      <c r="M2766" s="4" t="str">
        <f t="shared" si="129"/>
        <v>LOW</v>
      </c>
      <c r="N2766" s="4" t="str" cm="1">
        <f t="array" ref="N2766">_xlfn.IFS(C2766&gt;35,"HIGH",C2766&gt;25,"MIDDLE",TRUE,"LOW")</f>
        <v>MIDDLE</v>
      </c>
      <c r="O2766" s="4" t="str">
        <f t="shared" si="130"/>
        <v>OTHERS</v>
      </c>
      <c r="P2766" s="4" t="str">
        <f t="shared" si="131"/>
        <v>OTHERS</v>
      </c>
    </row>
    <row r="2767" spans="1:16" x14ac:dyDescent="0.3">
      <c r="A2767" s="4">
        <v>15</v>
      </c>
      <c r="B2767" t="s">
        <v>11</v>
      </c>
      <c r="C2767" s="4">
        <v>30.86</v>
      </c>
      <c r="D2767" t="s">
        <v>19</v>
      </c>
      <c r="E2767" t="s">
        <v>17</v>
      </c>
      <c r="F2767" s="4" t="s">
        <v>25</v>
      </c>
      <c r="G2767" s="4" t="s">
        <v>40</v>
      </c>
      <c r="H2767" s="4">
        <v>1</v>
      </c>
      <c r="I2767" s="4">
        <v>1</v>
      </c>
      <c r="J2767" s="1">
        <v>45684</v>
      </c>
      <c r="K2767" s="2">
        <v>1.9376157407407408E-2</v>
      </c>
      <c r="M2767" s="4" t="str">
        <f t="shared" si="129"/>
        <v>LOW</v>
      </c>
      <c r="N2767" s="4" t="str" cm="1">
        <f t="array" ref="N2767">_xlfn.IFS(C2767&gt;35,"HIGH",C2767&gt;25,"MIDDLE",TRUE,"LOW")</f>
        <v>MIDDLE</v>
      </c>
      <c r="O2767" s="4" t="str">
        <f t="shared" si="130"/>
        <v>OTHERS</v>
      </c>
      <c r="P2767" s="4" t="str">
        <f t="shared" si="131"/>
        <v>OTHERS</v>
      </c>
    </row>
    <row r="2768" spans="1:16" x14ac:dyDescent="0.3">
      <c r="A2768" s="4">
        <v>15</v>
      </c>
      <c r="B2768" t="s">
        <v>11</v>
      </c>
      <c r="C2768" s="4">
        <v>25.96</v>
      </c>
      <c r="D2768" t="s">
        <v>24</v>
      </c>
      <c r="E2768" t="s">
        <v>17</v>
      </c>
      <c r="F2768" s="4" t="s">
        <v>25</v>
      </c>
      <c r="G2768" s="4" t="s">
        <v>40</v>
      </c>
      <c r="H2768" s="4">
        <v>1</v>
      </c>
      <c r="I2768" s="4">
        <v>1</v>
      </c>
      <c r="J2768" s="1">
        <v>45684</v>
      </c>
      <c r="K2768" s="2">
        <v>2.0149305555555556E-2</v>
      </c>
      <c r="M2768" s="4" t="str">
        <f t="shared" si="129"/>
        <v>LOW</v>
      </c>
      <c r="N2768" s="4" t="str" cm="1">
        <f t="array" ref="N2768">_xlfn.IFS(C2768&gt;35,"HIGH",C2768&gt;25,"MIDDLE",TRUE,"LOW")</f>
        <v>MIDDLE</v>
      </c>
      <c r="O2768" s="4" t="str">
        <f t="shared" si="130"/>
        <v>OTHERS</v>
      </c>
      <c r="P2768" s="4" t="str">
        <f t="shared" si="131"/>
        <v>OTHERS</v>
      </c>
    </row>
    <row r="2769" spans="1:16" x14ac:dyDescent="0.3">
      <c r="A2769" s="4">
        <v>15</v>
      </c>
      <c r="B2769" t="s">
        <v>11</v>
      </c>
      <c r="C2769" s="4">
        <v>30.86</v>
      </c>
      <c r="D2769" t="s">
        <v>19</v>
      </c>
      <c r="E2769" t="s">
        <v>17</v>
      </c>
      <c r="F2769" s="4" t="s">
        <v>25</v>
      </c>
      <c r="G2769" s="4" t="s">
        <v>40</v>
      </c>
      <c r="H2769" s="4">
        <v>1</v>
      </c>
      <c r="I2769" s="4">
        <v>1</v>
      </c>
      <c r="J2769" s="1">
        <v>45684</v>
      </c>
      <c r="K2769" s="2">
        <v>2.0980324074074075E-2</v>
      </c>
      <c r="M2769" s="4" t="str">
        <f t="shared" si="129"/>
        <v>LOW</v>
      </c>
      <c r="N2769" s="4" t="str" cm="1">
        <f t="array" ref="N2769">_xlfn.IFS(C2769&gt;35,"HIGH",C2769&gt;25,"MIDDLE",TRUE,"LOW")</f>
        <v>MIDDLE</v>
      </c>
      <c r="O2769" s="4" t="str">
        <f t="shared" si="130"/>
        <v>OTHERS</v>
      </c>
      <c r="P2769" s="4" t="str">
        <f t="shared" si="131"/>
        <v>OTHERS</v>
      </c>
    </row>
    <row r="2770" spans="1:16" x14ac:dyDescent="0.3">
      <c r="A2770" s="4">
        <v>18</v>
      </c>
      <c r="B2770" t="s">
        <v>11</v>
      </c>
      <c r="C2770" s="4">
        <v>35.76</v>
      </c>
      <c r="D2770" t="s">
        <v>12</v>
      </c>
      <c r="E2770" t="s">
        <v>20</v>
      </c>
      <c r="F2770" s="4" t="s">
        <v>25</v>
      </c>
      <c r="G2770" s="4" t="s">
        <v>40</v>
      </c>
      <c r="H2770" s="4">
        <v>1</v>
      </c>
      <c r="I2770" s="4">
        <v>1</v>
      </c>
      <c r="J2770" s="1">
        <v>45684</v>
      </c>
      <c r="K2770" s="2">
        <v>3.8417824074074076E-2</v>
      </c>
      <c r="M2770" s="4" t="str">
        <f t="shared" si="129"/>
        <v>HIGH</v>
      </c>
      <c r="N2770" s="4" t="str" cm="1">
        <f t="array" ref="N2770">_xlfn.IFS(C2770&gt;35,"HIGH",C2770&gt;25,"MIDDLE",TRUE,"LOW")</f>
        <v>HIGH</v>
      </c>
      <c r="O2770" s="4" t="str">
        <f t="shared" si="130"/>
        <v>OTHERS</v>
      </c>
      <c r="P2770" s="4" t="str">
        <f t="shared" si="131"/>
        <v>PREMINUM MORNING</v>
      </c>
    </row>
    <row r="2771" spans="1:16" x14ac:dyDescent="0.3">
      <c r="A2771" s="4">
        <v>19</v>
      </c>
      <c r="B2771" t="s">
        <v>11</v>
      </c>
      <c r="C2771" s="4">
        <v>35.76</v>
      </c>
      <c r="D2771" t="s">
        <v>12</v>
      </c>
      <c r="E2771" t="s">
        <v>20</v>
      </c>
      <c r="F2771" s="4" t="s">
        <v>25</v>
      </c>
      <c r="G2771" s="4" t="s">
        <v>40</v>
      </c>
      <c r="H2771" s="4">
        <v>1</v>
      </c>
      <c r="I2771" s="4">
        <v>1</v>
      </c>
      <c r="J2771" s="1">
        <v>45684</v>
      </c>
      <c r="K2771" s="2">
        <v>1.8553240740740741E-3</v>
      </c>
      <c r="M2771" s="4" t="str">
        <f t="shared" si="129"/>
        <v>HIGH</v>
      </c>
      <c r="N2771" s="4" t="str" cm="1">
        <f t="array" ref="N2771">_xlfn.IFS(C2771&gt;35,"HIGH",C2771&gt;25,"MIDDLE",TRUE,"LOW")</f>
        <v>HIGH</v>
      </c>
      <c r="O2771" s="4" t="str">
        <f t="shared" si="130"/>
        <v>OTHERS</v>
      </c>
      <c r="P2771" s="4" t="str">
        <f t="shared" si="131"/>
        <v>PREMINUM MORNING</v>
      </c>
    </row>
    <row r="2772" spans="1:16" x14ac:dyDescent="0.3">
      <c r="A2772" s="4">
        <v>19</v>
      </c>
      <c r="B2772" t="s">
        <v>11</v>
      </c>
      <c r="C2772" s="4">
        <v>35.76</v>
      </c>
      <c r="D2772" t="s">
        <v>12</v>
      </c>
      <c r="E2772" t="s">
        <v>20</v>
      </c>
      <c r="F2772" s="4" t="s">
        <v>25</v>
      </c>
      <c r="G2772" s="4" t="s">
        <v>40</v>
      </c>
      <c r="H2772" s="4">
        <v>1</v>
      </c>
      <c r="I2772" s="4">
        <v>1</v>
      </c>
      <c r="J2772" s="1">
        <v>45684</v>
      </c>
      <c r="K2772" s="2">
        <v>2.6099537037037037E-3</v>
      </c>
      <c r="M2772" s="4" t="str">
        <f t="shared" si="129"/>
        <v>HIGH</v>
      </c>
      <c r="N2772" s="4" t="str" cm="1">
        <f t="array" ref="N2772">_xlfn.IFS(C2772&gt;35,"HIGH",C2772&gt;25,"MIDDLE",TRUE,"LOW")</f>
        <v>HIGH</v>
      </c>
      <c r="O2772" s="4" t="str">
        <f t="shared" si="130"/>
        <v>OTHERS</v>
      </c>
      <c r="P2772" s="4" t="str">
        <f t="shared" si="131"/>
        <v>PREMINUM MORNING</v>
      </c>
    </row>
    <row r="2773" spans="1:16" x14ac:dyDescent="0.3">
      <c r="A2773" s="4">
        <v>8</v>
      </c>
      <c r="B2773" t="s">
        <v>11</v>
      </c>
      <c r="C2773" s="4">
        <v>35.76</v>
      </c>
      <c r="D2773" t="s">
        <v>12</v>
      </c>
      <c r="E2773" t="s">
        <v>13</v>
      </c>
      <c r="F2773" s="4" t="s">
        <v>27</v>
      </c>
      <c r="G2773" s="4" t="s">
        <v>40</v>
      </c>
      <c r="H2773" s="4">
        <v>2</v>
      </c>
      <c r="I2773" s="4">
        <v>1</v>
      </c>
      <c r="J2773" s="1">
        <v>45685</v>
      </c>
      <c r="K2773" s="2">
        <v>1.8481481481481481E-2</v>
      </c>
      <c r="M2773" s="4" t="str">
        <f t="shared" si="129"/>
        <v>HIGH</v>
      </c>
      <c r="N2773" s="4" t="str" cm="1">
        <f t="array" ref="N2773">_xlfn.IFS(C2773&gt;35,"HIGH",C2773&gt;25,"MIDDLE",TRUE,"LOW")</f>
        <v>HIGH</v>
      </c>
      <c r="O2773" s="4" t="str">
        <f t="shared" si="130"/>
        <v>PREMINUM MORNING</v>
      </c>
      <c r="P2773" s="4" t="str">
        <f t="shared" si="131"/>
        <v>PREMINUM MORNING</v>
      </c>
    </row>
    <row r="2774" spans="1:16" x14ac:dyDescent="0.3">
      <c r="A2774" s="4">
        <v>9</v>
      </c>
      <c r="B2774" t="s">
        <v>11</v>
      </c>
      <c r="C2774" s="4">
        <v>25.96</v>
      </c>
      <c r="D2774" t="s">
        <v>18</v>
      </c>
      <c r="E2774" t="s">
        <v>13</v>
      </c>
      <c r="F2774" s="4" t="s">
        <v>27</v>
      </c>
      <c r="G2774" s="4" t="s">
        <v>40</v>
      </c>
      <c r="H2774" s="4">
        <v>2</v>
      </c>
      <c r="I2774" s="4">
        <v>1</v>
      </c>
      <c r="J2774" s="1">
        <v>45685</v>
      </c>
      <c r="K2774" s="2">
        <v>2.3114583333333331E-2</v>
      </c>
      <c r="M2774" s="4" t="str">
        <f t="shared" si="129"/>
        <v>LOW</v>
      </c>
      <c r="N2774" s="4" t="str" cm="1">
        <f t="array" ref="N2774">_xlfn.IFS(C2774&gt;35,"HIGH",C2774&gt;25,"MIDDLE",TRUE,"LOW")</f>
        <v>MIDDLE</v>
      </c>
      <c r="O2774" s="4" t="str">
        <f t="shared" si="130"/>
        <v>OTHERS</v>
      </c>
      <c r="P2774" s="4" t="str">
        <f t="shared" si="131"/>
        <v>PREMINUM MORNING</v>
      </c>
    </row>
    <row r="2775" spans="1:16" x14ac:dyDescent="0.3">
      <c r="A2775" s="4">
        <v>11</v>
      </c>
      <c r="B2775" t="s">
        <v>11</v>
      </c>
      <c r="C2775" s="4">
        <v>30.86</v>
      </c>
      <c r="D2775" t="s">
        <v>19</v>
      </c>
      <c r="E2775" t="s">
        <v>13</v>
      </c>
      <c r="F2775" s="4" t="s">
        <v>27</v>
      </c>
      <c r="G2775" s="4" t="s">
        <v>40</v>
      </c>
      <c r="H2775" s="4">
        <v>2</v>
      </c>
      <c r="I2775" s="4">
        <v>1</v>
      </c>
      <c r="J2775" s="1">
        <v>45685</v>
      </c>
      <c r="K2775" s="2">
        <v>3.9200231481481482E-2</v>
      </c>
      <c r="M2775" s="4" t="str">
        <f t="shared" si="129"/>
        <v>LOW</v>
      </c>
      <c r="N2775" s="4" t="str" cm="1">
        <f t="array" ref="N2775">_xlfn.IFS(C2775&gt;35,"HIGH",C2775&gt;25,"MIDDLE",TRUE,"LOW")</f>
        <v>MIDDLE</v>
      </c>
      <c r="O2775" s="4" t="str">
        <f t="shared" si="130"/>
        <v>OTHERS</v>
      </c>
      <c r="P2775" s="4" t="str">
        <f t="shared" si="131"/>
        <v>PREMINUM MORNING</v>
      </c>
    </row>
    <row r="2776" spans="1:16" x14ac:dyDescent="0.3">
      <c r="A2776" s="4">
        <v>12</v>
      </c>
      <c r="B2776" t="s">
        <v>11</v>
      </c>
      <c r="C2776" s="4">
        <v>25.96</v>
      </c>
      <c r="D2776" t="s">
        <v>18</v>
      </c>
      <c r="E2776" t="s">
        <v>17</v>
      </c>
      <c r="F2776" s="4" t="s">
        <v>27</v>
      </c>
      <c r="G2776" s="4" t="s">
        <v>40</v>
      </c>
      <c r="H2776" s="4">
        <v>2</v>
      </c>
      <c r="I2776" s="4">
        <v>1</v>
      </c>
      <c r="J2776" s="1">
        <v>45685</v>
      </c>
      <c r="K2776" s="2">
        <v>1.5291666666666667E-2</v>
      </c>
      <c r="M2776" s="4" t="str">
        <f t="shared" si="129"/>
        <v>LOW</v>
      </c>
      <c r="N2776" s="4" t="str" cm="1">
        <f t="array" ref="N2776">_xlfn.IFS(C2776&gt;35,"HIGH",C2776&gt;25,"MIDDLE",TRUE,"LOW")</f>
        <v>MIDDLE</v>
      </c>
      <c r="O2776" s="4" t="str">
        <f t="shared" si="130"/>
        <v>OTHERS</v>
      </c>
      <c r="P2776" s="4" t="str">
        <f t="shared" si="131"/>
        <v>OTHERS</v>
      </c>
    </row>
    <row r="2777" spans="1:16" x14ac:dyDescent="0.3">
      <c r="A2777" s="4">
        <v>16</v>
      </c>
      <c r="B2777" t="s">
        <v>11</v>
      </c>
      <c r="C2777" s="4">
        <v>35.76</v>
      </c>
      <c r="D2777" t="s">
        <v>21</v>
      </c>
      <c r="E2777" t="s">
        <v>17</v>
      </c>
      <c r="F2777" s="4" t="s">
        <v>27</v>
      </c>
      <c r="G2777" s="4" t="s">
        <v>40</v>
      </c>
      <c r="H2777" s="4">
        <v>2</v>
      </c>
      <c r="I2777" s="4">
        <v>1</v>
      </c>
      <c r="J2777" s="1">
        <v>45685</v>
      </c>
      <c r="K2777" s="2">
        <v>1.3282407407407406E-2</v>
      </c>
      <c r="M2777" s="4" t="str">
        <f t="shared" si="129"/>
        <v>HIGH</v>
      </c>
      <c r="N2777" s="4" t="str" cm="1">
        <f t="array" ref="N2777">_xlfn.IFS(C2777&gt;35,"HIGH",C2777&gt;25,"MIDDLE",TRUE,"LOW")</f>
        <v>HIGH</v>
      </c>
      <c r="O2777" s="4" t="str">
        <f t="shared" si="130"/>
        <v>OTHERS</v>
      </c>
      <c r="P2777" s="4" t="str">
        <f t="shared" si="131"/>
        <v>PREMINUM MORNING</v>
      </c>
    </row>
    <row r="2778" spans="1:16" x14ac:dyDescent="0.3">
      <c r="A2778" s="4">
        <v>16</v>
      </c>
      <c r="B2778" t="s">
        <v>11</v>
      </c>
      <c r="C2778" s="4">
        <v>25.96</v>
      </c>
      <c r="D2778" t="s">
        <v>24</v>
      </c>
      <c r="E2778" t="s">
        <v>17</v>
      </c>
      <c r="F2778" s="4" t="s">
        <v>27</v>
      </c>
      <c r="G2778" s="4" t="s">
        <v>40</v>
      </c>
      <c r="H2778" s="4">
        <v>2</v>
      </c>
      <c r="I2778" s="4">
        <v>1</v>
      </c>
      <c r="J2778" s="1">
        <v>45685</v>
      </c>
      <c r="K2778" s="2">
        <v>1.4406250000000001E-2</v>
      </c>
      <c r="M2778" s="4" t="str">
        <f t="shared" si="129"/>
        <v>LOW</v>
      </c>
      <c r="N2778" s="4" t="str" cm="1">
        <f t="array" ref="N2778">_xlfn.IFS(C2778&gt;35,"HIGH",C2778&gt;25,"MIDDLE",TRUE,"LOW")</f>
        <v>MIDDLE</v>
      </c>
      <c r="O2778" s="4" t="str">
        <f t="shared" si="130"/>
        <v>OTHERS</v>
      </c>
      <c r="P2778" s="4" t="str">
        <f t="shared" si="131"/>
        <v>OTHERS</v>
      </c>
    </row>
    <row r="2779" spans="1:16" x14ac:dyDescent="0.3">
      <c r="A2779" s="4">
        <v>17</v>
      </c>
      <c r="B2779" t="s">
        <v>11</v>
      </c>
      <c r="C2779" s="4">
        <v>25.96</v>
      </c>
      <c r="D2779" t="s">
        <v>18</v>
      </c>
      <c r="E2779" t="s">
        <v>20</v>
      </c>
      <c r="F2779" s="4" t="s">
        <v>27</v>
      </c>
      <c r="G2779" s="4" t="s">
        <v>40</v>
      </c>
      <c r="H2779" s="4">
        <v>2</v>
      </c>
      <c r="I2779" s="4">
        <v>1</v>
      </c>
      <c r="J2779" s="1">
        <v>45685</v>
      </c>
      <c r="K2779" s="2">
        <v>2.7788194444444445E-2</v>
      </c>
      <c r="M2779" s="4" t="str">
        <f t="shared" si="129"/>
        <v>LOW</v>
      </c>
      <c r="N2779" s="4" t="str" cm="1">
        <f t="array" ref="N2779">_xlfn.IFS(C2779&gt;35,"HIGH",C2779&gt;25,"MIDDLE",TRUE,"LOW")</f>
        <v>MIDDLE</v>
      </c>
      <c r="O2779" s="4" t="str">
        <f t="shared" si="130"/>
        <v>OTHERS</v>
      </c>
      <c r="P2779" s="4" t="str">
        <f t="shared" si="131"/>
        <v>OTHERS</v>
      </c>
    </row>
    <row r="2780" spans="1:16" x14ac:dyDescent="0.3">
      <c r="A2780" s="4">
        <v>20</v>
      </c>
      <c r="B2780" t="s">
        <v>11</v>
      </c>
      <c r="C2780" s="4">
        <v>35.76</v>
      </c>
      <c r="D2780" t="s">
        <v>12</v>
      </c>
      <c r="E2780" t="s">
        <v>20</v>
      </c>
      <c r="F2780" s="4" t="s">
        <v>27</v>
      </c>
      <c r="G2780" s="4" t="s">
        <v>40</v>
      </c>
      <c r="H2780" s="4">
        <v>2</v>
      </c>
      <c r="I2780" s="4">
        <v>1</v>
      </c>
      <c r="J2780" s="1">
        <v>45685</v>
      </c>
      <c r="K2780" s="2">
        <v>8.2280092592592596E-3</v>
      </c>
      <c r="M2780" s="4" t="str">
        <f t="shared" si="129"/>
        <v>HIGH</v>
      </c>
      <c r="N2780" s="4" t="str" cm="1">
        <f t="array" ref="N2780">_xlfn.IFS(C2780&gt;35,"HIGH",C2780&gt;25,"MIDDLE",TRUE,"LOW")</f>
        <v>HIGH</v>
      </c>
      <c r="O2780" s="4" t="str">
        <f t="shared" si="130"/>
        <v>OTHERS</v>
      </c>
      <c r="P2780" s="4" t="str">
        <f t="shared" si="131"/>
        <v>PREMINUM MORNING</v>
      </c>
    </row>
    <row r="2781" spans="1:16" x14ac:dyDescent="0.3">
      <c r="A2781" s="4">
        <v>20</v>
      </c>
      <c r="B2781" t="s">
        <v>11</v>
      </c>
      <c r="C2781" s="4">
        <v>35.76</v>
      </c>
      <c r="D2781" t="s">
        <v>29</v>
      </c>
      <c r="E2781" t="s">
        <v>20</v>
      </c>
      <c r="F2781" s="4" t="s">
        <v>27</v>
      </c>
      <c r="G2781" s="4" t="s">
        <v>40</v>
      </c>
      <c r="H2781" s="4">
        <v>2</v>
      </c>
      <c r="I2781" s="4">
        <v>1</v>
      </c>
      <c r="J2781" s="1">
        <v>45685</v>
      </c>
      <c r="K2781" s="2">
        <v>9.5509259259259262E-3</v>
      </c>
      <c r="M2781" s="4" t="str">
        <f t="shared" si="129"/>
        <v>HIGH</v>
      </c>
      <c r="N2781" s="4" t="str" cm="1">
        <f t="array" ref="N2781">_xlfn.IFS(C2781&gt;35,"HIGH",C2781&gt;25,"MIDDLE",TRUE,"LOW")</f>
        <v>HIGH</v>
      </c>
      <c r="O2781" s="4" t="str">
        <f t="shared" si="130"/>
        <v>OTHERS</v>
      </c>
      <c r="P2781" s="4" t="str">
        <f t="shared" si="131"/>
        <v>PREMINUM MORNING</v>
      </c>
    </row>
    <row r="2782" spans="1:16" x14ac:dyDescent="0.3">
      <c r="A2782" s="4">
        <v>9</v>
      </c>
      <c r="B2782" t="s">
        <v>11</v>
      </c>
      <c r="C2782" s="4">
        <v>25.96</v>
      </c>
      <c r="D2782" t="s">
        <v>18</v>
      </c>
      <c r="E2782" t="s">
        <v>13</v>
      </c>
      <c r="F2782" s="4" t="s">
        <v>28</v>
      </c>
      <c r="G2782" s="4" t="s">
        <v>40</v>
      </c>
      <c r="H2782" s="4">
        <v>3</v>
      </c>
      <c r="I2782" s="4">
        <v>1</v>
      </c>
      <c r="J2782" s="1">
        <v>45686</v>
      </c>
      <c r="K2782" s="2">
        <v>2.6935185185185184E-2</v>
      </c>
      <c r="M2782" s="4" t="str">
        <f t="shared" si="129"/>
        <v>LOW</v>
      </c>
      <c r="N2782" s="4" t="str" cm="1">
        <f t="array" ref="N2782">_xlfn.IFS(C2782&gt;35,"HIGH",C2782&gt;25,"MIDDLE",TRUE,"LOW")</f>
        <v>MIDDLE</v>
      </c>
      <c r="O2782" s="4" t="str">
        <f t="shared" si="130"/>
        <v>OTHERS</v>
      </c>
      <c r="P2782" s="4" t="str">
        <f t="shared" si="131"/>
        <v>PREMINUM MORNING</v>
      </c>
    </row>
    <row r="2783" spans="1:16" x14ac:dyDescent="0.3">
      <c r="A2783" s="4">
        <v>16</v>
      </c>
      <c r="B2783" t="s">
        <v>11</v>
      </c>
      <c r="C2783" s="4">
        <v>25.96</v>
      </c>
      <c r="D2783" t="s">
        <v>18</v>
      </c>
      <c r="E2783" t="s">
        <v>17</v>
      </c>
      <c r="F2783" s="4" t="s">
        <v>28</v>
      </c>
      <c r="G2783" s="4" t="s">
        <v>40</v>
      </c>
      <c r="H2783" s="4">
        <v>3</v>
      </c>
      <c r="I2783" s="4">
        <v>1</v>
      </c>
      <c r="J2783" s="1">
        <v>45686</v>
      </c>
      <c r="K2783" s="2">
        <v>1.7787037037037035E-2</v>
      </c>
      <c r="M2783" s="4" t="str">
        <f t="shared" si="129"/>
        <v>LOW</v>
      </c>
      <c r="N2783" s="4" t="str" cm="1">
        <f t="array" ref="N2783">_xlfn.IFS(C2783&gt;35,"HIGH",C2783&gt;25,"MIDDLE",TRUE,"LOW")</f>
        <v>MIDDLE</v>
      </c>
      <c r="O2783" s="4" t="str">
        <f t="shared" si="130"/>
        <v>OTHERS</v>
      </c>
      <c r="P2783" s="4" t="str">
        <f t="shared" si="131"/>
        <v>OTHERS</v>
      </c>
    </row>
    <row r="2784" spans="1:16" x14ac:dyDescent="0.3">
      <c r="A2784" s="4">
        <v>19</v>
      </c>
      <c r="B2784" t="s">
        <v>11</v>
      </c>
      <c r="C2784" s="4">
        <v>30.86</v>
      </c>
      <c r="D2784" t="s">
        <v>19</v>
      </c>
      <c r="E2784" t="s">
        <v>20</v>
      </c>
      <c r="F2784" s="4" t="s">
        <v>28</v>
      </c>
      <c r="G2784" s="4" t="s">
        <v>40</v>
      </c>
      <c r="H2784" s="4">
        <v>3</v>
      </c>
      <c r="I2784" s="4">
        <v>1</v>
      </c>
      <c r="J2784" s="1">
        <v>45686</v>
      </c>
      <c r="K2784" s="2">
        <v>1.3290509259259259E-2</v>
      </c>
      <c r="M2784" s="4" t="str">
        <f t="shared" si="129"/>
        <v>LOW</v>
      </c>
      <c r="N2784" s="4" t="str" cm="1">
        <f t="array" ref="N2784">_xlfn.IFS(C2784&gt;35,"HIGH",C2784&gt;25,"MIDDLE",TRUE,"LOW")</f>
        <v>MIDDLE</v>
      </c>
      <c r="O2784" s="4" t="str">
        <f t="shared" si="130"/>
        <v>OTHERS</v>
      </c>
      <c r="P2784" s="4" t="str">
        <f t="shared" si="131"/>
        <v>OTHERS</v>
      </c>
    </row>
    <row r="2785" spans="1:16" x14ac:dyDescent="0.3">
      <c r="A2785" s="4">
        <v>19</v>
      </c>
      <c r="B2785" t="s">
        <v>11</v>
      </c>
      <c r="C2785" s="4">
        <v>21.06</v>
      </c>
      <c r="D2785" t="s">
        <v>26</v>
      </c>
      <c r="E2785" t="s">
        <v>20</v>
      </c>
      <c r="F2785" s="4" t="s">
        <v>28</v>
      </c>
      <c r="G2785" s="4" t="s">
        <v>40</v>
      </c>
      <c r="H2785" s="4">
        <v>3</v>
      </c>
      <c r="I2785" s="4">
        <v>1</v>
      </c>
      <c r="J2785" s="1">
        <v>45686</v>
      </c>
      <c r="K2785" s="2">
        <v>1.429050925925926E-2</v>
      </c>
      <c r="M2785" s="4" t="str">
        <f t="shared" si="129"/>
        <v>LOW</v>
      </c>
      <c r="N2785" s="4" t="str" cm="1">
        <f t="array" ref="N2785">_xlfn.IFS(C2785&gt;35,"HIGH",C2785&gt;25,"MIDDLE",TRUE,"LOW")</f>
        <v>LOW</v>
      </c>
      <c r="O2785" s="4" t="str">
        <f t="shared" si="130"/>
        <v>OTHERS</v>
      </c>
      <c r="P2785" s="4" t="str">
        <f t="shared" si="131"/>
        <v>OTHERS</v>
      </c>
    </row>
    <row r="2786" spans="1:16" x14ac:dyDescent="0.3">
      <c r="A2786" s="4">
        <v>9</v>
      </c>
      <c r="B2786" t="s">
        <v>11</v>
      </c>
      <c r="C2786" s="4">
        <v>30.86</v>
      </c>
      <c r="D2786" t="s">
        <v>19</v>
      </c>
      <c r="E2786" t="s">
        <v>13</v>
      </c>
      <c r="F2786" s="4" t="s">
        <v>30</v>
      </c>
      <c r="G2786" s="4" t="s">
        <v>40</v>
      </c>
      <c r="H2786" s="4">
        <v>4</v>
      </c>
      <c r="I2786" s="4">
        <v>1</v>
      </c>
      <c r="J2786" s="1">
        <v>45687</v>
      </c>
      <c r="K2786" s="2">
        <v>1.2563657407407407E-2</v>
      </c>
      <c r="M2786" s="4" t="str">
        <f t="shared" si="129"/>
        <v>LOW</v>
      </c>
      <c r="N2786" s="4" t="str" cm="1">
        <f t="array" ref="N2786">_xlfn.IFS(C2786&gt;35,"HIGH",C2786&gt;25,"MIDDLE",TRUE,"LOW")</f>
        <v>MIDDLE</v>
      </c>
      <c r="O2786" s="4" t="str">
        <f t="shared" si="130"/>
        <v>OTHERS</v>
      </c>
      <c r="P2786" s="4" t="str">
        <f t="shared" si="131"/>
        <v>PREMINUM MORNING</v>
      </c>
    </row>
    <row r="2787" spans="1:16" x14ac:dyDescent="0.3">
      <c r="A2787" s="4">
        <v>10</v>
      </c>
      <c r="B2787" t="s">
        <v>11</v>
      </c>
      <c r="C2787" s="4">
        <v>30.86</v>
      </c>
      <c r="D2787" t="s">
        <v>19</v>
      </c>
      <c r="E2787" t="s">
        <v>13</v>
      </c>
      <c r="F2787" s="4" t="s">
        <v>30</v>
      </c>
      <c r="G2787" s="4" t="s">
        <v>40</v>
      </c>
      <c r="H2787" s="4">
        <v>4</v>
      </c>
      <c r="I2787" s="4">
        <v>1</v>
      </c>
      <c r="J2787" s="1">
        <v>45687</v>
      </c>
      <c r="K2787" s="2">
        <v>8.7256944444444439E-3</v>
      </c>
      <c r="M2787" s="4" t="str">
        <f t="shared" si="129"/>
        <v>LOW</v>
      </c>
      <c r="N2787" s="4" t="str" cm="1">
        <f t="array" ref="N2787">_xlfn.IFS(C2787&gt;35,"HIGH",C2787&gt;25,"MIDDLE",TRUE,"LOW")</f>
        <v>MIDDLE</v>
      </c>
      <c r="O2787" s="4" t="str">
        <f t="shared" si="130"/>
        <v>OTHERS</v>
      </c>
      <c r="P2787" s="4" t="str">
        <f t="shared" si="131"/>
        <v>PREMINUM MORNING</v>
      </c>
    </row>
    <row r="2788" spans="1:16" x14ac:dyDescent="0.3">
      <c r="A2788" s="4">
        <v>11</v>
      </c>
      <c r="B2788" t="s">
        <v>11</v>
      </c>
      <c r="C2788" s="4">
        <v>25.96</v>
      </c>
      <c r="D2788" t="s">
        <v>24</v>
      </c>
      <c r="E2788" t="s">
        <v>13</v>
      </c>
      <c r="F2788" s="4" t="s">
        <v>30</v>
      </c>
      <c r="G2788" s="4" t="s">
        <v>40</v>
      </c>
      <c r="H2788" s="4">
        <v>4</v>
      </c>
      <c r="I2788" s="4">
        <v>1</v>
      </c>
      <c r="J2788" s="1">
        <v>45687</v>
      </c>
      <c r="K2788" s="2">
        <v>1.8393518518518517E-2</v>
      </c>
      <c r="M2788" s="4" t="str">
        <f t="shared" si="129"/>
        <v>LOW</v>
      </c>
      <c r="N2788" s="4" t="str" cm="1">
        <f t="array" ref="N2788">_xlfn.IFS(C2788&gt;35,"HIGH",C2788&gt;25,"MIDDLE",TRUE,"LOW")</f>
        <v>MIDDLE</v>
      </c>
      <c r="O2788" s="4" t="str">
        <f t="shared" si="130"/>
        <v>OTHERS</v>
      </c>
      <c r="P2788" s="4" t="str">
        <f t="shared" si="131"/>
        <v>PREMINUM MORNING</v>
      </c>
    </row>
    <row r="2789" spans="1:16" x14ac:dyDescent="0.3">
      <c r="A2789" s="4">
        <v>12</v>
      </c>
      <c r="B2789" t="s">
        <v>11</v>
      </c>
      <c r="C2789" s="4">
        <v>35.76</v>
      </c>
      <c r="D2789" t="s">
        <v>16</v>
      </c>
      <c r="E2789" t="s">
        <v>17</v>
      </c>
      <c r="F2789" s="4" t="s">
        <v>30</v>
      </c>
      <c r="G2789" s="4" t="s">
        <v>40</v>
      </c>
      <c r="H2789" s="4">
        <v>4</v>
      </c>
      <c r="I2789" s="4">
        <v>1</v>
      </c>
      <c r="J2789" s="1">
        <v>45687</v>
      </c>
      <c r="K2789" s="2">
        <v>2.9348379629629627E-2</v>
      </c>
      <c r="M2789" s="4" t="str">
        <f t="shared" si="129"/>
        <v>HIGH</v>
      </c>
      <c r="N2789" s="4" t="str" cm="1">
        <f t="array" ref="N2789">_xlfn.IFS(C2789&gt;35,"HIGH",C2789&gt;25,"MIDDLE",TRUE,"LOW")</f>
        <v>HIGH</v>
      </c>
      <c r="O2789" s="4" t="str">
        <f t="shared" si="130"/>
        <v>OTHERS</v>
      </c>
      <c r="P2789" s="4" t="str">
        <f t="shared" si="131"/>
        <v>PREMINUM MORNING</v>
      </c>
    </row>
    <row r="2790" spans="1:16" x14ac:dyDescent="0.3">
      <c r="A2790" s="4">
        <v>13</v>
      </c>
      <c r="B2790" t="s">
        <v>11</v>
      </c>
      <c r="C2790" s="4">
        <v>25.96</v>
      </c>
      <c r="D2790" t="s">
        <v>18</v>
      </c>
      <c r="E2790" t="s">
        <v>17</v>
      </c>
      <c r="F2790" s="4" t="s">
        <v>30</v>
      </c>
      <c r="G2790" s="4" t="s">
        <v>40</v>
      </c>
      <c r="H2790" s="4">
        <v>4</v>
      </c>
      <c r="I2790" s="4">
        <v>1</v>
      </c>
      <c r="J2790" s="1">
        <v>45687</v>
      </c>
      <c r="K2790" s="2">
        <v>1.3969907407407407E-3</v>
      </c>
      <c r="M2790" s="4" t="str">
        <f t="shared" si="129"/>
        <v>LOW</v>
      </c>
      <c r="N2790" s="4" t="str" cm="1">
        <f t="array" ref="N2790">_xlfn.IFS(C2790&gt;35,"HIGH",C2790&gt;25,"MIDDLE",TRUE,"LOW")</f>
        <v>MIDDLE</v>
      </c>
      <c r="O2790" s="4" t="str">
        <f t="shared" si="130"/>
        <v>OTHERS</v>
      </c>
      <c r="P2790" s="4" t="str">
        <f t="shared" si="131"/>
        <v>OTHERS</v>
      </c>
    </row>
    <row r="2791" spans="1:16" x14ac:dyDescent="0.3">
      <c r="A2791" s="4">
        <v>14</v>
      </c>
      <c r="B2791" t="s">
        <v>11</v>
      </c>
      <c r="C2791" s="4">
        <v>30.86</v>
      </c>
      <c r="D2791" t="s">
        <v>19</v>
      </c>
      <c r="E2791" t="s">
        <v>17</v>
      </c>
      <c r="F2791" s="4" t="s">
        <v>30</v>
      </c>
      <c r="G2791" s="4" t="s">
        <v>40</v>
      </c>
      <c r="H2791" s="4">
        <v>4</v>
      </c>
      <c r="I2791" s="4">
        <v>1</v>
      </c>
      <c r="J2791" s="1">
        <v>45687</v>
      </c>
      <c r="K2791" s="2">
        <v>2.8961805555555557E-2</v>
      </c>
      <c r="M2791" s="4" t="str">
        <f t="shared" si="129"/>
        <v>LOW</v>
      </c>
      <c r="N2791" s="4" t="str" cm="1">
        <f t="array" ref="N2791">_xlfn.IFS(C2791&gt;35,"HIGH",C2791&gt;25,"MIDDLE",TRUE,"LOW")</f>
        <v>MIDDLE</v>
      </c>
      <c r="O2791" s="4" t="str">
        <f t="shared" si="130"/>
        <v>OTHERS</v>
      </c>
      <c r="P2791" s="4" t="str">
        <f t="shared" si="131"/>
        <v>OTHERS</v>
      </c>
    </row>
    <row r="2792" spans="1:16" x14ac:dyDescent="0.3">
      <c r="A2792" s="4">
        <v>17</v>
      </c>
      <c r="B2792" t="s">
        <v>11</v>
      </c>
      <c r="C2792" s="4">
        <v>35.76</v>
      </c>
      <c r="D2792" t="s">
        <v>16</v>
      </c>
      <c r="E2792" t="s">
        <v>20</v>
      </c>
      <c r="F2792" s="4" t="s">
        <v>30</v>
      </c>
      <c r="G2792" s="4" t="s">
        <v>40</v>
      </c>
      <c r="H2792" s="4">
        <v>4</v>
      </c>
      <c r="I2792" s="4">
        <v>1</v>
      </c>
      <c r="J2792" s="1">
        <v>45687</v>
      </c>
      <c r="K2792" s="2">
        <v>1.3060185185185187E-2</v>
      </c>
      <c r="M2792" s="4" t="str">
        <f t="shared" si="129"/>
        <v>HIGH</v>
      </c>
      <c r="N2792" s="4" t="str" cm="1">
        <f t="array" ref="N2792">_xlfn.IFS(C2792&gt;35,"HIGH",C2792&gt;25,"MIDDLE",TRUE,"LOW")</f>
        <v>HIGH</v>
      </c>
      <c r="O2792" s="4" t="str">
        <f t="shared" si="130"/>
        <v>OTHERS</v>
      </c>
      <c r="P2792" s="4" t="str">
        <f t="shared" si="131"/>
        <v>PREMINUM MORNING</v>
      </c>
    </row>
    <row r="2793" spans="1:16" x14ac:dyDescent="0.3">
      <c r="A2793" s="4">
        <v>18</v>
      </c>
      <c r="B2793" t="s">
        <v>11</v>
      </c>
      <c r="C2793" s="4">
        <v>30.86</v>
      </c>
      <c r="D2793" t="s">
        <v>19</v>
      </c>
      <c r="E2793" t="s">
        <v>20</v>
      </c>
      <c r="F2793" s="4" t="s">
        <v>30</v>
      </c>
      <c r="G2793" s="4" t="s">
        <v>40</v>
      </c>
      <c r="H2793" s="4">
        <v>4</v>
      </c>
      <c r="I2793" s="4">
        <v>1</v>
      </c>
      <c r="J2793" s="1">
        <v>45687</v>
      </c>
      <c r="K2793" s="2">
        <v>1.6744212962962964E-2</v>
      </c>
      <c r="M2793" s="4" t="str">
        <f t="shared" si="129"/>
        <v>LOW</v>
      </c>
      <c r="N2793" s="4" t="str" cm="1">
        <f t="array" ref="N2793">_xlfn.IFS(C2793&gt;35,"HIGH",C2793&gt;25,"MIDDLE",TRUE,"LOW")</f>
        <v>MIDDLE</v>
      </c>
      <c r="O2793" s="4" t="str">
        <f t="shared" si="130"/>
        <v>OTHERS</v>
      </c>
      <c r="P2793" s="4" t="str">
        <f t="shared" si="131"/>
        <v>OTHERS</v>
      </c>
    </row>
    <row r="2794" spans="1:16" x14ac:dyDescent="0.3">
      <c r="A2794" s="4">
        <v>18</v>
      </c>
      <c r="B2794" t="s">
        <v>11</v>
      </c>
      <c r="C2794" s="4">
        <v>25.96</v>
      </c>
      <c r="D2794" t="s">
        <v>24</v>
      </c>
      <c r="E2794" t="s">
        <v>20</v>
      </c>
      <c r="F2794" s="4" t="s">
        <v>30</v>
      </c>
      <c r="G2794" s="4" t="s">
        <v>40</v>
      </c>
      <c r="H2794" s="4">
        <v>4</v>
      </c>
      <c r="I2794" s="4">
        <v>1</v>
      </c>
      <c r="J2794" s="1">
        <v>45687</v>
      </c>
      <c r="K2794" s="2">
        <v>2.90474537037037E-2</v>
      </c>
      <c r="M2794" s="4" t="str">
        <f t="shared" si="129"/>
        <v>LOW</v>
      </c>
      <c r="N2794" s="4" t="str" cm="1">
        <f t="array" ref="N2794">_xlfn.IFS(C2794&gt;35,"HIGH",C2794&gt;25,"MIDDLE",TRUE,"LOW")</f>
        <v>MIDDLE</v>
      </c>
      <c r="O2794" s="4" t="str">
        <f t="shared" si="130"/>
        <v>OTHERS</v>
      </c>
      <c r="P2794" s="4" t="str">
        <f t="shared" si="131"/>
        <v>OTHERS</v>
      </c>
    </row>
    <row r="2795" spans="1:16" x14ac:dyDescent="0.3">
      <c r="A2795" s="4">
        <v>8</v>
      </c>
      <c r="B2795" t="s">
        <v>11</v>
      </c>
      <c r="C2795" s="4">
        <v>25.96</v>
      </c>
      <c r="D2795" t="s">
        <v>18</v>
      </c>
      <c r="E2795" t="s">
        <v>13</v>
      </c>
      <c r="F2795" s="4" t="s">
        <v>14</v>
      </c>
      <c r="G2795" s="4" t="s">
        <v>40</v>
      </c>
      <c r="H2795" s="4">
        <v>5</v>
      </c>
      <c r="I2795" s="4">
        <v>1</v>
      </c>
      <c r="J2795" s="1">
        <v>45688</v>
      </c>
      <c r="K2795" s="2">
        <v>2.8372685185185185E-2</v>
      </c>
      <c r="M2795" s="4" t="str">
        <f t="shared" si="129"/>
        <v>LOW</v>
      </c>
      <c r="N2795" s="4" t="str" cm="1">
        <f t="array" ref="N2795">_xlfn.IFS(C2795&gt;35,"HIGH",C2795&gt;25,"MIDDLE",TRUE,"LOW")</f>
        <v>MIDDLE</v>
      </c>
      <c r="O2795" s="4" t="str">
        <f t="shared" si="130"/>
        <v>OTHERS</v>
      </c>
      <c r="P2795" s="4" t="str">
        <f t="shared" si="131"/>
        <v>PREMINUM MORNING</v>
      </c>
    </row>
    <row r="2796" spans="1:16" x14ac:dyDescent="0.3">
      <c r="A2796" s="4">
        <v>8</v>
      </c>
      <c r="B2796" t="s">
        <v>11</v>
      </c>
      <c r="C2796" s="4">
        <v>30.86</v>
      </c>
      <c r="D2796" t="s">
        <v>19</v>
      </c>
      <c r="E2796" t="s">
        <v>13</v>
      </c>
      <c r="F2796" s="4" t="s">
        <v>14</v>
      </c>
      <c r="G2796" s="4" t="s">
        <v>40</v>
      </c>
      <c r="H2796" s="4">
        <v>5</v>
      </c>
      <c r="I2796" s="4">
        <v>1</v>
      </c>
      <c r="J2796" s="1">
        <v>45688</v>
      </c>
      <c r="K2796" s="2">
        <v>2.8989583333333332E-2</v>
      </c>
      <c r="M2796" s="4" t="str">
        <f t="shared" si="129"/>
        <v>LOW</v>
      </c>
      <c r="N2796" s="4" t="str" cm="1">
        <f t="array" ref="N2796">_xlfn.IFS(C2796&gt;35,"HIGH",C2796&gt;25,"MIDDLE",TRUE,"LOW")</f>
        <v>MIDDLE</v>
      </c>
      <c r="O2796" s="4" t="str">
        <f t="shared" si="130"/>
        <v>OTHERS</v>
      </c>
      <c r="P2796" s="4" t="str">
        <f t="shared" si="131"/>
        <v>PREMINUM MORNING</v>
      </c>
    </row>
    <row r="2797" spans="1:16" x14ac:dyDescent="0.3">
      <c r="A2797" s="4">
        <v>9</v>
      </c>
      <c r="B2797" t="s">
        <v>11</v>
      </c>
      <c r="C2797" s="4">
        <v>30.86</v>
      </c>
      <c r="D2797" t="s">
        <v>19</v>
      </c>
      <c r="E2797" t="s">
        <v>13</v>
      </c>
      <c r="F2797" s="4" t="s">
        <v>14</v>
      </c>
      <c r="G2797" s="4" t="s">
        <v>40</v>
      </c>
      <c r="H2797" s="4">
        <v>5</v>
      </c>
      <c r="I2797" s="4">
        <v>1</v>
      </c>
      <c r="J2797" s="1">
        <v>45688</v>
      </c>
      <c r="K2797" s="2">
        <v>1.1976851851851851E-2</v>
      </c>
      <c r="M2797" s="4" t="str">
        <f t="shared" si="129"/>
        <v>LOW</v>
      </c>
      <c r="N2797" s="4" t="str" cm="1">
        <f t="array" ref="N2797">_xlfn.IFS(C2797&gt;35,"HIGH",C2797&gt;25,"MIDDLE",TRUE,"LOW")</f>
        <v>MIDDLE</v>
      </c>
      <c r="O2797" s="4" t="str">
        <f t="shared" si="130"/>
        <v>OTHERS</v>
      </c>
      <c r="P2797" s="4" t="str">
        <f t="shared" si="131"/>
        <v>PREMINUM MORNING</v>
      </c>
    </row>
    <row r="2798" spans="1:16" x14ac:dyDescent="0.3">
      <c r="A2798" s="4">
        <v>9</v>
      </c>
      <c r="B2798" t="s">
        <v>11</v>
      </c>
      <c r="C2798" s="4">
        <v>35.76</v>
      </c>
      <c r="D2798" t="s">
        <v>21</v>
      </c>
      <c r="E2798" t="s">
        <v>13</v>
      </c>
      <c r="F2798" s="4" t="s">
        <v>14</v>
      </c>
      <c r="G2798" s="4" t="s">
        <v>40</v>
      </c>
      <c r="H2798" s="4">
        <v>5</v>
      </c>
      <c r="I2798" s="4">
        <v>1</v>
      </c>
      <c r="J2798" s="1">
        <v>45688</v>
      </c>
      <c r="K2798" s="2">
        <v>1.4016203703703704E-2</v>
      </c>
      <c r="M2798" s="4" t="str">
        <f t="shared" si="129"/>
        <v>HIGH</v>
      </c>
      <c r="N2798" s="4" t="str" cm="1">
        <f t="array" ref="N2798">_xlfn.IFS(C2798&gt;35,"HIGH",C2798&gt;25,"MIDDLE",TRUE,"LOW")</f>
        <v>HIGH</v>
      </c>
      <c r="O2798" s="4" t="str">
        <f t="shared" si="130"/>
        <v>PREMINUM MORNING</v>
      </c>
      <c r="P2798" s="4" t="str">
        <f t="shared" si="131"/>
        <v>PREMINUM MORNING</v>
      </c>
    </row>
    <row r="2799" spans="1:16" x14ac:dyDescent="0.3">
      <c r="A2799" s="4">
        <v>9</v>
      </c>
      <c r="B2799" t="s">
        <v>11</v>
      </c>
      <c r="C2799" s="4">
        <v>35.76</v>
      </c>
      <c r="D2799" t="s">
        <v>29</v>
      </c>
      <c r="E2799" t="s">
        <v>13</v>
      </c>
      <c r="F2799" s="4" t="s">
        <v>14</v>
      </c>
      <c r="G2799" s="4" t="s">
        <v>40</v>
      </c>
      <c r="H2799" s="4">
        <v>5</v>
      </c>
      <c r="I2799" s="4">
        <v>1</v>
      </c>
      <c r="J2799" s="1">
        <v>45688</v>
      </c>
      <c r="K2799" s="2">
        <v>1.8597222222222223E-2</v>
      </c>
      <c r="M2799" s="4" t="str">
        <f t="shared" si="129"/>
        <v>HIGH</v>
      </c>
      <c r="N2799" s="4" t="str" cm="1">
        <f t="array" ref="N2799">_xlfn.IFS(C2799&gt;35,"HIGH",C2799&gt;25,"MIDDLE",TRUE,"LOW")</f>
        <v>HIGH</v>
      </c>
      <c r="O2799" s="4" t="str">
        <f t="shared" si="130"/>
        <v>PREMINUM MORNING</v>
      </c>
      <c r="P2799" s="4" t="str">
        <f t="shared" si="131"/>
        <v>PREMINUM MORNING</v>
      </c>
    </row>
    <row r="2800" spans="1:16" x14ac:dyDescent="0.3">
      <c r="A2800" s="4">
        <v>9</v>
      </c>
      <c r="B2800" t="s">
        <v>11</v>
      </c>
      <c r="C2800" s="4">
        <v>35.76</v>
      </c>
      <c r="D2800" t="s">
        <v>29</v>
      </c>
      <c r="E2800" t="s">
        <v>13</v>
      </c>
      <c r="F2800" s="4" t="s">
        <v>14</v>
      </c>
      <c r="G2800" s="4" t="s">
        <v>40</v>
      </c>
      <c r="H2800" s="4">
        <v>5</v>
      </c>
      <c r="I2800" s="4">
        <v>1</v>
      </c>
      <c r="J2800" s="1">
        <v>45688</v>
      </c>
      <c r="K2800" s="2">
        <v>1.9302083333333334E-2</v>
      </c>
      <c r="M2800" s="4" t="str">
        <f t="shared" si="129"/>
        <v>HIGH</v>
      </c>
      <c r="N2800" s="4" t="str" cm="1">
        <f t="array" ref="N2800">_xlfn.IFS(C2800&gt;35,"HIGH",C2800&gt;25,"MIDDLE",TRUE,"LOW")</f>
        <v>HIGH</v>
      </c>
      <c r="O2800" s="4" t="str">
        <f t="shared" si="130"/>
        <v>PREMINUM MORNING</v>
      </c>
      <c r="P2800" s="4" t="str">
        <f t="shared" si="131"/>
        <v>PREMINUM MORNING</v>
      </c>
    </row>
    <row r="2801" spans="1:16" x14ac:dyDescent="0.3">
      <c r="A2801" s="4">
        <v>12</v>
      </c>
      <c r="B2801" t="s">
        <v>11</v>
      </c>
      <c r="C2801" s="4">
        <v>35.76</v>
      </c>
      <c r="D2801" t="s">
        <v>12</v>
      </c>
      <c r="E2801" t="s">
        <v>17</v>
      </c>
      <c r="F2801" s="4" t="s">
        <v>14</v>
      </c>
      <c r="G2801" s="4" t="s">
        <v>40</v>
      </c>
      <c r="H2801" s="4">
        <v>5</v>
      </c>
      <c r="I2801" s="4">
        <v>1</v>
      </c>
      <c r="J2801" s="1">
        <v>45688</v>
      </c>
      <c r="K2801" s="2">
        <v>2.1541666666666667E-2</v>
      </c>
      <c r="M2801" s="4" t="str">
        <f t="shared" si="129"/>
        <v>HIGH</v>
      </c>
      <c r="N2801" s="4" t="str" cm="1">
        <f t="array" ref="N2801">_xlfn.IFS(C2801&gt;35,"HIGH",C2801&gt;25,"MIDDLE",TRUE,"LOW")</f>
        <v>HIGH</v>
      </c>
      <c r="O2801" s="4" t="str">
        <f t="shared" si="130"/>
        <v>OTHERS</v>
      </c>
      <c r="P2801" s="4" t="str">
        <f t="shared" si="131"/>
        <v>PREMINUM MORNING</v>
      </c>
    </row>
    <row r="2802" spans="1:16" x14ac:dyDescent="0.3">
      <c r="A2802" s="4">
        <v>12</v>
      </c>
      <c r="B2802" t="s">
        <v>11</v>
      </c>
      <c r="C2802" s="4">
        <v>35.76</v>
      </c>
      <c r="D2802" t="s">
        <v>12</v>
      </c>
      <c r="E2802" t="s">
        <v>17</v>
      </c>
      <c r="F2802" s="4" t="s">
        <v>14</v>
      </c>
      <c r="G2802" s="4" t="s">
        <v>40</v>
      </c>
      <c r="H2802" s="4">
        <v>5</v>
      </c>
      <c r="I2802" s="4">
        <v>1</v>
      </c>
      <c r="J2802" s="1">
        <v>45688</v>
      </c>
      <c r="K2802" s="2">
        <v>3.7797453703703701E-2</v>
      </c>
      <c r="M2802" s="4" t="str">
        <f t="shared" si="129"/>
        <v>HIGH</v>
      </c>
      <c r="N2802" s="4" t="str" cm="1">
        <f t="array" ref="N2802">_xlfn.IFS(C2802&gt;35,"HIGH",C2802&gt;25,"MIDDLE",TRUE,"LOW")</f>
        <v>HIGH</v>
      </c>
      <c r="O2802" s="4" t="str">
        <f t="shared" si="130"/>
        <v>OTHERS</v>
      </c>
      <c r="P2802" s="4" t="str">
        <f t="shared" si="131"/>
        <v>PREMINUM MORNING</v>
      </c>
    </row>
    <row r="2803" spans="1:16" x14ac:dyDescent="0.3">
      <c r="A2803" s="4">
        <v>14</v>
      </c>
      <c r="B2803" t="s">
        <v>11</v>
      </c>
      <c r="C2803" s="4">
        <v>35.76</v>
      </c>
      <c r="D2803" t="s">
        <v>29</v>
      </c>
      <c r="E2803" t="s">
        <v>17</v>
      </c>
      <c r="F2803" s="4" t="s">
        <v>14</v>
      </c>
      <c r="G2803" s="4" t="s">
        <v>40</v>
      </c>
      <c r="H2803" s="4">
        <v>5</v>
      </c>
      <c r="I2803" s="4">
        <v>1</v>
      </c>
      <c r="J2803" s="1">
        <v>45688</v>
      </c>
      <c r="K2803" s="2">
        <v>2.0636574074074077E-3</v>
      </c>
      <c r="M2803" s="4" t="str">
        <f t="shared" si="129"/>
        <v>HIGH</v>
      </c>
      <c r="N2803" s="4" t="str" cm="1">
        <f t="array" ref="N2803">_xlfn.IFS(C2803&gt;35,"HIGH",C2803&gt;25,"MIDDLE",TRUE,"LOW")</f>
        <v>HIGH</v>
      </c>
      <c r="O2803" s="4" t="str">
        <f t="shared" si="130"/>
        <v>OTHERS</v>
      </c>
      <c r="P2803" s="4" t="str">
        <f t="shared" si="131"/>
        <v>PREMINUM MORNING</v>
      </c>
    </row>
    <row r="2804" spans="1:16" x14ac:dyDescent="0.3">
      <c r="A2804" s="4">
        <v>16</v>
      </c>
      <c r="B2804" t="s">
        <v>11</v>
      </c>
      <c r="C2804" s="4">
        <v>30.86</v>
      </c>
      <c r="D2804" t="s">
        <v>19</v>
      </c>
      <c r="E2804" t="s">
        <v>17</v>
      </c>
      <c r="F2804" s="4" t="s">
        <v>14</v>
      </c>
      <c r="G2804" s="4" t="s">
        <v>40</v>
      </c>
      <c r="H2804" s="4">
        <v>5</v>
      </c>
      <c r="I2804" s="4">
        <v>1</v>
      </c>
      <c r="J2804" s="1">
        <v>45688</v>
      </c>
      <c r="K2804" s="2">
        <v>3.3726851851851855E-2</v>
      </c>
      <c r="M2804" s="4" t="str">
        <f t="shared" si="129"/>
        <v>LOW</v>
      </c>
      <c r="N2804" s="4" t="str" cm="1">
        <f t="array" ref="N2804">_xlfn.IFS(C2804&gt;35,"HIGH",C2804&gt;25,"MIDDLE",TRUE,"LOW")</f>
        <v>MIDDLE</v>
      </c>
      <c r="O2804" s="4" t="str">
        <f t="shared" si="130"/>
        <v>OTHERS</v>
      </c>
      <c r="P2804" s="4" t="str">
        <f t="shared" si="131"/>
        <v>OTHERS</v>
      </c>
    </row>
    <row r="2805" spans="1:16" x14ac:dyDescent="0.3">
      <c r="A2805" s="4">
        <v>22</v>
      </c>
      <c r="B2805" t="s">
        <v>11</v>
      </c>
      <c r="C2805" s="4">
        <v>30.86</v>
      </c>
      <c r="D2805" t="s">
        <v>19</v>
      </c>
      <c r="E2805" t="s">
        <v>20</v>
      </c>
      <c r="F2805" s="4" t="s">
        <v>14</v>
      </c>
      <c r="G2805" s="4" t="s">
        <v>40</v>
      </c>
      <c r="H2805" s="4">
        <v>5</v>
      </c>
      <c r="I2805" s="4">
        <v>1</v>
      </c>
      <c r="J2805" s="1">
        <v>45688</v>
      </c>
      <c r="K2805" s="2">
        <v>2.4986111111111112E-2</v>
      </c>
      <c r="M2805" s="4" t="str">
        <f t="shared" si="129"/>
        <v>LOW</v>
      </c>
      <c r="N2805" s="4" t="str" cm="1">
        <f t="array" ref="N2805">_xlfn.IFS(C2805&gt;35,"HIGH",C2805&gt;25,"MIDDLE",TRUE,"LOW")</f>
        <v>MIDDLE</v>
      </c>
      <c r="O2805" s="4" t="str">
        <f t="shared" si="130"/>
        <v>OTHERS</v>
      </c>
      <c r="P2805" s="4" t="str">
        <f t="shared" si="131"/>
        <v>OTHERS</v>
      </c>
    </row>
    <row r="2806" spans="1:16" x14ac:dyDescent="0.3">
      <c r="A2806" s="4">
        <v>22</v>
      </c>
      <c r="B2806" t="s">
        <v>11</v>
      </c>
      <c r="C2806" s="4">
        <v>25.96</v>
      </c>
      <c r="D2806" t="s">
        <v>18</v>
      </c>
      <c r="E2806" t="s">
        <v>20</v>
      </c>
      <c r="F2806" s="4" t="s">
        <v>14</v>
      </c>
      <c r="G2806" s="4" t="s">
        <v>40</v>
      </c>
      <c r="H2806" s="4">
        <v>5</v>
      </c>
      <c r="I2806" s="4">
        <v>1</v>
      </c>
      <c r="J2806" s="1">
        <v>45688</v>
      </c>
      <c r="K2806" s="2">
        <v>2.5717592592592594E-2</v>
      </c>
      <c r="M2806" s="4" t="str">
        <f t="shared" si="129"/>
        <v>LOW</v>
      </c>
      <c r="N2806" s="4" t="str" cm="1">
        <f t="array" ref="N2806">_xlfn.IFS(C2806&gt;35,"HIGH",C2806&gt;25,"MIDDLE",TRUE,"LOW")</f>
        <v>MIDDLE</v>
      </c>
      <c r="O2806" s="4" t="str">
        <f t="shared" si="130"/>
        <v>OTHERS</v>
      </c>
      <c r="P2806" s="4" t="str">
        <f t="shared" si="131"/>
        <v>OTHERS</v>
      </c>
    </row>
    <row r="2807" spans="1:16" x14ac:dyDescent="0.3">
      <c r="A2807" s="4">
        <v>8</v>
      </c>
      <c r="B2807" t="s">
        <v>11</v>
      </c>
      <c r="C2807" s="4">
        <v>30.86</v>
      </c>
      <c r="D2807" t="s">
        <v>19</v>
      </c>
      <c r="E2807" t="s">
        <v>13</v>
      </c>
      <c r="F2807" s="4" t="s">
        <v>22</v>
      </c>
      <c r="G2807" s="4" t="s">
        <v>41</v>
      </c>
      <c r="H2807" s="4">
        <v>6</v>
      </c>
      <c r="I2807" s="4">
        <v>2</v>
      </c>
      <c r="J2807" s="1">
        <v>45689</v>
      </c>
      <c r="K2807" s="2">
        <v>3.4995370370370371E-2</v>
      </c>
      <c r="M2807" s="4" t="str">
        <f t="shared" si="129"/>
        <v>LOW</v>
      </c>
      <c r="N2807" s="4" t="str" cm="1">
        <f t="array" ref="N2807">_xlfn.IFS(C2807&gt;35,"HIGH",C2807&gt;25,"MIDDLE",TRUE,"LOW")</f>
        <v>MIDDLE</v>
      </c>
      <c r="O2807" s="4" t="str">
        <f t="shared" si="130"/>
        <v>OTHERS</v>
      </c>
      <c r="P2807" s="4" t="str">
        <f t="shared" si="131"/>
        <v>PREMINUM MORNING</v>
      </c>
    </row>
    <row r="2808" spans="1:16" x14ac:dyDescent="0.3">
      <c r="A2808" s="4">
        <v>10</v>
      </c>
      <c r="B2808" t="s">
        <v>11</v>
      </c>
      <c r="C2808" s="4">
        <v>30.86</v>
      </c>
      <c r="D2808" t="s">
        <v>19</v>
      </c>
      <c r="E2808" t="s">
        <v>13</v>
      </c>
      <c r="F2808" s="4" t="s">
        <v>22</v>
      </c>
      <c r="G2808" s="4" t="s">
        <v>41</v>
      </c>
      <c r="H2808" s="4">
        <v>6</v>
      </c>
      <c r="I2808" s="4">
        <v>2</v>
      </c>
      <c r="J2808" s="1">
        <v>45689</v>
      </c>
      <c r="K2808" s="2">
        <v>5.1250000000000002E-3</v>
      </c>
      <c r="M2808" s="4" t="str">
        <f t="shared" si="129"/>
        <v>LOW</v>
      </c>
      <c r="N2808" s="4" t="str" cm="1">
        <f t="array" ref="N2808">_xlfn.IFS(C2808&gt;35,"HIGH",C2808&gt;25,"MIDDLE",TRUE,"LOW")</f>
        <v>MIDDLE</v>
      </c>
      <c r="O2808" s="4" t="str">
        <f t="shared" si="130"/>
        <v>OTHERS</v>
      </c>
      <c r="P2808" s="4" t="str">
        <f t="shared" si="131"/>
        <v>PREMINUM MORNING</v>
      </c>
    </row>
    <row r="2809" spans="1:16" x14ac:dyDescent="0.3">
      <c r="A2809" s="4">
        <v>13</v>
      </c>
      <c r="B2809" t="s">
        <v>11</v>
      </c>
      <c r="C2809" s="4">
        <v>25.96</v>
      </c>
      <c r="D2809" t="s">
        <v>24</v>
      </c>
      <c r="E2809" t="s">
        <v>17</v>
      </c>
      <c r="F2809" s="4" t="s">
        <v>22</v>
      </c>
      <c r="G2809" s="4" t="s">
        <v>41</v>
      </c>
      <c r="H2809" s="4">
        <v>6</v>
      </c>
      <c r="I2809" s="4">
        <v>2</v>
      </c>
      <c r="J2809" s="1">
        <v>45689</v>
      </c>
      <c r="K2809" s="2">
        <v>1.0261574074074074E-2</v>
      </c>
      <c r="M2809" s="4" t="str">
        <f t="shared" si="129"/>
        <v>LOW</v>
      </c>
      <c r="N2809" s="4" t="str" cm="1">
        <f t="array" ref="N2809">_xlfn.IFS(C2809&gt;35,"HIGH",C2809&gt;25,"MIDDLE",TRUE,"LOW")</f>
        <v>MIDDLE</v>
      </c>
      <c r="O2809" s="4" t="str">
        <f t="shared" si="130"/>
        <v>OTHERS</v>
      </c>
      <c r="P2809" s="4" t="str">
        <f t="shared" si="131"/>
        <v>OTHERS</v>
      </c>
    </row>
    <row r="2810" spans="1:16" x14ac:dyDescent="0.3">
      <c r="A2810" s="4">
        <v>13</v>
      </c>
      <c r="B2810" t="s">
        <v>11</v>
      </c>
      <c r="C2810" s="4">
        <v>25.96</v>
      </c>
      <c r="D2810" t="s">
        <v>24</v>
      </c>
      <c r="E2810" t="s">
        <v>17</v>
      </c>
      <c r="F2810" s="4" t="s">
        <v>22</v>
      </c>
      <c r="G2810" s="4" t="s">
        <v>41</v>
      </c>
      <c r="H2810" s="4">
        <v>6</v>
      </c>
      <c r="I2810" s="4">
        <v>2</v>
      </c>
      <c r="J2810" s="1">
        <v>45689</v>
      </c>
      <c r="K2810" s="2">
        <v>1.075462962962963E-2</v>
      </c>
      <c r="M2810" s="4" t="str">
        <f t="shared" si="129"/>
        <v>LOW</v>
      </c>
      <c r="N2810" s="4" t="str" cm="1">
        <f t="array" ref="N2810">_xlfn.IFS(C2810&gt;35,"HIGH",C2810&gt;25,"MIDDLE",TRUE,"LOW")</f>
        <v>MIDDLE</v>
      </c>
      <c r="O2810" s="4" t="str">
        <f t="shared" si="130"/>
        <v>OTHERS</v>
      </c>
      <c r="P2810" s="4" t="str">
        <f t="shared" si="131"/>
        <v>OTHERS</v>
      </c>
    </row>
    <row r="2811" spans="1:16" x14ac:dyDescent="0.3">
      <c r="A2811" s="4">
        <v>14</v>
      </c>
      <c r="B2811" t="s">
        <v>11</v>
      </c>
      <c r="C2811" s="4">
        <v>35.76</v>
      </c>
      <c r="D2811" t="s">
        <v>29</v>
      </c>
      <c r="E2811" t="s">
        <v>17</v>
      </c>
      <c r="F2811" s="4" t="s">
        <v>22</v>
      </c>
      <c r="G2811" s="4" t="s">
        <v>41</v>
      </c>
      <c r="H2811" s="4">
        <v>6</v>
      </c>
      <c r="I2811" s="4">
        <v>2</v>
      </c>
      <c r="J2811" s="1">
        <v>45689</v>
      </c>
      <c r="K2811" s="2">
        <v>2.4524305555555556E-2</v>
      </c>
      <c r="M2811" s="4" t="str">
        <f t="shared" si="129"/>
        <v>HIGH</v>
      </c>
      <c r="N2811" s="4" t="str" cm="1">
        <f t="array" ref="N2811">_xlfn.IFS(C2811&gt;35,"HIGH",C2811&gt;25,"MIDDLE",TRUE,"LOW")</f>
        <v>HIGH</v>
      </c>
      <c r="O2811" s="4" t="str">
        <f t="shared" si="130"/>
        <v>OTHERS</v>
      </c>
      <c r="P2811" s="4" t="str">
        <f t="shared" si="131"/>
        <v>PREMINUM MORNING</v>
      </c>
    </row>
    <row r="2812" spans="1:16" x14ac:dyDescent="0.3">
      <c r="A2812" s="4">
        <v>14</v>
      </c>
      <c r="B2812" t="s">
        <v>11</v>
      </c>
      <c r="C2812" s="4">
        <v>35.76</v>
      </c>
      <c r="D2812" t="s">
        <v>29</v>
      </c>
      <c r="E2812" t="s">
        <v>17</v>
      </c>
      <c r="F2812" s="4" t="s">
        <v>22</v>
      </c>
      <c r="G2812" s="4" t="s">
        <v>41</v>
      </c>
      <c r="H2812" s="4">
        <v>6</v>
      </c>
      <c r="I2812" s="4">
        <v>2</v>
      </c>
      <c r="J2812" s="1">
        <v>45689</v>
      </c>
      <c r="K2812" s="2">
        <v>2.519212962962963E-2</v>
      </c>
      <c r="M2812" s="4" t="str">
        <f t="shared" si="129"/>
        <v>HIGH</v>
      </c>
      <c r="N2812" s="4" t="str" cm="1">
        <f t="array" ref="N2812">_xlfn.IFS(C2812&gt;35,"HIGH",C2812&gt;25,"MIDDLE",TRUE,"LOW")</f>
        <v>HIGH</v>
      </c>
      <c r="O2812" s="4" t="str">
        <f t="shared" si="130"/>
        <v>OTHERS</v>
      </c>
      <c r="P2812" s="4" t="str">
        <f t="shared" si="131"/>
        <v>PREMINUM MORNING</v>
      </c>
    </row>
    <row r="2813" spans="1:16" x14ac:dyDescent="0.3">
      <c r="A2813" s="4">
        <v>15</v>
      </c>
      <c r="B2813" t="s">
        <v>11</v>
      </c>
      <c r="C2813" s="4">
        <v>35.76</v>
      </c>
      <c r="D2813" t="s">
        <v>12</v>
      </c>
      <c r="E2813" t="s">
        <v>17</v>
      </c>
      <c r="F2813" s="4" t="s">
        <v>22</v>
      </c>
      <c r="G2813" s="4" t="s">
        <v>41</v>
      </c>
      <c r="H2813" s="4">
        <v>6</v>
      </c>
      <c r="I2813" s="4">
        <v>2</v>
      </c>
      <c r="J2813" s="1">
        <v>45689</v>
      </c>
      <c r="K2813" s="2">
        <v>3.471064814814815E-2</v>
      </c>
      <c r="M2813" s="4" t="str">
        <f t="shared" si="129"/>
        <v>HIGH</v>
      </c>
      <c r="N2813" s="4" t="str" cm="1">
        <f t="array" ref="N2813">_xlfn.IFS(C2813&gt;35,"HIGH",C2813&gt;25,"MIDDLE",TRUE,"LOW")</f>
        <v>HIGH</v>
      </c>
      <c r="O2813" s="4" t="str">
        <f t="shared" si="130"/>
        <v>OTHERS</v>
      </c>
      <c r="P2813" s="4" t="str">
        <f t="shared" si="131"/>
        <v>PREMINUM MORNING</v>
      </c>
    </row>
    <row r="2814" spans="1:16" x14ac:dyDescent="0.3">
      <c r="A2814" s="4">
        <v>18</v>
      </c>
      <c r="B2814" t="s">
        <v>11</v>
      </c>
      <c r="C2814" s="4">
        <v>35.76</v>
      </c>
      <c r="D2814" t="s">
        <v>29</v>
      </c>
      <c r="E2814" t="s">
        <v>20</v>
      </c>
      <c r="F2814" s="4" t="s">
        <v>22</v>
      </c>
      <c r="G2814" s="4" t="s">
        <v>41</v>
      </c>
      <c r="H2814" s="4">
        <v>6</v>
      </c>
      <c r="I2814" s="4">
        <v>2</v>
      </c>
      <c r="J2814" s="1">
        <v>45689</v>
      </c>
      <c r="K2814" s="2">
        <v>3.9750000000000001E-2</v>
      </c>
      <c r="M2814" s="4" t="str">
        <f t="shared" si="129"/>
        <v>HIGH</v>
      </c>
      <c r="N2814" s="4" t="str" cm="1">
        <f t="array" ref="N2814">_xlfn.IFS(C2814&gt;35,"HIGH",C2814&gt;25,"MIDDLE",TRUE,"LOW")</f>
        <v>HIGH</v>
      </c>
      <c r="O2814" s="4" t="str">
        <f t="shared" si="130"/>
        <v>OTHERS</v>
      </c>
      <c r="P2814" s="4" t="str">
        <f t="shared" si="131"/>
        <v>PREMINUM MORNING</v>
      </c>
    </row>
    <row r="2815" spans="1:16" x14ac:dyDescent="0.3">
      <c r="A2815" s="4">
        <v>19</v>
      </c>
      <c r="B2815" t="s">
        <v>11</v>
      </c>
      <c r="C2815" s="4">
        <v>30.86</v>
      </c>
      <c r="D2815" t="s">
        <v>19</v>
      </c>
      <c r="E2815" t="s">
        <v>20</v>
      </c>
      <c r="F2815" s="4" t="s">
        <v>22</v>
      </c>
      <c r="G2815" s="4" t="s">
        <v>41</v>
      </c>
      <c r="H2815" s="4">
        <v>6</v>
      </c>
      <c r="I2815" s="4">
        <v>2</v>
      </c>
      <c r="J2815" s="1">
        <v>45689</v>
      </c>
      <c r="K2815" s="2">
        <v>3.69849537037037E-2</v>
      </c>
      <c r="M2815" s="4" t="str">
        <f t="shared" si="129"/>
        <v>LOW</v>
      </c>
      <c r="N2815" s="4" t="str" cm="1">
        <f t="array" ref="N2815">_xlfn.IFS(C2815&gt;35,"HIGH",C2815&gt;25,"MIDDLE",TRUE,"LOW")</f>
        <v>MIDDLE</v>
      </c>
      <c r="O2815" s="4" t="str">
        <f t="shared" si="130"/>
        <v>OTHERS</v>
      </c>
      <c r="P2815" s="4" t="str">
        <f t="shared" si="131"/>
        <v>OTHERS</v>
      </c>
    </row>
    <row r="2816" spans="1:16" x14ac:dyDescent="0.3">
      <c r="A2816" s="4">
        <v>19</v>
      </c>
      <c r="B2816" t="s">
        <v>11</v>
      </c>
      <c r="C2816" s="4">
        <v>30.86</v>
      </c>
      <c r="D2816" t="s">
        <v>19</v>
      </c>
      <c r="E2816" t="s">
        <v>20</v>
      </c>
      <c r="F2816" s="4" t="s">
        <v>22</v>
      </c>
      <c r="G2816" s="4" t="s">
        <v>41</v>
      </c>
      <c r="H2816" s="4">
        <v>6</v>
      </c>
      <c r="I2816" s="4">
        <v>2</v>
      </c>
      <c r="J2816" s="1">
        <v>45689</v>
      </c>
      <c r="K2816" s="2">
        <v>3.7778935185185186E-2</v>
      </c>
      <c r="M2816" s="4" t="str">
        <f t="shared" si="129"/>
        <v>LOW</v>
      </c>
      <c r="N2816" s="4" t="str" cm="1">
        <f t="array" ref="N2816">_xlfn.IFS(C2816&gt;35,"HIGH",C2816&gt;25,"MIDDLE",TRUE,"LOW")</f>
        <v>MIDDLE</v>
      </c>
      <c r="O2816" s="4" t="str">
        <f t="shared" si="130"/>
        <v>OTHERS</v>
      </c>
      <c r="P2816" s="4" t="str">
        <f t="shared" si="131"/>
        <v>OTHERS</v>
      </c>
    </row>
    <row r="2817" spans="1:16" x14ac:dyDescent="0.3">
      <c r="A2817" s="4">
        <v>21</v>
      </c>
      <c r="B2817" t="s">
        <v>11</v>
      </c>
      <c r="C2817" s="4">
        <v>30.86</v>
      </c>
      <c r="D2817" t="s">
        <v>19</v>
      </c>
      <c r="E2817" t="s">
        <v>20</v>
      </c>
      <c r="F2817" s="4" t="s">
        <v>22</v>
      </c>
      <c r="G2817" s="4" t="s">
        <v>41</v>
      </c>
      <c r="H2817" s="4">
        <v>6</v>
      </c>
      <c r="I2817" s="4">
        <v>2</v>
      </c>
      <c r="J2817" s="1">
        <v>45689</v>
      </c>
      <c r="K2817" s="2">
        <v>2.5715277777777781E-2</v>
      </c>
      <c r="M2817" s="4" t="str">
        <f t="shared" si="129"/>
        <v>LOW</v>
      </c>
      <c r="N2817" s="4" t="str" cm="1">
        <f t="array" ref="N2817">_xlfn.IFS(C2817&gt;35,"HIGH",C2817&gt;25,"MIDDLE",TRUE,"LOW")</f>
        <v>MIDDLE</v>
      </c>
      <c r="O2817" s="4" t="str">
        <f t="shared" si="130"/>
        <v>OTHERS</v>
      </c>
      <c r="P2817" s="4" t="str">
        <f t="shared" si="131"/>
        <v>OTHERS</v>
      </c>
    </row>
    <row r="2818" spans="1:16" x14ac:dyDescent="0.3">
      <c r="A2818" s="4">
        <v>10</v>
      </c>
      <c r="B2818" t="s">
        <v>11</v>
      </c>
      <c r="C2818" s="4">
        <v>35.76</v>
      </c>
      <c r="D2818" t="s">
        <v>29</v>
      </c>
      <c r="E2818" t="s">
        <v>13</v>
      </c>
      <c r="F2818" s="4" t="s">
        <v>23</v>
      </c>
      <c r="G2818" s="4" t="s">
        <v>41</v>
      </c>
      <c r="H2818" s="4">
        <v>7</v>
      </c>
      <c r="I2818" s="4">
        <v>2</v>
      </c>
      <c r="J2818" s="1">
        <v>45690</v>
      </c>
      <c r="K2818" s="2">
        <v>3.9142361111111114E-2</v>
      </c>
      <c r="M2818" s="4" t="str">
        <f t="shared" si="129"/>
        <v>HIGH</v>
      </c>
      <c r="N2818" s="4" t="str" cm="1">
        <f t="array" ref="N2818">_xlfn.IFS(C2818&gt;35,"HIGH",C2818&gt;25,"MIDDLE",TRUE,"LOW")</f>
        <v>HIGH</v>
      </c>
      <c r="O2818" s="4" t="str">
        <f t="shared" si="130"/>
        <v>PREMINUM MORNING</v>
      </c>
      <c r="P2818" s="4" t="str">
        <f t="shared" si="131"/>
        <v>PREMINUM MORNING</v>
      </c>
    </row>
    <row r="2819" spans="1:16" x14ac:dyDescent="0.3">
      <c r="A2819" s="4">
        <v>10</v>
      </c>
      <c r="B2819" t="s">
        <v>11</v>
      </c>
      <c r="C2819" s="4">
        <v>35.76</v>
      </c>
      <c r="D2819" t="s">
        <v>29</v>
      </c>
      <c r="E2819" t="s">
        <v>13</v>
      </c>
      <c r="F2819" s="4" t="s">
        <v>23</v>
      </c>
      <c r="G2819" s="4" t="s">
        <v>41</v>
      </c>
      <c r="H2819" s="4">
        <v>7</v>
      </c>
      <c r="I2819" s="4">
        <v>2</v>
      </c>
      <c r="J2819" s="1">
        <v>45690</v>
      </c>
      <c r="K2819" s="2">
        <v>4.0020833333333339E-2</v>
      </c>
      <c r="M2819" s="4" t="str">
        <f t="shared" ref="M2819:M2882" si="132">IF(C2819&gt;35,"HIGH","LOW")</f>
        <v>HIGH</v>
      </c>
      <c r="N2819" s="4" t="str" cm="1">
        <f t="array" ref="N2819">_xlfn.IFS(C2819&gt;35,"HIGH",C2819&gt;25,"MIDDLE",TRUE,"LOW")</f>
        <v>HIGH</v>
      </c>
      <c r="O2819" s="4" t="str">
        <f t="shared" ref="O2819:O2882" si="133">IF(AND(C2819&gt;35,E2819="MORNING"),"PREMINUM MORNING","OTHERS")</f>
        <v>PREMINUM MORNING</v>
      </c>
      <c r="P2819" s="4" t="str">
        <f t="shared" ref="P2819:P2882" si="134">IF(OR(C2819&gt;35,E2819="MORNING"),"PREMINUM MORNING","OTHERS")</f>
        <v>PREMINUM MORNING</v>
      </c>
    </row>
    <row r="2820" spans="1:16" x14ac:dyDescent="0.3">
      <c r="A2820" s="4">
        <v>12</v>
      </c>
      <c r="B2820" t="s">
        <v>11</v>
      </c>
      <c r="C2820" s="4">
        <v>35.76</v>
      </c>
      <c r="D2820" t="s">
        <v>12</v>
      </c>
      <c r="E2820" t="s">
        <v>17</v>
      </c>
      <c r="F2820" s="4" t="s">
        <v>23</v>
      </c>
      <c r="G2820" s="4" t="s">
        <v>41</v>
      </c>
      <c r="H2820" s="4">
        <v>7</v>
      </c>
      <c r="I2820" s="4">
        <v>2</v>
      </c>
      <c r="J2820" s="1">
        <v>45690</v>
      </c>
      <c r="K2820" s="2">
        <v>3.7872685185185183E-2</v>
      </c>
      <c r="M2820" s="4" t="str">
        <f t="shared" si="132"/>
        <v>HIGH</v>
      </c>
      <c r="N2820" s="4" t="str" cm="1">
        <f t="array" ref="N2820">_xlfn.IFS(C2820&gt;35,"HIGH",C2820&gt;25,"MIDDLE",TRUE,"LOW")</f>
        <v>HIGH</v>
      </c>
      <c r="O2820" s="4" t="str">
        <f t="shared" si="133"/>
        <v>OTHERS</v>
      </c>
      <c r="P2820" s="4" t="str">
        <f t="shared" si="134"/>
        <v>PREMINUM MORNING</v>
      </c>
    </row>
    <row r="2821" spans="1:16" x14ac:dyDescent="0.3">
      <c r="A2821" s="4">
        <v>12</v>
      </c>
      <c r="B2821" t="s">
        <v>11</v>
      </c>
      <c r="C2821" s="4">
        <v>35.76</v>
      </c>
      <c r="D2821" t="s">
        <v>12</v>
      </c>
      <c r="E2821" t="s">
        <v>17</v>
      </c>
      <c r="F2821" s="4" t="s">
        <v>23</v>
      </c>
      <c r="G2821" s="4" t="s">
        <v>41</v>
      </c>
      <c r="H2821" s="4">
        <v>7</v>
      </c>
      <c r="I2821" s="4">
        <v>2</v>
      </c>
      <c r="J2821" s="1">
        <v>45690</v>
      </c>
      <c r="K2821" s="2">
        <v>3.8943287037037033E-2</v>
      </c>
      <c r="M2821" s="4" t="str">
        <f t="shared" si="132"/>
        <v>HIGH</v>
      </c>
      <c r="N2821" s="4" t="str" cm="1">
        <f t="array" ref="N2821">_xlfn.IFS(C2821&gt;35,"HIGH",C2821&gt;25,"MIDDLE",TRUE,"LOW")</f>
        <v>HIGH</v>
      </c>
      <c r="O2821" s="4" t="str">
        <f t="shared" si="133"/>
        <v>OTHERS</v>
      </c>
      <c r="P2821" s="4" t="str">
        <f t="shared" si="134"/>
        <v>PREMINUM MORNING</v>
      </c>
    </row>
    <row r="2822" spans="1:16" x14ac:dyDescent="0.3">
      <c r="A2822" s="4">
        <v>14</v>
      </c>
      <c r="B2822" t="s">
        <v>11</v>
      </c>
      <c r="C2822" s="4">
        <v>30.86</v>
      </c>
      <c r="D2822" t="s">
        <v>19</v>
      </c>
      <c r="E2822" t="s">
        <v>17</v>
      </c>
      <c r="F2822" s="4" t="s">
        <v>23</v>
      </c>
      <c r="G2822" s="4" t="s">
        <v>41</v>
      </c>
      <c r="H2822" s="4">
        <v>7</v>
      </c>
      <c r="I2822" s="4">
        <v>2</v>
      </c>
      <c r="J2822" s="1">
        <v>45690</v>
      </c>
      <c r="K2822" s="2">
        <v>1.5940972222222221E-2</v>
      </c>
      <c r="M2822" s="4" t="str">
        <f t="shared" si="132"/>
        <v>LOW</v>
      </c>
      <c r="N2822" s="4" t="str" cm="1">
        <f t="array" ref="N2822">_xlfn.IFS(C2822&gt;35,"HIGH",C2822&gt;25,"MIDDLE",TRUE,"LOW")</f>
        <v>MIDDLE</v>
      </c>
      <c r="O2822" s="4" t="str">
        <f t="shared" si="133"/>
        <v>OTHERS</v>
      </c>
      <c r="P2822" s="4" t="str">
        <f t="shared" si="134"/>
        <v>OTHERS</v>
      </c>
    </row>
    <row r="2823" spans="1:16" x14ac:dyDescent="0.3">
      <c r="A2823" s="4">
        <v>16</v>
      </c>
      <c r="B2823" t="s">
        <v>11</v>
      </c>
      <c r="C2823" s="4">
        <v>35.76</v>
      </c>
      <c r="D2823" t="s">
        <v>12</v>
      </c>
      <c r="E2823" t="s">
        <v>17</v>
      </c>
      <c r="F2823" s="4" t="s">
        <v>23</v>
      </c>
      <c r="G2823" s="4" t="s">
        <v>41</v>
      </c>
      <c r="H2823" s="4">
        <v>7</v>
      </c>
      <c r="I2823" s="4">
        <v>2</v>
      </c>
      <c r="J2823" s="1">
        <v>45690</v>
      </c>
      <c r="K2823" s="2">
        <v>3.1341435185185187E-2</v>
      </c>
      <c r="M2823" s="4" t="str">
        <f t="shared" si="132"/>
        <v>HIGH</v>
      </c>
      <c r="N2823" s="4" t="str" cm="1">
        <f t="array" ref="N2823">_xlfn.IFS(C2823&gt;35,"HIGH",C2823&gt;25,"MIDDLE",TRUE,"LOW")</f>
        <v>HIGH</v>
      </c>
      <c r="O2823" s="4" t="str">
        <f t="shared" si="133"/>
        <v>OTHERS</v>
      </c>
      <c r="P2823" s="4" t="str">
        <f t="shared" si="134"/>
        <v>PREMINUM MORNING</v>
      </c>
    </row>
    <row r="2824" spans="1:16" x14ac:dyDescent="0.3">
      <c r="A2824" s="4">
        <v>16</v>
      </c>
      <c r="B2824" t="s">
        <v>11</v>
      </c>
      <c r="C2824" s="4">
        <v>35.76</v>
      </c>
      <c r="D2824" t="s">
        <v>12</v>
      </c>
      <c r="E2824" t="s">
        <v>17</v>
      </c>
      <c r="F2824" s="4" t="s">
        <v>23</v>
      </c>
      <c r="G2824" s="4" t="s">
        <v>41</v>
      </c>
      <c r="H2824" s="4">
        <v>7</v>
      </c>
      <c r="I2824" s="4">
        <v>2</v>
      </c>
      <c r="J2824" s="1">
        <v>45690</v>
      </c>
      <c r="K2824" s="2">
        <v>3.2606481481481479E-2</v>
      </c>
      <c r="M2824" s="4" t="str">
        <f t="shared" si="132"/>
        <v>HIGH</v>
      </c>
      <c r="N2824" s="4" t="str" cm="1">
        <f t="array" ref="N2824">_xlfn.IFS(C2824&gt;35,"HIGH",C2824&gt;25,"MIDDLE",TRUE,"LOW")</f>
        <v>HIGH</v>
      </c>
      <c r="O2824" s="4" t="str">
        <f t="shared" si="133"/>
        <v>OTHERS</v>
      </c>
      <c r="P2824" s="4" t="str">
        <f t="shared" si="134"/>
        <v>PREMINUM MORNING</v>
      </c>
    </row>
    <row r="2825" spans="1:16" x14ac:dyDescent="0.3">
      <c r="A2825" s="4">
        <v>7</v>
      </c>
      <c r="B2825" t="s">
        <v>11</v>
      </c>
      <c r="C2825" s="4">
        <v>35.76</v>
      </c>
      <c r="D2825" t="s">
        <v>29</v>
      </c>
      <c r="E2825" t="s">
        <v>13</v>
      </c>
      <c r="F2825" s="4" t="s">
        <v>25</v>
      </c>
      <c r="G2825" s="4" t="s">
        <v>41</v>
      </c>
      <c r="H2825" s="4">
        <v>1</v>
      </c>
      <c r="I2825" s="4">
        <v>2</v>
      </c>
      <c r="J2825" s="1">
        <v>45691</v>
      </c>
      <c r="K2825" s="2">
        <v>2.3703703703703703E-3</v>
      </c>
      <c r="M2825" s="4" t="str">
        <f t="shared" si="132"/>
        <v>HIGH</v>
      </c>
      <c r="N2825" s="4" t="str" cm="1">
        <f t="array" ref="N2825">_xlfn.IFS(C2825&gt;35,"HIGH",C2825&gt;25,"MIDDLE",TRUE,"LOW")</f>
        <v>HIGH</v>
      </c>
      <c r="O2825" s="4" t="str">
        <f t="shared" si="133"/>
        <v>PREMINUM MORNING</v>
      </c>
      <c r="P2825" s="4" t="str">
        <f t="shared" si="134"/>
        <v>PREMINUM MORNING</v>
      </c>
    </row>
    <row r="2826" spans="1:16" x14ac:dyDescent="0.3">
      <c r="A2826" s="4">
        <v>7</v>
      </c>
      <c r="B2826" t="s">
        <v>11</v>
      </c>
      <c r="C2826" s="4">
        <v>30.86</v>
      </c>
      <c r="D2826" t="s">
        <v>19</v>
      </c>
      <c r="E2826" t="s">
        <v>13</v>
      </c>
      <c r="F2826" s="4" t="s">
        <v>25</v>
      </c>
      <c r="G2826" s="4" t="s">
        <v>41</v>
      </c>
      <c r="H2826" s="4">
        <v>1</v>
      </c>
      <c r="I2826" s="4">
        <v>2</v>
      </c>
      <c r="J2826" s="1">
        <v>45691</v>
      </c>
      <c r="K2826" s="2">
        <v>3.4328703703703708E-3</v>
      </c>
      <c r="M2826" s="4" t="str">
        <f t="shared" si="132"/>
        <v>LOW</v>
      </c>
      <c r="N2826" s="4" t="str" cm="1">
        <f t="array" ref="N2826">_xlfn.IFS(C2826&gt;35,"HIGH",C2826&gt;25,"MIDDLE",TRUE,"LOW")</f>
        <v>MIDDLE</v>
      </c>
      <c r="O2826" s="4" t="str">
        <f t="shared" si="133"/>
        <v>OTHERS</v>
      </c>
      <c r="P2826" s="4" t="str">
        <f t="shared" si="134"/>
        <v>PREMINUM MORNING</v>
      </c>
    </row>
    <row r="2827" spans="1:16" x14ac:dyDescent="0.3">
      <c r="A2827" s="4">
        <v>8</v>
      </c>
      <c r="B2827" t="s">
        <v>11</v>
      </c>
      <c r="C2827" s="4">
        <v>21.06</v>
      </c>
      <c r="D2827" t="s">
        <v>26</v>
      </c>
      <c r="E2827" t="s">
        <v>13</v>
      </c>
      <c r="F2827" s="4" t="s">
        <v>25</v>
      </c>
      <c r="G2827" s="4" t="s">
        <v>41</v>
      </c>
      <c r="H2827" s="4">
        <v>1</v>
      </c>
      <c r="I2827" s="4">
        <v>2</v>
      </c>
      <c r="J2827" s="1">
        <v>45691</v>
      </c>
      <c r="K2827" s="2">
        <v>2.8194444444444443E-3</v>
      </c>
      <c r="M2827" s="4" t="str">
        <f t="shared" si="132"/>
        <v>LOW</v>
      </c>
      <c r="N2827" s="4" t="str" cm="1">
        <f t="array" ref="N2827">_xlfn.IFS(C2827&gt;35,"HIGH",C2827&gt;25,"MIDDLE",TRUE,"LOW")</f>
        <v>LOW</v>
      </c>
      <c r="O2827" s="4" t="str">
        <f t="shared" si="133"/>
        <v>OTHERS</v>
      </c>
      <c r="P2827" s="4" t="str">
        <f t="shared" si="134"/>
        <v>PREMINUM MORNING</v>
      </c>
    </row>
    <row r="2828" spans="1:16" x14ac:dyDescent="0.3">
      <c r="A2828" s="4">
        <v>8</v>
      </c>
      <c r="B2828" t="s">
        <v>11</v>
      </c>
      <c r="C2828" s="4">
        <v>30.86</v>
      </c>
      <c r="D2828" t="s">
        <v>19</v>
      </c>
      <c r="E2828" t="s">
        <v>13</v>
      </c>
      <c r="F2828" s="4" t="s">
        <v>25</v>
      </c>
      <c r="G2828" s="4" t="s">
        <v>41</v>
      </c>
      <c r="H2828" s="4">
        <v>1</v>
      </c>
      <c r="I2828" s="4">
        <v>2</v>
      </c>
      <c r="J2828" s="1">
        <v>45691</v>
      </c>
      <c r="K2828" s="2">
        <v>6.3541666666666668E-3</v>
      </c>
      <c r="M2828" s="4" t="str">
        <f t="shared" si="132"/>
        <v>LOW</v>
      </c>
      <c r="N2828" s="4" t="str" cm="1">
        <f t="array" ref="N2828">_xlfn.IFS(C2828&gt;35,"HIGH",C2828&gt;25,"MIDDLE",TRUE,"LOW")</f>
        <v>MIDDLE</v>
      </c>
      <c r="O2828" s="4" t="str">
        <f t="shared" si="133"/>
        <v>OTHERS</v>
      </c>
      <c r="P2828" s="4" t="str">
        <f t="shared" si="134"/>
        <v>PREMINUM MORNING</v>
      </c>
    </row>
    <row r="2829" spans="1:16" x14ac:dyDescent="0.3">
      <c r="A2829" s="4">
        <v>10</v>
      </c>
      <c r="B2829" t="s">
        <v>11</v>
      </c>
      <c r="C2829" s="4">
        <v>25.96</v>
      </c>
      <c r="D2829" t="s">
        <v>18</v>
      </c>
      <c r="E2829" t="s">
        <v>13</v>
      </c>
      <c r="F2829" s="4" t="s">
        <v>25</v>
      </c>
      <c r="G2829" s="4" t="s">
        <v>41</v>
      </c>
      <c r="H2829" s="4">
        <v>1</v>
      </c>
      <c r="I2829" s="4">
        <v>2</v>
      </c>
      <c r="J2829" s="1">
        <v>45691</v>
      </c>
      <c r="K2829" s="2">
        <v>1.0863425925925926E-2</v>
      </c>
      <c r="M2829" s="4" t="str">
        <f t="shared" si="132"/>
        <v>LOW</v>
      </c>
      <c r="N2829" s="4" t="str" cm="1">
        <f t="array" ref="N2829">_xlfn.IFS(C2829&gt;35,"HIGH",C2829&gt;25,"MIDDLE",TRUE,"LOW")</f>
        <v>MIDDLE</v>
      </c>
      <c r="O2829" s="4" t="str">
        <f t="shared" si="133"/>
        <v>OTHERS</v>
      </c>
      <c r="P2829" s="4" t="str">
        <f t="shared" si="134"/>
        <v>PREMINUM MORNING</v>
      </c>
    </row>
    <row r="2830" spans="1:16" x14ac:dyDescent="0.3">
      <c r="A2830" s="4">
        <v>10</v>
      </c>
      <c r="B2830" t="s">
        <v>11</v>
      </c>
      <c r="C2830" s="4">
        <v>35.76</v>
      </c>
      <c r="D2830" t="s">
        <v>29</v>
      </c>
      <c r="E2830" t="s">
        <v>13</v>
      </c>
      <c r="F2830" s="4" t="s">
        <v>25</v>
      </c>
      <c r="G2830" s="4" t="s">
        <v>41</v>
      </c>
      <c r="H2830" s="4">
        <v>1</v>
      </c>
      <c r="I2830" s="4">
        <v>2</v>
      </c>
      <c r="J2830" s="1">
        <v>45691</v>
      </c>
      <c r="K2830" s="2">
        <v>1.5490740740740742E-2</v>
      </c>
      <c r="M2830" s="4" t="str">
        <f t="shared" si="132"/>
        <v>HIGH</v>
      </c>
      <c r="N2830" s="4" t="str" cm="1">
        <f t="array" ref="N2830">_xlfn.IFS(C2830&gt;35,"HIGH",C2830&gt;25,"MIDDLE",TRUE,"LOW")</f>
        <v>HIGH</v>
      </c>
      <c r="O2830" s="4" t="str">
        <f t="shared" si="133"/>
        <v>PREMINUM MORNING</v>
      </c>
      <c r="P2830" s="4" t="str">
        <f t="shared" si="134"/>
        <v>PREMINUM MORNING</v>
      </c>
    </row>
    <row r="2831" spans="1:16" x14ac:dyDescent="0.3">
      <c r="A2831" s="4">
        <v>10</v>
      </c>
      <c r="B2831" t="s">
        <v>11</v>
      </c>
      <c r="C2831" s="4">
        <v>30.86</v>
      </c>
      <c r="D2831" t="s">
        <v>19</v>
      </c>
      <c r="E2831" t="s">
        <v>13</v>
      </c>
      <c r="F2831" s="4" t="s">
        <v>25</v>
      </c>
      <c r="G2831" s="4" t="s">
        <v>41</v>
      </c>
      <c r="H2831" s="4">
        <v>1</v>
      </c>
      <c r="I2831" s="4">
        <v>2</v>
      </c>
      <c r="J2831" s="1">
        <v>45691</v>
      </c>
      <c r="K2831" s="2">
        <v>3.4707175925925926E-2</v>
      </c>
      <c r="M2831" s="4" t="str">
        <f t="shared" si="132"/>
        <v>LOW</v>
      </c>
      <c r="N2831" s="4" t="str" cm="1">
        <f t="array" ref="N2831">_xlfn.IFS(C2831&gt;35,"HIGH",C2831&gt;25,"MIDDLE",TRUE,"LOW")</f>
        <v>MIDDLE</v>
      </c>
      <c r="O2831" s="4" t="str">
        <f t="shared" si="133"/>
        <v>OTHERS</v>
      </c>
      <c r="P2831" s="4" t="str">
        <f t="shared" si="134"/>
        <v>PREMINUM MORNING</v>
      </c>
    </row>
    <row r="2832" spans="1:16" x14ac:dyDescent="0.3">
      <c r="A2832" s="4">
        <v>13</v>
      </c>
      <c r="B2832" t="s">
        <v>11</v>
      </c>
      <c r="C2832" s="4">
        <v>35.76</v>
      </c>
      <c r="D2832" t="s">
        <v>29</v>
      </c>
      <c r="E2832" t="s">
        <v>17</v>
      </c>
      <c r="F2832" s="4" t="s">
        <v>25</v>
      </c>
      <c r="G2832" s="4" t="s">
        <v>41</v>
      </c>
      <c r="H2832" s="4">
        <v>1</v>
      </c>
      <c r="I2832" s="4">
        <v>2</v>
      </c>
      <c r="J2832" s="1">
        <v>45691</v>
      </c>
      <c r="K2832" s="2">
        <v>1.7385416666666667E-2</v>
      </c>
      <c r="M2832" s="4" t="str">
        <f t="shared" si="132"/>
        <v>HIGH</v>
      </c>
      <c r="N2832" s="4" t="str" cm="1">
        <f t="array" ref="N2832">_xlfn.IFS(C2832&gt;35,"HIGH",C2832&gt;25,"MIDDLE",TRUE,"LOW")</f>
        <v>HIGH</v>
      </c>
      <c r="O2832" s="4" t="str">
        <f t="shared" si="133"/>
        <v>OTHERS</v>
      </c>
      <c r="P2832" s="4" t="str">
        <f t="shared" si="134"/>
        <v>PREMINUM MORNING</v>
      </c>
    </row>
    <row r="2833" spans="1:16" x14ac:dyDescent="0.3">
      <c r="A2833" s="4">
        <v>13</v>
      </c>
      <c r="B2833" t="s">
        <v>11</v>
      </c>
      <c r="C2833" s="4">
        <v>35.76</v>
      </c>
      <c r="D2833" t="s">
        <v>29</v>
      </c>
      <c r="E2833" t="s">
        <v>17</v>
      </c>
      <c r="F2833" s="4" t="s">
        <v>25</v>
      </c>
      <c r="G2833" s="4" t="s">
        <v>41</v>
      </c>
      <c r="H2833" s="4">
        <v>1</v>
      </c>
      <c r="I2833" s="4">
        <v>2</v>
      </c>
      <c r="J2833" s="1">
        <v>45691</v>
      </c>
      <c r="K2833" s="2">
        <v>2.2843749999999999E-2</v>
      </c>
      <c r="M2833" s="4" t="str">
        <f t="shared" si="132"/>
        <v>HIGH</v>
      </c>
      <c r="N2833" s="4" t="str" cm="1">
        <f t="array" ref="N2833">_xlfn.IFS(C2833&gt;35,"HIGH",C2833&gt;25,"MIDDLE",TRUE,"LOW")</f>
        <v>HIGH</v>
      </c>
      <c r="O2833" s="4" t="str">
        <f t="shared" si="133"/>
        <v>OTHERS</v>
      </c>
      <c r="P2833" s="4" t="str">
        <f t="shared" si="134"/>
        <v>PREMINUM MORNING</v>
      </c>
    </row>
    <row r="2834" spans="1:16" x14ac:dyDescent="0.3">
      <c r="A2834" s="4">
        <v>13</v>
      </c>
      <c r="B2834" t="s">
        <v>11</v>
      </c>
      <c r="C2834" s="4">
        <v>25.96</v>
      </c>
      <c r="D2834" t="s">
        <v>18</v>
      </c>
      <c r="E2834" t="s">
        <v>17</v>
      </c>
      <c r="F2834" s="4" t="s">
        <v>25</v>
      </c>
      <c r="G2834" s="4" t="s">
        <v>41</v>
      </c>
      <c r="H2834" s="4">
        <v>1</v>
      </c>
      <c r="I2834" s="4">
        <v>2</v>
      </c>
      <c r="J2834" s="1">
        <v>45691</v>
      </c>
      <c r="K2834" s="2">
        <v>3.5454861111111111E-2</v>
      </c>
      <c r="M2834" s="4" t="str">
        <f t="shared" si="132"/>
        <v>LOW</v>
      </c>
      <c r="N2834" s="4" t="str" cm="1">
        <f t="array" ref="N2834">_xlfn.IFS(C2834&gt;35,"HIGH",C2834&gt;25,"MIDDLE",TRUE,"LOW")</f>
        <v>MIDDLE</v>
      </c>
      <c r="O2834" s="4" t="str">
        <f t="shared" si="133"/>
        <v>OTHERS</v>
      </c>
      <c r="P2834" s="4" t="str">
        <f t="shared" si="134"/>
        <v>OTHERS</v>
      </c>
    </row>
    <row r="2835" spans="1:16" x14ac:dyDescent="0.3">
      <c r="A2835" s="4">
        <v>14</v>
      </c>
      <c r="B2835" t="s">
        <v>11</v>
      </c>
      <c r="C2835" s="4">
        <v>25.96</v>
      </c>
      <c r="D2835" t="s">
        <v>18</v>
      </c>
      <c r="E2835" t="s">
        <v>17</v>
      </c>
      <c r="F2835" s="4" t="s">
        <v>25</v>
      </c>
      <c r="G2835" s="4" t="s">
        <v>41</v>
      </c>
      <c r="H2835" s="4">
        <v>1</v>
      </c>
      <c r="I2835" s="4">
        <v>2</v>
      </c>
      <c r="J2835" s="1">
        <v>45691</v>
      </c>
      <c r="K2835" s="2">
        <v>4.5891203703703701E-3</v>
      </c>
      <c r="M2835" s="4" t="str">
        <f t="shared" si="132"/>
        <v>LOW</v>
      </c>
      <c r="N2835" s="4" t="str" cm="1">
        <f t="array" ref="N2835">_xlfn.IFS(C2835&gt;35,"HIGH",C2835&gt;25,"MIDDLE",TRUE,"LOW")</f>
        <v>MIDDLE</v>
      </c>
      <c r="O2835" s="4" t="str">
        <f t="shared" si="133"/>
        <v>OTHERS</v>
      </c>
      <c r="P2835" s="4" t="str">
        <f t="shared" si="134"/>
        <v>OTHERS</v>
      </c>
    </row>
    <row r="2836" spans="1:16" x14ac:dyDescent="0.3">
      <c r="A2836" s="4">
        <v>14</v>
      </c>
      <c r="B2836" t="s">
        <v>11</v>
      </c>
      <c r="C2836" s="4">
        <v>35.76</v>
      </c>
      <c r="D2836" t="s">
        <v>12</v>
      </c>
      <c r="E2836" t="s">
        <v>17</v>
      </c>
      <c r="F2836" s="4" t="s">
        <v>25</v>
      </c>
      <c r="G2836" s="4" t="s">
        <v>41</v>
      </c>
      <c r="H2836" s="4">
        <v>1</v>
      </c>
      <c r="I2836" s="4">
        <v>2</v>
      </c>
      <c r="J2836" s="1">
        <v>45691</v>
      </c>
      <c r="K2836" s="2">
        <v>3.2664351851851847E-2</v>
      </c>
      <c r="M2836" s="4" t="str">
        <f t="shared" si="132"/>
        <v>HIGH</v>
      </c>
      <c r="N2836" s="4" t="str" cm="1">
        <f t="array" ref="N2836">_xlfn.IFS(C2836&gt;35,"HIGH",C2836&gt;25,"MIDDLE",TRUE,"LOW")</f>
        <v>HIGH</v>
      </c>
      <c r="O2836" s="4" t="str">
        <f t="shared" si="133"/>
        <v>OTHERS</v>
      </c>
      <c r="P2836" s="4" t="str">
        <f t="shared" si="134"/>
        <v>PREMINUM MORNING</v>
      </c>
    </row>
    <row r="2837" spans="1:16" x14ac:dyDescent="0.3">
      <c r="A2837" s="4">
        <v>14</v>
      </c>
      <c r="B2837" t="s">
        <v>11</v>
      </c>
      <c r="C2837" s="4">
        <v>35.76</v>
      </c>
      <c r="D2837" t="s">
        <v>12</v>
      </c>
      <c r="E2837" t="s">
        <v>17</v>
      </c>
      <c r="F2837" s="4" t="s">
        <v>25</v>
      </c>
      <c r="G2837" s="4" t="s">
        <v>41</v>
      </c>
      <c r="H2837" s="4">
        <v>1</v>
      </c>
      <c r="I2837" s="4">
        <v>2</v>
      </c>
      <c r="J2837" s="1">
        <v>45691</v>
      </c>
      <c r="K2837" s="2">
        <v>3.496064814814815E-2</v>
      </c>
      <c r="M2837" s="4" t="str">
        <f t="shared" si="132"/>
        <v>HIGH</v>
      </c>
      <c r="N2837" s="4" t="str" cm="1">
        <f t="array" ref="N2837">_xlfn.IFS(C2837&gt;35,"HIGH",C2837&gt;25,"MIDDLE",TRUE,"LOW")</f>
        <v>HIGH</v>
      </c>
      <c r="O2837" s="4" t="str">
        <f t="shared" si="133"/>
        <v>OTHERS</v>
      </c>
      <c r="P2837" s="4" t="str">
        <f t="shared" si="134"/>
        <v>PREMINUM MORNING</v>
      </c>
    </row>
    <row r="2838" spans="1:16" x14ac:dyDescent="0.3">
      <c r="A2838" s="4">
        <v>15</v>
      </c>
      <c r="B2838" t="s">
        <v>11</v>
      </c>
      <c r="C2838" s="4">
        <v>35.76</v>
      </c>
      <c r="D2838" t="s">
        <v>12</v>
      </c>
      <c r="E2838" t="s">
        <v>17</v>
      </c>
      <c r="F2838" s="4" t="s">
        <v>25</v>
      </c>
      <c r="G2838" s="4" t="s">
        <v>41</v>
      </c>
      <c r="H2838" s="4">
        <v>1</v>
      </c>
      <c r="I2838" s="4">
        <v>2</v>
      </c>
      <c r="J2838" s="1">
        <v>45691</v>
      </c>
      <c r="K2838" s="2">
        <v>1.210648148148148E-3</v>
      </c>
      <c r="M2838" s="4" t="str">
        <f t="shared" si="132"/>
        <v>HIGH</v>
      </c>
      <c r="N2838" s="4" t="str" cm="1">
        <f t="array" ref="N2838">_xlfn.IFS(C2838&gt;35,"HIGH",C2838&gt;25,"MIDDLE",TRUE,"LOW")</f>
        <v>HIGH</v>
      </c>
      <c r="O2838" s="4" t="str">
        <f t="shared" si="133"/>
        <v>OTHERS</v>
      </c>
      <c r="P2838" s="4" t="str">
        <f t="shared" si="134"/>
        <v>PREMINUM MORNING</v>
      </c>
    </row>
    <row r="2839" spans="1:16" x14ac:dyDescent="0.3">
      <c r="A2839" s="4">
        <v>15</v>
      </c>
      <c r="B2839" t="s">
        <v>11</v>
      </c>
      <c r="C2839" s="4">
        <v>25.96</v>
      </c>
      <c r="D2839" t="s">
        <v>18</v>
      </c>
      <c r="E2839" t="s">
        <v>17</v>
      </c>
      <c r="F2839" s="4" t="s">
        <v>25</v>
      </c>
      <c r="G2839" s="4" t="s">
        <v>41</v>
      </c>
      <c r="H2839" s="4">
        <v>1</v>
      </c>
      <c r="I2839" s="4">
        <v>2</v>
      </c>
      <c r="J2839" s="1">
        <v>45691</v>
      </c>
      <c r="K2839" s="2">
        <v>2.8787037037037035E-2</v>
      </c>
      <c r="M2839" s="4" t="str">
        <f t="shared" si="132"/>
        <v>LOW</v>
      </c>
      <c r="N2839" s="4" t="str" cm="1">
        <f t="array" ref="N2839">_xlfn.IFS(C2839&gt;35,"HIGH",C2839&gt;25,"MIDDLE",TRUE,"LOW")</f>
        <v>MIDDLE</v>
      </c>
      <c r="O2839" s="4" t="str">
        <f t="shared" si="133"/>
        <v>OTHERS</v>
      </c>
      <c r="P2839" s="4" t="str">
        <f t="shared" si="134"/>
        <v>OTHERS</v>
      </c>
    </row>
    <row r="2840" spans="1:16" x14ac:dyDescent="0.3">
      <c r="A2840" s="4">
        <v>17</v>
      </c>
      <c r="B2840" t="s">
        <v>11</v>
      </c>
      <c r="C2840" s="4">
        <v>35.76</v>
      </c>
      <c r="D2840" t="s">
        <v>21</v>
      </c>
      <c r="E2840" t="s">
        <v>20</v>
      </c>
      <c r="F2840" s="4" t="s">
        <v>25</v>
      </c>
      <c r="G2840" s="4" t="s">
        <v>41</v>
      </c>
      <c r="H2840" s="4">
        <v>1</v>
      </c>
      <c r="I2840" s="4">
        <v>2</v>
      </c>
      <c r="J2840" s="1">
        <v>45691</v>
      </c>
      <c r="K2840" s="2">
        <v>1.005787037037037E-3</v>
      </c>
      <c r="M2840" s="4" t="str">
        <f t="shared" si="132"/>
        <v>HIGH</v>
      </c>
      <c r="N2840" s="4" t="str" cm="1">
        <f t="array" ref="N2840">_xlfn.IFS(C2840&gt;35,"HIGH",C2840&gt;25,"MIDDLE",TRUE,"LOW")</f>
        <v>HIGH</v>
      </c>
      <c r="O2840" s="4" t="str">
        <f t="shared" si="133"/>
        <v>OTHERS</v>
      </c>
      <c r="P2840" s="4" t="str">
        <f t="shared" si="134"/>
        <v>PREMINUM MORNING</v>
      </c>
    </row>
    <row r="2841" spans="1:16" x14ac:dyDescent="0.3">
      <c r="A2841" s="4">
        <v>17</v>
      </c>
      <c r="B2841" t="s">
        <v>11</v>
      </c>
      <c r="C2841" s="4">
        <v>30.86</v>
      </c>
      <c r="D2841" t="s">
        <v>19</v>
      </c>
      <c r="E2841" t="s">
        <v>20</v>
      </c>
      <c r="F2841" s="4" t="s">
        <v>25</v>
      </c>
      <c r="G2841" s="4" t="s">
        <v>41</v>
      </c>
      <c r="H2841" s="4">
        <v>1</v>
      </c>
      <c r="I2841" s="4">
        <v>2</v>
      </c>
      <c r="J2841" s="1">
        <v>45691</v>
      </c>
      <c r="K2841" s="2">
        <v>6.8877314814814817E-3</v>
      </c>
      <c r="M2841" s="4" t="str">
        <f t="shared" si="132"/>
        <v>LOW</v>
      </c>
      <c r="N2841" s="4" t="str" cm="1">
        <f t="array" ref="N2841">_xlfn.IFS(C2841&gt;35,"HIGH",C2841&gt;25,"MIDDLE",TRUE,"LOW")</f>
        <v>MIDDLE</v>
      </c>
      <c r="O2841" s="4" t="str">
        <f t="shared" si="133"/>
        <v>OTHERS</v>
      </c>
      <c r="P2841" s="4" t="str">
        <f t="shared" si="134"/>
        <v>OTHERS</v>
      </c>
    </row>
    <row r="2842" spans="1:16" x14ac:dyDescent="0.3">
      <c r="A2842" s="4">
        <v>17</v>
      </c>
      <c r="B2842" t="s">
        <v>11</v>
      </c>
      <c r="C2842" s="4">
        <v>30.86</v>
      </c>
      <c r="D2842" t="s">
        <v>19</v>
      </c>
      <c r="E2842" t="s">
        <v>20</v>
      </c>
      <c r="F2842" s="4" t="s">
        <v>25</v>
      </c>
      <c r="G2842" s="4" t="s">
        <v>41</v>
      </c>
      <c r="H2842" s="4">
        <v>1</v>
      </c>
      <c r="I2842" s="4">
        <v>2</v>
      </c>
      <c r="J2842" s="1">
        <v>45691</v>
      </c>
      <c r="K2842" s="2">
        <v>7.7222222222222223E-3</v>
      </c>
      <c r="M2842" s="4" t="str">
        <f t="shared" si="132"/>
        <v>LOW</v>
      </c>
      <c r="N2842" s="4" t="str" cm="1">
        <f t="array" ref="N2842">_xlfn.IFS(C2842&gt;35,"HIGH",C2842&gt;25,"MIDDLE",TRUE,"LOW")</f>
        <v>MIDDLE</v>
      </c>
      <c r="O2842" s="4" t="str">
        <f t="shared" si="133"/>
        <v>OTHERS</v>
      </c>
      <c r="P2842" s="4" t="str">
        <f t="shared" si="134"/>
        <v>OTHERS</v>
      </c>
    </row>
    <row r="2843" spans="1:16" x14ac:dyDescent="0.3">
      <c r="A2843" s="4">
        <v>17</v>
      </c>
      <c r="B2843" t="s">
        <v>11</v>
      </c>
      <c r="C2843" s="4">
        <v>30.86</v>
      </c>
      <c r="D2843" t="s">
        <v>19</v>
      </c>
      <c r="E2843" t="s">
        <v>20</v>
      </c>
      <c r="F2843" s="4" t="s">
        <v>25</v>
      </c>
      <c r="G2843" s="4" t="s">
        <v>41</v>
      </c>
      <c r="H2843" s="4">
        <v>1</v>
      </c>
      <c r="I2843" s="4">
        <v>2</v>
      </c>
      <c r="J2843" s="1">
        <v>45691</v>
      </c>
      <c r="K2843" s="2">
        <v>8.3935185185185189E-3</v>
      </c>
      <c r="M2843" s="4" t="str">
        <f t="shared" si="132"/>
        <v>LOW</v>
      </c>
      <c r="N2843" s="4" t="str" cm="1">
        <f t="array" ref="N2843">_xlfn.IFS(C2843&gt;35,"HIGH",C2843&gt;25,"MIDDLE",TRUE,"LOW")</f>
        <v>MIDDLE</v>
      </c>
      <c r="O2843" s="4" t="str">
        <f t="shared" si="133"/>
        <v>OTHERS</v>
      </c>
      <c r="P2843" s="4" t="str">
        <f t="shared" si="134"/>
        <v>OTHERS</v>
      </c>
    </row>
    <row r="2844" spans="1:16" x14ac:dyDescent="0.3">
      <c r="A2844" s="4">
        <v>17</v>
      </c>
      <c r="B2844" t="s">
        <v>11</v>
      </c>
      <c r="C2844" s="4">
        <v>35.76</v>
      </c>
      <c r="D2844" t="s">
        <v>16</v>
      </c>
      <c r="E2844" t="s">
        <v>20</v>
      </c>
      <c r="F2844" s="4" t="s">
        <v>25</v>
      </c>
      <c r="G2844" s="4" t="s">
        <v>41</v>
      </c>
      <c r="H2844" s="4">
        <v>1</v>
      </c>
      <c r="I2844" s="4">
        <v>2</v>
      </c>
      <c r="J2844" s="1">
        <v>45691</v>
      </c>
      <c r="K2844" s="2">
        <v>9.2766203703703708E-3</v>
      </c>
      <c r="M2844" s="4" t="str">
        <f t="shared" si="132"/>
        <v>HIGH</v>
      </c>
      <c r="N2844" s="4" t="str" cm="1">
        <f t="array" ref="N2844">_xlfn.IFS(C2844&gt;35,"HIGH",C2844&gt;25,"MIDDLE",TRUE,"LOW")</f>
        <v>HIGH</v>
      </c>
      <c r="O2844" s="4" t="str">
        <f t="shared" si="133"/>
        <v>OTHERS</v>
      </c>
      <c r="P2844" s="4" t="str">
        <f t="shared" si="134"/>
        <v>PREMINUM MORNING</v>
      </c>
    </row>
    <row r="2845" spans="1:16" x14ac:dyDescent="0.3">
      <c r="A2845" s="4">
        <v>17</v>
      </c>
      <c r="B2845" t="s">
        <v>11</v>
      </c>
      <c r="C2845" s="4">
        <v>35.76</v>
      </c>
      <c r="D2845" t="s">
        <v>12</v>
      </c>
      <c r="E2845" t="s">
        <v>20</v>
      </c>
      <c r="F2845" s="4" t="s">
        <v>25</v>
      </c>
      <c r="G2845" s="4" t="s">
        <v>41</v>
      </c>
      <c r="H2845" s="4">
        <v>1</v>
      </c>
      <c r="I2845" s="4">
        <v>2</v>
      </c>
      <c r="J2845" s="1">
        <v>45691</v>
      </c>
      <c r="K2845" s="2">
        <v>9.9351851851851858E-3</v>
      </c>
      <c r="M2845" s="4" t="str">
        <f t="shared" si="132"/>
        <v>HIGH</v>
      </c>
      <c r="N2845" s="4" t="str" cm="1">
        <f t="array" ref="N2845">_xlfn.IFS(C2845&gt;35,"HIGH",C2845&gt;25,"MIDDLE",TRUE,"LOW")</f>
        <v>HIGH</v>
      </c>
      <c r="O2845" s="4" t="str">
        <f t="shared" si="133"/>
        <v>OTHERS</v>
      </c>
      <c r="P2845" s="4" t="str">
        <f t="shared" si="134"/>
        <v>PREMINUM MORNING</v>
      </c>
    </row>
    <row r="2846" spans="1:16" x14ac:dyDescent="0.3">
      <c r="A2846" s="4">
        <v>17</v>
      </c>
      <c r="B2846" t="s">
        <v>11</v>
      </c>
      <c r="C2846" s="4">
        <v>35.76</v>
      </c>
      <c r="D2846" t="s">
        <v>16</v>
      </c>
      <c r="E2846" t="s">
        <v>20</v>
      </c>
      <c r="F2846" s="4" t="s">
        <v>25</v>
      </c>
      <c r="G2846" s="4" t="s">
        <v>41</v>
      </c>
      <c r="H2846" s="4">
        <v>1</v>
      </c>
      <c r="I2846" s="4">
        <v>2</v>
      </c>
      <c r="J2846" s="1">
        <v>45691</v>
      </c>
      <c r="K2846" s="2">
        <v>1.0890046296296295E-2</v>
      </c>
      <c r="M2846" s="4" t="str">
        <f t="shared" si="132"/>
        <v>HIGH</v>
      </c>
      <c r="N2846" s="4" t="str" cm="1">
        <f t="array" ref="N2846">_xlfn.IFS(C2846&gt;35,"HIGH",C2846&gt;25,"MIDDLE",TRUE,"LOW")</f>
        <v>HIGH</v>
      </c>
      <c r="O2846" s="4" t="str">
        <f t="shared" si="133"/>
        <v>OTHERS</v>
      </c>
      <c r="P2846" s="4" t="str">
        <f t="shared" si="134"/>
        <v>PREMINUM MORNING</v>
      </c>
    </row>
    <row r="2847" spans="1:16" x14ac:dyDescent="0.3">
      <c r="A2847" s="4">
        <v>17</v>
      </c>
      <c r="B2847" t="s">
        <v>11</v>
      </c>
      <c r="C2847" s="4">
        <v>30.86</v>
      </c>
      <c r="D2847" t="s">
        <v>19</v>
      </c>
      <c r="E2847" t="s">
        <v>20</v>
      </c>
      <c r="F2847" s="4" t="s">
        <v>25</v>
      </c>
      <c r="G2847" s="4" t="s">
        <v>41</v>
      </c>
      <c r="H2847" s="4">
        <v>1</v>
      </c>
      <c r="I2847" s="4">
        <v>2</v>
      </c>
      <c r="J2847" s="1">
        <v>45691</v>
      </c>
      <c r="K2847" s="2">
        <v>3.0760416666666665E-2</v>
      </c>
      <c r="M2847" s="4" t="str">
        <f t="shared" si="132"/>
        <v>LOW</v>
      </c>
      <c r="N2847" s="4" t="str" cm="1">
        <f t="array" ref="N2847">_xlfn.IFS(C2847&gt;35,"HIGH",C2847&gt;25,"MIDDLE",TRUE,"LOW")</f>
        <v>MIDDLE</v>
      </c>
      <c r="O2847" s="4" t="str">
        <f t="shared" si="133"/>
        <v>OTHERS</v>
      </c>
      <c r="P2847" s="4" t="str">
        <f t="shared" si="134"/>
        <v>OTHERS</v>
      </c>
    </row>
    <row r="2848" spans="1:16" x14ac:dyDescent="0.3">
      <c r="A2848" s="4">
        <v>18</v>
      </c>
      <c r="B2848" t="s">
        <v>11</v>
      </c>
      <c r="C2848" s="4">
        <v>25.96</v>
      </c>
      <c r="D2848" t="s">
        <v>18</v>
      </c>
      <c r="E2848" t="s">
        <v>20</v>
      </c>
      <c r="F2848" s="4" t="s">
        <v>25</v>
      </c>
      <c r="G2848" s="4" t="s">
        <v>41</v>
      </c>
      <c r="H2848" s="4">
        <v>1</v>
      </c>
      <c r="I2848" s="4">
        <v>2</v>
      </c>
      <c r="J2848" s="1">
        <v>45691</v>
      </c>
      <c r="K2848" s="2">
        <v>6.2557870370370371E-3</v>
      </c>
      <c r="M2848" s="4" t="str">
        <f t="shared" si="132"/>
        <v>LOW</v>
      </c>
      <c r="N2848" s="4" t="str" cm="1">
        <f t="array" ref="N2848">_xlfn.IFS(C2848&gt;35,"HIGH",C2848&gt;25,"MIDDLE",TRUE,"LOW")</f>
        <v>MIDDLE</v>
      </c>
      <c r="O2848" s="4" t="str">
        <f t="shared" si="133"/>
        <v>OTHERS</v>
      </c>
      <c r="P2848" s="4" t="str">
        <f t="shared" si="134"/>
        <v>OTHERS</v>
      </c>
    </row>
    <row r="2849" spans="1:16" x14ac:dyDescent="0.3">
      <c r="A2849" s="4">
        <v>20</v>
      </c>
      <c r="B2849" t="s">
        <v>11</v>
      </c>
      <c r="C2849" s="4">
        <v>35.76</v>
      </c>
      <c r="D2849" t="s">
        <v>21</v>
      </c>
      <c r="E2849" t="s">
        <v>20</v>
      </c>
      <c r="F2849" s="4" t="s">
        <v>25</v>
      </c>
      <c r="G2849" s="4" t="s">
        <v>41</v>
      </c>
      <c r="H2849" s="4">
        <v>1</v>
      </c>
      <c r="I2849" s="4">
        <v>2</v>
      </c>
      <c r="J2849" s="1">
        <v>45691</v>
      </c>
      <c r="K2849" s="2">
        <v>3.071875E-2</v>
      </c>
      <c r="M2849" s="4" t="str">
        <f t="shared" si="132"/>
        <v>HIGH</v>
      </c>
      <c r="N2849" s="4" t="str" cm="1">
        <f t="array" ref="N2849">_xlfn.IFS(C2849&gt;35,"HIGH",C2849&gt;25,"MIDDLE",TRUE,"LOW")</f>
        <v>HIGH</v>
      </c>
      <c r="O2849" s="4" t="str">
        <f t="shared" si="133"/>
        <v>OTHERS</v>
      </c>
      <c r="P2849" s="4" t="str">
        <f t="shared" si="134"/>
        <v>PREMINUM MORNING</v>
      </c>
    </row>
    <row r="2850" spans="1:16" x14ac:dyDescent="0.3">
      <c r="A2850" s="4">
        <v>10</v>
      </c>
      <c r="B2850" t="s">
        <v>11</v>
      </c>
      <c r="C2850" s="4">
        <v>30.86</v>
      </c>
      <c r="D2850" t="s">
        <v>19</v>
      </c>
      <c r="E2850" t="s">
        <v>13</v>
      </c>
      <c r="F2850" s="4" t="s">
        <v>27</v>
      </c>
      <c r="G2850" s="4" t="s">
        <v>41</v>
      </c>
      <c r="H2850" s="4">
        <v>2</v>
      </c>
      <c r="I2850" s="4">
        <v>2</v>
      </c>
      <c r="J2850" s="1">
        <v>45692</v>
      </c>
      <c r="K2850" s="2">
        <v>3.4351851851851852E-3</v>
      </c>
      <c r="M2850" s="4" t="str">
        <f t="shared" si="132"/>
        <v>LOW</v>
      </c>
      <c r="N2850" s="4" t="str" cm="1">
        <f t="array" ref="N2850">_xlfn.IFS(C2850&gt;35,"HIGH",C2850&gt;25,"MIDDLE",TRUE,"LOW")</f>
        <v>MIDDLE</v>
      </c>
      <c r="O2850" s="4" t="str">
        <f t="shared" si="133"/>
        <v>OTHERS</v>
      </c>
      <c r="P2850" s="4" t="str">
        <f t="shared" si="134"/>
        <v>PREMINUM MORNING</v>
      </c>
    </row>
    <row r="2851" spans="1:16" x14ac:dyDescent="0.3">
      <c r="A2851" s="4">
        <v>10</v>
      </c>
      <c r="B2851" t="s">
        <v>11</v>
      </c>
      <c r="C2851" s="4">
        <v>25.96</v>
      </c>
      <c r="D2851" t="s">
        <v>18</v>
      </c>
      <c r="E2851" t="s">
        <v>13</v>
      </c>
      <c r="F2851" s="4" t="s">
        <v>27</v>
      </c>
      <c r="G2851" s="4" t="s">
        <v>41</v>
      </c>
      <c r="H2851" s="4">
        <v>2</v>
      </c>
      <c r="I2851" s="4">
        <v>2</v>
      </c>
      <c r="J2851" s="1">
        <v>45692</v>
      </c>
      <c r="K2851" s="2">
        <v>8.0011574074074065E-3</v>
      </c>
      <c r="M2851" s="4" t="str">
        <f t="shared" si="132"/>
        <v>LOW</v>
      </c>
      <c r="N2851" s="4" t="str" cm="1">
        <f t="array" ref="N2851">_xlfn.IFS(C2851&gt;35,"HIGH",C2851&gt;25,"MIDDLE",TRUE,"LOW")</f>
        <v>MIDDLE</v>
      </c>
      <c r="O2851" s="4" t="str">
        <f t="shared" si="133"/>
        <v>OTHERS</v>
      </c>
      <c r="P2851" s="4" t="str">
        <f t="shared" si="134"/>
        <v>PREMINUM MORNING</v>
      </c>
    </row>
    <row r="2852" spans="1:16" x14ac:dyDescent="0.3">
      <c r="A2852" s="4">
        <v>12</v>
      </c>
      <c r="B2852" t="s">
        <v>11</v>
      </c>
      <c r="C2852" s="4">
        <v>30.86</v>
      </c>
      <c r="D2852" t="s">
        <v>19</v>
      </c>
      <c r="E2852" t="s">
        <v>17</v>
      </c>
      <c r="F2852" s="4" t="s">
        <v>27</v>
      </c>
      <c r="G2852" s="4" t="s">
        <v>41</v>
      </c>
      <c r="H2852" s="4">
        <v>2</v>
      </c>
      <c r="I2852" s="4">
        <v>2</v>
      </c>
      <c r="J2852" s="1">
        <v>45692</v>
      </c>
      <c r="K2852" s="2">
        <v>2.4980324074074075E-2</v>
      </c>
      <c r="M2852" s="4" t="str">
        <f t="shared" si="132"/>
        <v>LOW</v>
      </c>
      <c r="N2852" s="4" t="str" cm="1">
        <f t="array" ref="N2852">_xlfn.IFS(C2852&gt;35,"HIGH",C2852&gt;25,"MIDDLE",TRUE,"LOW")</f>
        <v>MIDDLE</v>
      </c>
      <c r="O2852" s="4" t="str">
        <f t="shared" si="133"/>
        <v>OTHERS</v>
      </c>
      <c r="P2852" s="4" t="str">
        <f t="shared" si="134"/>
        <v>OTHERS</v>
      </c>
    </row>
    <row r="2853" spans="1:16" x14ac:dyDescent="0.3">
      <c r="A2853" s="4">
        <v>13</v>
      </c>
      <c r="B2853" t="s">
        <v>11</v>
      </c>
      <c r="C2853" s="4">
        <v>25.96</v>
      </c>
      <c r="D2853" t="s">
        <v>24</v>
      </c>
      <c r="E2853" t="s">
        <v>17</v>
      </c>
      <c r="F2853" s="4" t="s">
        <v>27</v>
      </c>
      <c r="G2853" s="4" t="s">
        <v>41</v>
      </c>
      <c r="H2853" s="4">
        <v>2</v>
      </c>
      <c r="I2853" s="4">
        <v>2</v>
      </c>
      <c r="J2853" s="1">
        <v>45692</v>
      </c>
      <c r="K2853" s="2">
        <v>5.3125000000000004E-3</v>
      </c>
      <c r="M2853" s="4" t="str">
        <f t="shared" si="132"/>
        <v>LOW</v>
      </c>
      <c r="N2853" s="4" t="str" cm="1">
        <f t="array" ref="N2853">_xlfn.IFS(C2853&gt;35,"HIGH",C2853&gt;25,"MIDDLE",TRUE,"LOW")</f>
        <v>MIDDLE</v>
      </c>
      <c r="O2853" s="4" t="str">
        <f t="shared" si="133"/>
        <v>OTHERS</v>
      </c>
      <c r="P2853" s="4" t="str">
        <f t="shared" si="134"/>
        <v>OTHERS</v>
      </c>
    </row>
    <row r="2854" spans="1:16" x14ac:dyDescent="0.3">
      <c r="A2854" s="4">
        <v>14</v>
      </c>
      <c r="B2854" t="s">
        <v>11</v>
      </c>
      <c r="C2854" s="4">
        <v>25.96</v>
      </c>
      <c r="D2854" t="s">
        <v>18</v>
      </c>
      <c r="E2854" t="s">
        <v>17</v>
      </c>
      <c r="F2854" s="4" t="s">
        <v>27</v>
      </c>
      <c r="G2854" s="4" t="s">
        <v>41</v>
      </c>
      <c r="H2854" s="4">
        <v>2</v>
      </c>
      <c r="I2854" s="4">
        <v>2</v>
      </c>
      <c r="J2854" s="1">
        <v>45692</v>
      </c>
      <c r="K2854" s="2">
        <v>1.0578703703703703E-2</v>
      </c>
      <c r="M2854" s="4" t="str">
        <f t="shared" si="132"/>
        <v>LOW</v>
      </c>
      <c r="N2854" s="4" t="str" cm="1">
        <f t="array" ref="N2854">_xlfn.IFS(C2854&gt;35,"HIGH",C2854&gt;25,"MIDDLE",TRUE,"LOW")</f>
        <v>MIDDLE</v>
      </c>
      <c r="O2854" s="4" t="str">
        <f t="shared" si="133"/>
        <v>OTHERS</v>
      </c>
      <c r="P2854" s="4" t="str">
        <f t="shared" si="134"/>
        <v>OTHERS</v>
      </c>
    </row>
    <row r="2855" spans="1:16" x14ac:dyDescent="0.3">
      <c r="A2855" s="4">
        <v>14</v>
      </c>
      <c r="B2855" t="s">
        <v>11</v>
      </c>
      <c r="C2855" s="4">
        <v>30.86</v>
      </c>
      <c r="D2855" t="s">
        <v>19</v>
      </c>
      <c r="E2855" t="s">
        <v>17</v>
      </c>
      <c r="F2855" s="4" t="s">
        <v>27</v>
      </c>
      <c r="G2855" s="4" t="s">
        <v>41</v>
      </c>
      <c r="H2855" s="4">
        <v>2</v>
      </c>
      <c r="I2855" s="4">
        <v>2</v>
      </c>
      <c r="J2855" s="1">
        <v>45692</v>
      </c>
      <c r="K2855" s="2">
        <v>1.222800925925926E-2</v>
      </c>
      <c r="M2855" s="4" t="str">
        <f t="shared" si="132"/>
        <v>LOW</v>
      </c>
      <c r="N2855" s="4" t="str" cm="1">
        <f t="array" ref="N2855">_xlfn.IFS(C2855&gt;35,"HIGH",C2855&gt;25,"MIDDLE",TRUE,"LOW")</f>
        <v>MIDDLE</v>
      </c>
      <c r="O2855" s="4" t="str">
        <f t="shared" si="133"/>
        <v>OTHERS</v>
      </c>
      <c r="P2855" s="4" t="str">
        <f t="shared" si="134"/>
        <v>OTHERS</v>
      </c>
    </row>
    <row r="2856" spans="1:16" x14ac:dyDescent="0.3">
      <c r="A2856" s="4">
        <v>14</v>
      </c>
      <c r="B2856" t="s">
        <v>11</v>
      </c>
      <c r="C2856" s="4">
        <v>25.96</v>
      </c>
      <c r="D2856" t="s">
        <v>18</v>
      </c>
      <c r="E2856" t="s">
        <v>17</v>
      </c>
      <c r="F2856" s="4" t="s">
        <v>27</v>
      </c>
      <c r="G2856" s="4" t="s">
        <v>41</v>
      </c>
      <c r="H2856" s="4">
        <v>2</v>
      </c>
      <c r="I2856" s="4">
        <v>2</v>
      </c>
      <c r="J2856" s="1">
        <v>45692</v>
      </c>
      <c r="K2856" s="2">
        <v>1.3755787037037037E-2</v>
      </c>
      <c r="M2856" s="4" t="str">
        <f t="shared" si="132"/>
        <v>LOW</v>
      </c>
      <c r="N2856" s="4" t="str" cm="1">
        <f t="array" ref="N2856">_xlfn.IFS(C2856&gt;35,"HIGH",C2856&gt;25,"MIDDLE",TRUE,"LOW")</f>
        <v>MIDDLE</v>
      </c>
      <c r="O2856" s="4" t="str">
        <f t="shared" si="133"/>
        <v>OTHERS</v>
      </c>
      <c r="P2856" s="4" t="str">
        <f t="shared" si="134"/>
        <v>OTHERS</v>
      </c>
    </row>
    <row r="2857" spans="1:16" x14ac:dyDescent="0.3">
      <c r="A2857" s="4">
        <v>18</v>
      </c>
      <c r="B2857" t="s">
        <v>11</v>
      </c>
      <c r="C2857" s="4">
        <v>30.86</v>
      </c>
      <c r="D2857" t="s">
        <v>19</v>
      </c>
      <c r="E2857" t="s">
        <v>20</v>
      </c>
      <c r="F2857" s="4" t="s">
        <v>27</v>
      </c>
      <c r="G2857" s="4" t="s">
        <v>41</v>
      </c>
      <c r="H2857" s="4">
        <v>2</v>
      </c>
      <c r="I2857" s="4">
        <v>2</v>
      </c>
      <c r="J2857" s="1">
        <v>45692</v>
      </c>
      <c r="K2857" s="2">
        <v>9.5115740740740733E-3</v>
      </c>
      <c r="M2857" s="4" t="str">
        <f t="shared" si="132"/>
        <v>LOW</v>
      </c>
      <c r="N2857" s="4" t="str" cm="1">
        <f t="array" ref="N2857">_xlfn.IFS(C2857&gt;35,"HIGH",C2857&gt;25,"MIDDLE",TRUE,"LOW")</f>
        <v>MIDDLE</v>
      </c>
      <c r="O2857" s="4" t="str">
        <f t="shared" si="133"/>
        <v>OTHERS</v>
      </c>
      <c r="P2857" s="4" t="str">
        <f t="shared" si="134"/>
        <v>OTHERS</v>
      </c>
    </row>
    <row r="2858" spans="1:16" x14ac:dyDescent="0.3">
      <c r="A2858" s="4">
        <v>19</v>
      </c>
      <c r="B2858" t="s">
        <v>11</v>
      </c>
      <c r="C2858" s="4">
        <v>35.76</v>
      </c>
      <c r="D2858" t="s">
        <v>21</v>
      </c>
      <c r="E2858" t="s">
        <v>20</v>
      </c>
      <c r="F2858" s="4" t="s">
        <v>27</v>
      </c>
      <c r="G2858" s="4" t="s">
        <v>41</v>
      </c>
      <c r="H2858" s="4">
        <v>2</v>
      </c>
      <c r="I2858" s="4">
        <v>2</v>
      </c>
      <c r="J2858" s="1">
        <v>45692</v>
      </c>
      <c r="K2858" s="2">
        <v>3.7256944444444442E-3</v>
      </c>
      <c r="M2858" s="4" t="str">
        <f t="shared" si="132"/>
        <v>HIGH</v>
      </c>
      <c r="N2858" s="4" t="str" cm="1">
        <f t="array" ref="N2858">_xlfn.IFS(C2858&gt;35,"HIGH",C2858&gt;25,"MIDDLE",TRUE,"LOW")</f>
        <v>HIGH</v>
      </c>
      <c r="O2858" s="4" t="str">
        <f t="shared" si="133"/>
        <v>OTHERS</v>
      </c>
      <c r="P2858" s="4" t="str">
        <f t="shared" si="134"/>
        <v>PREMINUM MORNING</v>
      </c>
    </row>
    <row r="2859" spans="1:16" x14ac:dyDescent="0.3">
      <c r="A2859" s="4">
        <v>19</v>
      </c>
      <c r="B2859" t="s">
        <v>11</v>
      </c>
      <c r="C2859" s="4">
        <v>35.76</v>
      </c>
      <c r="D2859" t="s">
        <v>21</v>
      </c>
      <c r="E2859" t="s">
        <v>20</v>
      </c>
      <c r="F2859" s="4" t="s">
        <v>27</v>
      </c>
      <c r="G2859" s="4" t="s">
        <v>41</v>
      </c>
      <c r="H2859" s="4">
        <v>2</v>
      </c>
      <c r="I2859" s="4">
        <v>2</v>
      </c>
      <c r="J2859" s="1">
        <v>45692</v>
      </c>
      <c r="K2859" s="2">
        <v>6.6747685185185191E-3</v>
      </c>
      <c r="M2859" s="4" t="str">
        <f t="shared" si="132"/>
        <v>HIGH</v>
      </c>
      <c r="N2859" s="4" t="str" cm="1">
        <f t="array" ref="N2859">_xlfn.IFS(C2859&gt;35,"HIGH",C2859&gt;25,"MIDDLE",TRUE,"LOW")</f>
        <v>HIGH</v>
      </c>
      <c r="O2859" s="4" t="str">
        <f t="shared" si="133"/>
        <v>OTHERS</v>
      </c>
      <c r="P2859" s="4" t="str">
        <f t="shared" si="134"/>
        <v>PREMINUM MORNING</v>
      </c>
    </row>
    <row r="2860" spans="1:16" x14ac:dyDescent="0.3">
      <c r="A2860" s="4">
        <v>19</v>
      </c>
      <c r="B2860" t="s">
        <v>11</v>
      </c>
      <c r="C2860" s="4">
        <v>35.76</v>
      </c>
      <c r="D2860" t="s">
        <v>21</v>
      </c>
      <c r="E2860" t="s">
        <v>20</v>
      </c>
      <c r="F2860" s="4" t="s">
        <v>27</v>
      </c>
      <c r="G2860" s="4" t="s">
        <v>41</v>
      </c>
      <c r="H2860" s="4">
        <v>2</v>
      </c>
      <c r="I2860" s="4">
        <v>2</v>
      </c>
      <c r="J2860" s="1">
        <v>45692</v>
      </c>
      <c r="K2860" s="2">
        <v>7.2638888888888892E-3</v>
      </c>
      <c r="M2860" s="4" t="str">
        <f t="shared" si="132"/>
        <v>HIGH</v>
      </c>
      <c r="N2860" s="4" t="str" cm="1">
        <f t="array" ref="N2860">_xlfn.IFS(C2860&gt;35,"HIGH",C2860&gt;25,"MIDDLE",TRUE,"LOW")</f>
        <v>HIGH</v>
      </c>
      <c r="O2860" s="4" t="str">
        <f t="shared" si="133"/>
        <v>OTHERS</v>
      </c>
      <c r="P2860" s="4" t="str">
        <f t="shared" si="134"/>
        <v>PREMINUM MORNING</v>
      </c>
    </row>
    <row r="2861" spans="1:16" x14ac:dyDescent="0.3">
      <c r="A2861" s="4">
        <v>19</v>
      </c>
      <c r="B2861" t="s">
        <v>11</v>
      </c>
      <c r="C2861" s="4">
        <v>25.96</v>
      </c>
      <c r="D2861" t="s">
        <v>24</v>
      </c>
      <c r="E2861" t="s">
        <v>20</v>
      </c>
      <c r="F2861" s="4" t="s">
        <v>27</v>
      </c>
      <c r="G2861" s="4" t="s">
        <v>41</v>
      </c>
      <c r="H2861" s="4">
        <v>2</v>
      </c>
      <c r="I2861" s="4">
        <v>2</v>
      </c>
      <c r="J2861" s="1">
        <v>45692</v>
      </c>
      <c r="K2861" s="2">
        <v>1.906597222222222E-2</v>
      </c>
      <c r="M2861" s="4" t="str">
        <f t="shared" si="132"/>
        <v>LOW</v>
      </c>
      <c r="N2861" s="4" t="str" cm="1">
        <f t="array" ref="N2861">_xlfn.IFS(C2861&gt;35,"HIGH",C2861&gt;25,"MIDDLE",TRUE,"LOW")</f>
        <v>MIDDLE</v>
      </c>
      <c r="O2861" s="4" t="str">
        <f t="shared" si="133"/>
        <v>OTHERS</v>
      </c>
      <c r="P2861" s="4" t="str">
        <f t="shared" si="134"/>
        <v>OTHERS</v>
      </c>
    </row>
    <row r="2862" spans="1:16" x14ac:dyDescent="0.3">
      <c r="A2862" s="4">
        <v>8</v>
      </c>
      <c r="B2862" t="s">
        <v>11</v>
      </c>
      <c r="C2862" s="4">
        <v>30.86</v>
      </c>
      <c r="D2862" t="s">
        <v>19</v>
      </c>
      <c r="E2862" t="s">
        <v>13</v>
      </c>
      <c r="F2862" s="4" t="s">
        <v>28</v>
      </c>
      <c r="G2862" s="4" t="s">
        <v>41</v>
      </c>
      <c r="H2862" s="4">
        <v>3</v>
      </c>
      <c r="I2862" s="4">
        <v>2</v>
      </c>
      <c r="J2862" s="1">
        <v>45693</v>
      </c>
      <c r="K2862" s="2">
        <v>2.9288194444444443E-2</v>
      </c>
      <c r="M2862" s="4" t="str">
        <f t="shared" si="132"/>
        <v>LOW</v>
      </c>
      <c r="N2862" s="4" t="str" cm="1">
        <f t="array" ref="N2862">_xlfn.IFS(C2862&gt;35,"HIGH",C2862&gt;25,"MIDDLE",TRUE,"LOW")</f>
        <v>MIDDLE</v>
      </c>
      <c r="O2862" s="4" t="str">
        <f t="shared" si="133"/>
        <v>OTHERS</v>
      </c>
      <c r="P2862" s="4" t="str">
        <f t="shared" si="134"/>
        <v>PREMINUM MORNING</v>
      </c>
    </row>
    <row r="2863" spans="1:16" x14ac:dyDescent="0.3">
      <c r="A2863" s="4">
        <v>9</v>
      </c>
      <c r="B2863" t="s">
        <v>11</v>
      </c>
      <c r="C2863" s="4">
        <v>30.86</v>
      </c>
      <c r="D2863" t="s">
        <v>19</v>
      </c>
      <c r="E2863" t="s">
        <v>13</v>
      </c>
      <c r="F2863" s="4" t="s">
        <v>28</v>
      </c>
      <c r="G2863" s="4" t="s">
        <v>41</v>
      </c>
      <c r="H2863" s="4">
        <v>3</v>
      </c>
      <c r="I2863" s="4">
        <v>2</v>
      </c>
      <c r="J2863" s="1">
        <v>45693</v>
      </c>
      <c r="K2863" s="2">
        <v>7.4502314814814822E-3</v>
      </c>
      <c r="M2863" s="4" t="str">
        <f t="shared" si="132"/>
        <v>LOW</v>
      </c>
      <c r="N2863" s="4" t="str" cm="1">
        <f t="array" ref="N2863">_xlfn.IFS(C2863&gt;35,"HIGH",C2863&gt;25,"MIDDLE",TRUE,"LOW")</f>
        <v>MIDDLE</v>
      </c>
      <c r="O2863" s="4" t="str">
        <f t="shared" si="133"/>
        <v>OTHERS</v>
      </c>
      <c r="P2863" s="4" t="str">
        <f t="shared" si="134"/>
        <v>PREMINUM MORNING</v>
      </c>
    </row>
    <row r="2864" spans="1:16" x14ac:dyDescent="0.3">
      <c r="A2864" s="4">
        <v>11</v>
      </c>
      <c r="B2864" t="s">
        <v>11</v>
      </c>
      <c r="C2864" s="4">
        <v>25.96</v>
      </c>
      <c r="D2864" t="s">
        <v>18</v>
      </c>
      <c r="E2864" t="s">
        <v>13</v>
      </c>
      <c r="F2864" s="4" t="s">
        <v>28</v>
      </c>
      <c r="G2864" s="4" t="s">
        <v>41</v>
      </c>
      <c r="H2864" s="4">
        <v>3</v>
      </c>
      <c r="I2864" s="4">
        <v>2</v>
      </c>
      <c r="J2864" s="1">
        <v>45693</v>
      </c>
      <c r="K2864" s="2">
        <v>3.4442129629629635E-2</v>
      </c>
      <c r="M2864" s="4" t="str">
        <f t="shared" si="132"/>
        <v>LOW</v>
      </c>
      <c r="N2864" s="4" t="str" cm="1">
        <f t="array" ref="N2864">_xlfn.IFS(C2864&gt;35,"HIGH",C2864&gt;25,"MIDDLE",TRUE,"LOW")</f>
        <v>MIDDLE</v>
      </c>
      <c r="O2864" s="4" t="str">
        <f t="shared" si="133"/>
        <v>OTHERS</v>
      </c>
      <c r="P2864" s="4" t="str">
        <f t="shared" si="134"/>
        <v>PREMINUM MORNING</v>
      </c>
    </row>
    <row r="2865" spans="1:16" x14ac:dyDescent="0.3">
      <c r="A2865" s="4">
        <v>11</v>
      </c>
      <c r="B2865" t="s">
        <v>11</v>
      </c>
      <c r="C2865" s="4">
        <v>25.96</v>
      </c>
      <c r="D2865" t="s">
        <v>18</v>
      </c>
      <c r="E2865" t="s">
        <v>13</v>
      </c>
      <c r="F2865" s="4" t="s">
        <v>28</v>
      </c>
      <c r="G2865" s="4" t="s">
        <v>41</v>
      </c>
      <c r="H2865" s="4">
        <v>3</v>
      </c>
      <c r="I2865" s="4">
        <v>2</v>
      </c>
      <c r="J2865" s="1">
        <v>45693</v>
      </c>
      <c r="K2865" s="2">
        <v>3.5203703703703702E-2</v>
      </c>
      <c r="M2865" s="4" t="str">
        <f t="shared" si="132"/>
        <v>LOW</v>
      </c>
      <c r="N2865" s="4" t="str" cm="1">
        <f t="array" ref="N2865">_xlfn.IFS(C2865&gt;35,"HIGH",C2865&gt;25,"MIDDLE",TRUE,"LOW")</f>
        <v>MIDDLE</v>
      </c>
      <c r="O2865" s="4" t="str">
        <f t="shared" si="133"/>
        <v>OTHERS</v>
      </c>
      <c r="P2865" s="4" t="str">
        <f t="shared" si="134"/>
        <v>PREMINUM MORNING</v>
      </c>
    </row>
    <row r="2866" spans="1:16" x14ac:dyDescent="0.3">
      <c r="A2866" s="4">
        <v>11</v>
      </c>
      <c r="B2866" t="s">
        <v>11</v>
      </c>
      <c r="C2866" s="4">
        <v>25.96</v>
      </c>
      <c r="D2866" t="s">
        <v>18</v>
      </c>
      <c r="E2866" t="s">
        <v>13</v>
      </c>
      <c r="F2866" s="4" t="s">
        <v>28</v>
      </c>
      <c r="G2866" s="4" t="s">
        <v>41</v>
      </c>
      <c r="H2866" s="4">
        <v>3</v>
      </c>
      <c r="I2866" s="4">
        <v>2</v>
      </c>
      <c r="J2866" s="1">
        <v>45693</v>
      </c>
      <c r="K2866" s="2">
        <v>3.5942129629629629E-2</v>
      </c>
      <c r="M2866" s="4" t="str">
        <f t="shared" si="132"/>
        <v>LOW</v>
      </c>
      <c r="N2866" s="4" t="str" cm="1">
        <f t="array" ref="N2866">_xlfn.IFS(C2866&gt;35,"HIGH",C2866&gt;25,"MIDDLE",TRUE,"LOW")</f>
        <v>MIDDLE</v>
      </c>
      <c r="O2866" s="4" t="str">
        <f t="shared" si="133"/>
        <v>OTHERS</v>
      </c>
      <c r="P2866" s="4" t="str">
        <f t="shared" si="134"/>
        <v>PREMINUM MORNING</v>
      </c>
    </row>
    <row r="2867" spans="1:16" x14ac:dyDescent="0.3">
      <c r="A2867" s="4">
        <v>11</v>
      </c>
      <c r="B2867" t="s">
        <v>11</v>
      </c>
      <c r="C2867" s="4">
        <v>30.86</v>
      </c>
      <c r="D2867" t="s">
        <v>19</v>
      </c>
      <c r="E2867" t="s">
        <v>13</v>
      </c>
      <c r="F2867" s="4" t="s">
        <v>28</v>
      </c>
      <c r="G2867" s="4" t="s">
        <v>41</v>
      </c>
      <c r="H2867" s="4">
        <v>3</v>
      </c>
      <c r="I2867" s="4">
        <v>2</v>
      </c>
      <c r="J2867" s="1">
        <v>45693</v>
      </c>
      <c r="K2867" s="2">
        <v>4.0699074074074075E-2</v>
      </c>
      <c r="M2867" s="4" t="str">
        <f t="shared" si="132"/>
        <v>LOW</v>
      </c>
      <c r="N2867" s="4" t="str" cm="1">
        <f t="array" ref="N2867">_xlfn.IFS(C2867&gt;35,"HIGH",C2867&gt;25,"MIDDLE",TRUE,"LOW")</f>
        <v>MIDDLE</v>
      </c>
      <c r="O2867" s="4" t="str">
        <f t="shared" si="133"/>
        <v>OTHERS</v>
      </c>
      <c r="P2867" s="4" t="str">
        <f t="shared" si="134"/>
        <v>PREMINUM MORNING</v>
      </c>
    </row>
    <row r="2868" spans="1:16" x14ac:dyDescent="0.3">
      <c r="A2868" s="4">
        <v>12</v>
      </c>
      <c r="B2868" t="s">
        <v>11</v>
      </c>
      <c r="C2868" s="4">
        <v>25.96</v>
      </c>
      <c r="D2868" t="s">
        <v>18</v>
      </c>
      <c r="E2868" t="s">
        <v>17</v>
      </c>
      <c r="F2868" s="4" t="s">
        <v>28</v>
      </c>
      <c r="G2868" s="4" t="s">
        <v>41</v>
      </c>
      <c r="H2868" s="4">
        <v>3</v>
      </c>
      <c r="I2868" s="4">
        <v>2</v>
      </c>
      <c r="J2868" s="1">
        <v>45693</v>
      </c>
      <c r="K2868" s="2">
        <v>7.4872685185185181E-3</v>
      </c>
      <c r="M2868" s="4" t="str">
        <f t="shared" si="132"/>
        <v>LOW</v>
      </c>
      <c r="N2868" s="4" t="str" cm="1">
        <f t="array" ref="N2868">_xlfn.IFS(C2868&gt;35,"HIGH",C2868&gt;25,"MIDDLE",TRUE,"LOW")</f>
        <v>MIDDLE</v>
      </c>
      <c r="O2868" s="4" t="str">
        <f t="shared" si="133"/>
        <v>OTHERS</v>
      </c>
      <c r="P2868" s="4" t="str">
        <f t="shared" si="134"/>
        <v>OTHERS</v>
      </c>
    </row>
    <row r="2869" spans="1:16" x14ac:dyDescent="0.3">
      <c r="A2869" s="4">
        <v>13</v>
      </c>
      <c r="B2869" t="s">
        <v>11</v>
      </c>
      <c r="C2869" s="4">
        <v>25.96</v>
      </c>
      <c r="D2869" t="s">
        <v>18</v>
      </c>
      <c r="E2869" t="s">
        <v>17</v>
      </c>
      <c r="F2869" s="4" t="s">
        <v>28</v>
      </c>
      <c r="G2869" s="4" t="s">
        <v>41</v>
      </c>
      <c r="H2869" s="4">
        <v>3</v>
      </c>
      <c r="I2869" s="4">
        <v>2</v>
      </c>
      <c r="J2869" s="1">
        <v>45693</v>
      </c>
      <c r="K2869" s="2">
        <v>1.4423611111111111E-2</v>
      </c>
      <c r="M2869" s="4" t="str">
        <f t="shared" si="132"/>
        <v>LOW</v>
      </c>
      <c r="N2869" s="4" t="str" cm="1">
        <f t="array" ref="N2869">_xlfn.IFS(C2869&gt;35,"HIGH",C2869&gt;25,"MIDDLE",TRUE,"LOW")</f>
        <v>MIDDLE</v>
      </c>
      <c r="O2869" s="4" t="str">
        <f t="shared" si="133"/>
        <v>OTHERS</v>
      </c>
      <c r="P2869" s="4" t="str">
        <f t="shared" si="134"/>
        <v>OTHERS</v>
      </c>
    </row>
    <row r="2870" spans="1:16" x14ac:dyDescent="0.3">
      <c r="A2870" s="4">
        <v>13</v>
      </c>
      <c r="B2870" t="s">
        <v>11</v>
      </c>
      <c r="C2870" s="4">
        <v>21.06</v>
      </c>
      <c r="D2870" t="s">
        <v>26</v>
      </c>
      <c r="E2870" t="s">
        <v>17</v>
      </c>
      <c r="F2870" s="4" t="s">
        <v>28</v>
      </c>
      <c r="G2870" s="4" t="s">
        <v>41</v>
      </c>
      <c r="H2870" s="4">
        <v>3</v>
      </c>
      <c r="I2870" s="4">
        <v>2</v>
      </c>
      <c r="J2870" s="1">
        <v>45693</v>
      </c>
      <c r="K2870" s="2">
        <v>3.0356481481481484E-2</v>
      </c>
      <c r="M2870" s="4" t="str">
        <f t="shared" si="132"/>
        <v>LOW</v>
      </c>
      <c r="N2870" s="4" t="str" cm="1">
        <f t="array" ref="N2870">_xlfn.IFS(C2870&gt;35,"HIGH",C2870&gt;25,"MIDDLE",TRUE,"LOW")</f>
        <v>LOW</v>
      </c>
      <c r="O2870" s="4" t="str">
        <f t="shared" si="133"/>
        <v>OTHERS</v>
      </c>
      <c r="P2870" s="4" t="str">
        <f t="shared" si="134"/>
        <v>OTHERS</v>
      </c>
    </row>
    <row r="2871" spans="1:16" x14ac:dyDescent="0.3">
      <c r="A2871" s="4">
        <v>13</v>
      </c>
      <c r="B2871" t="s">
        <v>11</v>
      </c>
      <c r="C2871" s="4">
        <v>21.06</v>
      </c>
      <c r="D2871" t="s">
        <v>26</v>
      </c>
      <c r="E2871" t="s">
        <v>17</v>
      </c>
      <c r="F2871" s="4" t="s">
        <v>28</v>
      </c>
      <c r="G2871" s="4" t="s">
        <v>41</v>
      </c>
      <c r="H2871" s="4">
        <v>3</v>
      </c>
      <c r="I2871" s="4">
        <v>2</v>
      </c>
      <c r="J2871" s="1">
        <v>45693</v>
      </c>
      <c r="K2871" s="2">
        <v>3.089467592592593E-2</v>
      </c>
      <c r="M2871" s="4" t="str">
        <f t="shared" si="132"/>
        <v>LOW</v>
      </c>
      <c r="N2871" s="4" t="str" cm="1">
        <f t="array" ref="N2871">_xlfn.IFS(C2871&gt;35,"HIGH",C2871&gt;25,"MIDDLE",TRUE,"LOW")</f>
        <v>LOW</v>
      </c>
      <c r="O2871" s="4" t="str">
        <f t="shared" si="133"/>
        <v>OTHERS</v>
      </c>
      <c r="P2871" s="4" t="str">
        <f t="shared" si="134"/>
        <v>OTHERS</v>
      </c>
    </row>
    <row r="2872" spans="1:16" x14ac:dyDescent="0.3">
      <c r="A2872" s="4">
        <v>14</v>
      </c>
      <c r="B2872" t="s">
        <v>11</v>
      </c>
      <c r="C2872" s="4">
        <v>35.76</v>
      </c>
      <c r="D2872" t="s">
        <v>29</v>
      </c>
      <c r="E2872" t="s">
        <v>17</v>
      </c>
      <c r="F2872" s="4" t="s">
        <v>28</v>
      </c>
      <c r="G2872" s="4" t="s">
        <v>41</v>
      </c>
      <c r="H2872" s="4">
        <v>3</v>
      </c>
      <c r="I2872" s="4">
        <v>2</v>
      </c>
      <c r="J2872" s="1">
        <v>45693</v>
      </c>
      <c r="K2872" s="2">
        <v>4.0193287037037034E-2</v>
      </c>
      <c r="M2872" s="4" t="str">
        <f t="shared" si="132"/>
        <v>HIGH</v>
      </c>
      <c r="N2872" s="4" t="str" cm="1">
        <f t="array" ref="N2872">_xlfn.IFS(C2872&gt;35,"HIGH",C2872&gt;25,"MIDDLE",TRUE,"LOW")</f>
        <v>HIGH</v>
      </c>
      <c r="O2872" s="4" t="str">
        <f t="shared" si="133"/>
        <v>OTHERS</v>
      </c>
      <c r="P2872" s="4" t="str">
        <f t="shared" si="134"/>
        <v>PREMINUM MORNING</v>
      </c>
    </row>
    <row r="2873" spans="1:16" x14ac:dyDescent="0.3">
      <c r="A2873" s="4">
        <v>15</v>
      </c>
      <c r="B2873" t="s">
        <v>11</v>
      </c>
      <c r="C2873" s="4">
        <v>35.76</v>
      </c>
      <c r="D2873" t="s">
        <v>29</v>
      </c>
      <c r="E2873" t="s">
        <v>17</v>
      </c>
      <c r="F2873" s="4" t="s">
        <v>28</v>
      </c>
      <c r="G2873" s="4" t="s">
        <v>41</v>
      </c>
      <c r="H2873" s="4">
        <v>3</v>
      </c>
      <c r="I2873" s="4">
        <v>2</v>
      </c>
      <c r="J2873" s="1">
        <v>45693</v>
      </c>
      <c r="K2873" s="2">
        <v>3.5402777777777783E-2</v>
      </c>
      <c r="M2873" s="4" t="str">
        <f t="shared" si="132"/>
        <v>HIGH</v>
      </c>
      <c r="N2873" s="4" t="str" cm="1">
        <f t="array" ref="N2873">_xlfn.IFS(C2873&gt;35,"HIGH",C2873&gt;25,"MIDDLE",TRUE,"LOW")</f>
        <v>HIGH</v>
      </c>
      <c r="O2873" s="4" t="str">
        <f t="shared" si="133"/>
        <v>OTHERS</v>
      </c>
      <c r="P2873" s="4" t="str">
        <f t="shared" si="134"/>
        <v>PREMINUM MORNING</v>
      </c>
    </row>
    <row r="2874" spans="1:16" x14ac:dyDescent="0.3">
      <c r="A2874" s="4">
        <v>16</v>
      </c>
      <c r="B2874" t="s">
        <v>11</v>
      </c>
      <c r="C2874" s="4">
        <v>35.76</v>
      </c>
      <c r="D2874" t="s">
        <v>16</v>
      </c>
      <c r="E2874" t="s">
        <v>17</v>
      </c>
      <c r="F2874" s="4" t="s">
        <v>28</v>
      </c>
      <c r="G2874" s="4" t="s">
        <v>41</v>
      </c>
      <c r="H2874" s="4">
        <v>3</v>
      </c>
      <c r="I2874" s="4">
        <v>2</v>
      </c>
      <c r="J2874" s="1">
        <v>45693</v>
      </c>
      <c r="K2874" s="2">
        <v>2.3847222222222225E-2</v>
      </c>
      <c r="M2874" s="4" t="str">
        <f t="shared" si="132"/>
        <v>HIGH</v>
      </c>
      <c r="N2874" s="4" t="str" cm="1">
        <f t="array" ref="N2874">_xlfn.IFS(C2874&gt;35,"HIGH",C2874&gt;25,"MIDDLE",TRUE,"LOW")</f>
        <v>HIGH</v>
      </c>
      <c r="O2874" s="4" t="str">
        <f t="shared" si="133"/>
        <v>OTHERS</v>
      </c>
      <c r="P2874" s="4" t="str">
        <f t="shared" si="134"/>
        <v>PREMINUM MORNING</v>
      </c>
    </row>
    <row r="2875" spans="1:16" x14ac:dyDescent="0.3">
      <c r="A2875" s="4">
        <v>16</v>
      </c>
      <c r="B2875" t="s">
        <v>11</v>
      </c>
      <c r="C2875" s="4">
        <v>35.76</v>
      </c>
      <c r="D2875" t="s">
        <v>12</v>
      </c>
      <c r="E2875" t="s">
        <v>17</v>
      </c>
      <c r="F2875" s="4" t="s">
        <v>28</v>
      </c>
      <c r="G2875" s="4" t="s">
        <v>41</v>
      </c>
      <c r="H2875" s="4">
        <v>3</v>
      </c>
      <c r="I2875" s="4">
        <v>2</v>
      </c>
      <c r="J2875" s="1">
        <v>45693</v>
      </c>
      <c r="K2875" s="2">
        <v>2.4687500000000001E-2</v>
      </c>
      <c r="M2875" s="4" t="str">
        <f t="shared" si="132"/>
        <v>HIGH</v>
      </c>
      <c r="N2875" s="4" t="str" cm="1">
        <f t="array" ref="N2875">_xlfn.IFS(C2875&gt;35,"HIGH",C2875&gt;25,"MIDDLE",TRUE,"LOW")</f>
        <v>HIGH</v>
      </c>
      <c r="O2875" s="4" t="str">
        <f t="shared" si="133"/>
        <v>OTHERS</v>
      </c>
      <c r="P2875" s="4" t="str">
        <f t="shared" si="134"/>
        <v>PREMINUM MORNING</v>
      </c>
    </row>
    <row r="2876" spans="1:16" x14ac:dyDescent="0.3">
      <c r="A2876" s="4">
        <v>16</v>
      </c>
      <c r="B2876" t="s">
        <v>11</v>
      </c>
      <c r="C2876" s="4">
        <v>35.76</v>
      </c>
      <c r="D2876" t="s">
        <v>12</v>
      </c>
      <c r="E2876" t="s">
        <v>17</v>
      </c>
      <c r="F2876" s="4" t="s">
        <v>28</v>
      </c>
      <c r="G2876" s="4" t="s">
        <v>41</v>
      </c>
      <c r="H2876" s="4">
        <v>3</v>
      </c>
      <c r="I2876" s="4">
        <v>2</v>
      </c>
      <c r="J2876" s="1">
        <v>45693</v>
      </c>
      <c r="K2876" s="2">
        <v>2.5395833333333333E-2</v>
      </c>
      <c r="M2876" s="4" t="str">
        <f t="shared" si="132"/>
        <v>HIGH</v>
      </c>
      <c r="N2876" s="4" t="str" cm="1">
        <f t="array" ref="N2876">_xlfn.IFS(C2876&gt;35,"HIGH",C2876&gt;25,"MIDDLE",TRUE,"LOW")</f>
        <v>HIGH</v>
      </c>
      <c r="O2876" s="4" t="str">
        <f t="shared" si="133"/>
        <v>OTHERS</v>
      </c>
      <c r="P2876" s="4" t="str">
        <f t="shared" si="134"/>
        <v>PREMINUM MORNING</v>
      </c>
    </row>
    <row r="2877" spans="1:16" x14ac:dyDescent="0.3">
      <c r="A2877" s="4">
        <v>16</v>
      </c>
      <c r="B2877" t="s">
        <v>11</v>
      </c>
      <c r="C2877" s="4">
        <v>35.76</v>
      </c>
      <c r="D2877" t="s">
        <v>21</v>
      </c>
      <c r="E2877" t="s">
        <v>17</v>
      </c>
      <c r="F2877" s="4" t="s">
        <v>28</v>
      </c>
      <c r="G2877" s="4" t="s">
        <v>41</v>
      </c>
      <c r="H2877" s="4">
        <v>3</v>
      </c>
      <c r="I2877" s="4">
        <v>2</v>
      </c>
      <c r="J2877" s="1">
        <v>45693</v>
      </c>
      <c r="K2877" s="2">
        <v>2.7103009259259257E-2</v>
      </c>
      <c r="M2877" s="4" t="str">
        <f t="shared" si="132"/>
        <v>HIGH</v>
      </c>
      <c r="N2877" s="4" t="str" cm="1">
        <f t="array" ref="N2877">_xlfn.IFS(C2877&gt;35,"HIGH",C2877&gt;25,"MIDDLE",TRUE,"LOW")</f>
        <v>HIGH</v>
      </c>
      <c r="O2877" s="4" t="str">
        <f t="shared" si="133"/>
        <v>OTHERS</v>
      </c>
      <c r="P2877" s="4" t="str">
        <f t="shared" si="134"/>
        <v>PREMINUM MORNING</v>
      </c>
    </row>
    <row r="2878" spans="1:16" x14ac:dyDescent="0.3">
      <c r="A2878" s="4">
        <v>16</v>
      </c>
      <c r="B2878" t="s">
        <v>11</v>
      </c>
      <c r="C2878" s="4">
        <v>35.76</v>
      </c>
      <c r="D2878" t="s">
        <v>16</v>
      </c>
      <c r="E2878" t="s">
        <v>17</v>
      </c>
      <c r="F2878" s="4" t="s">
        <v>28</v>
      </c>
      <c r="G2878" s="4" t="s">
        <v>41</v>
      </c>
      <c r="H2878" s="4">
        <v>3</v>
      </c>
      <c r="I2878" s="4">
        <v>2</v>
      </c>
      <c r="J2878" s="1">
        <v>45693</v>
      </c>
      <c r="K2878" s="2">
        <v>2.8587962962962964E-2</v>
      </c>
      <c r="M2878" s="4" t="str">
        <f t="shared" si="132"/>
        <v>HIGH</v>
      </c>
      <c r="N2878" s="4" t="str" cm="1">
        <f t="array" ref="N2878">_xlfn.IFS(C2878&gt;35,"HIGH",C2878&gt;25,"MIDDLE",TRUE,"LOW")</f>
        <v>HIGH</v>
      </c>
      <c r="O2878" s="4" t="str">
        <f t="shared" si="133"/>
        <v>OTHERS</v>
      </c>
      <c r="P2878" s="4" t="str">
        <f t="shared" si="134"/>
        <v>PREMINUM MORNING</v>
      </c>
    </row>
    <row r="2879" spans="1:16" x14ac:dyDescent="0.3">
      <c r="A2879" s="4">
        <v>18</v>
      </c>
      <c r="B2879" t="s">
        <v>11</v>
      </c>
      <c r="C2879" s="4">
        <v>35.76</v>
      </c>
      <c r="D2879" t="s">
        <v>29</v>
      </c>
      <c r="E2879" t="s">
        <v>20</v>
      </c>
      <c r="F2879" s="4" t="s">
        <v>28</v>
      </c>
      <c r="G2879" s="4" t="s">
        <v>41</v>
      </c>
      <c r="H2879" s="4">
        <v>3</v>
      </c>
      <c r="I2879" s="4">
        <v>2</v>
      </c>
      <c r="J2879" s="1">
        <v>45693</v>
      </c>
      <c r="K2879" s="2">
        <v>1.289814814814815E-2</v>
      </c>
      <c r="M2879" s="4" t="str">
        <f t="shared" si="132"/>
        <v>HIGH</v>
      </c>
      <c r="N2879" s="4" t="str" cm="1">
        <f t="array" ref="N2879">_xlfn.IFS(C2879&gt;35,"HIGH",C2879&gt;25,"MIDDLE",TRUE,"LOW")</f>
        <v>HIGH</v>
      </c>
      <c r="O2879" s="4" t="str">
        <f t="shared" si="133"/>
        <v>OTHERS</v>
      </c>
      <c r="P2879" s="4" t="str">
        <f t="shared" si="134"/>
        <v>PREMINUM MORNING</v>
      </c>
    </row>
    <row r="2880" spans="1:16" x14ac:dyDescent="0.3">
      <c r="A2880" s="4">
        <v>18</v>
      </c>
      <c r="B2880" t="s">
        <v>11</v>
      </c>
      <c r="C2880" s="4">
        <v>35.76</v>
      </c>
      <c r="D2880" t="s">
        <v>29</v>
      </c>
      <c r="E2880" t="s">
        <v>20</v>
      </c>
      <c r="F2880" s="4" t="s">
        <v>28</v>
      </c>
      <c r="G2880" s="4" t="s">
        <v>41</v>
      </c>
      <c r="H2880" s="4">
        <v>3</v>
      </c>
      <c r="I2880" s="4">
        <v>2</v>
      </c>
      <c r="J2880" s="1">
        <v>45693</v>
      </c>
      <c r="K2880" s="2">
        <v>1.376273148148148E-2</v>
      </c>
      <c r="M2880" s="4" t="str">
        <f t="shared" si="132"/>
        <v>HIGH</v>
      </c>
      <c r="N2880" s="4" t="str" cm="1">
        <f t="array" ref="N2880">_xlfn.IFS(C2880&gt;35,"HIGH",C2880&gt;25,"MIDDLE",TRUE,"LOW")</f>
        <v>HIGH</v>
      </c>
      <c r="O2880" s="4" t="str">
        <f t="shared" si="133"/>
        <v>OTHERS</v>
      </c>
      <c r="P2880" s="4" t="str">
        <f t="shared" si="134"/>
        <v>PREMINUM MORNING</v>
      </c>
    </row>
    <row r="2881" spans="1:16" x14ac:dyDescent="0.3">
      <c r="A2881" s="4">
        <v>18</v>
      </c>
      <c r="B2881" t="s">
        <v>11</v>
      </c>
      <c r="C2881" s="4">
        <v>35.76</v>
      </c>
      <c r="D2881" t="s">
        <v>21</v>
      </c>
      <c r="E2881" t="s">
        <v>20</v>
      </c>
      <c r="F2881" s="4" t="s">
        <v>28</v>
      </c>
      <c r="G2881" s="4" t="s">
        <v>41</v>
      </c>
      <c r="H2881" s="4">
        <v>3</v>
      </c>
      <c r="I2881" s="4">
        <v>2</v>
      </c>
      <c r="J2881" s="1">
        <v>45693</v>
      </c>
      <c r="K2881" s="2">
        <v>1.4484953703703703E-2</v>
      </c>
      <c r="M2881" s="4" t="str">
        <f t="shared" si="132"/>
        <v>HIGH</v>
      </c>
      <c r="N2881" s="4" t="str" cm="1">
        <f t="array" ref="N2881">_xlfn.IFS(C2881&gt;35,"HIGH",C2881&gt;25,"MIDDLE",TRUE,"LOW")</f>
        <v>HIGH</v>
      </c>
      <c r="O2881" s="4" t="str">
        <f t="shared" si="133"/>
        <v>OTHERS</v>
      </c>
      <c r="P2881" s="4" t="str">
        <f t="shared" si="134"/>
        <v>PREMINUM MORNING</v>
      </c>
    </row>
    <row r="2882" spans="1:16" x14ac:dyDescent="0.3">
      <c r="A2882" s="4">
        <v>18</v>
      </c>
      <c r="B2882" t="s">
        <v>11</v>
      </c>
      <c r="C2882" s="4">
        <v>30.86</v>
      </c>
      <c r="D2882" t="s">
        <v>19</v>
      </c>
      <c r="E2882" t="s">
        <v>20</v>
      </c>
      <c r="F2882" s="4" t="s">
        <v>28</v>
      </c>
      <c r="G2882" s="4" t="s">
        <v>41</v>
      </c>
      <c r="H2882" s="4">
        <v>3</v>
      </c>
      <c r="I2882" s="4">
        <v>2</v>
      </c>
      <c r="J2882" s="1">
        <v>45693</v>
      </c>
      <c r="K2882" s="2">
        <v>1.770023148148148E-2</v>
      </c>
      <c r="M2882" s="4" t="str">
        <f t="shared" si="132"/>
        <v>LOW</v>
      </c>
      <c r="N2882" s="4" t="str" cm="1">
        <f t="array" ref="N2882">_xlfn.IFS(C2882&gt;35,"HIGH",C2882&gt;25,"MIDDLE",TRUE,"LOW")</f>
        <v>MIDDLE</v>
      </c>
      <c r="O2882" s="4" t="str">
        <f t="shared" si="133"/>
        <v>OTHERS</v>
      </c>
      <c r="P2882" s="4" t="str">
        <f t="shared" si="134"/>
        <v>OTHERS</v>
      </c>
    </row>
    <row r="2883" spans="1:16" x14ac:dyDescent="0.3">
      <c r="A2883" s="4">
        <v>18</v>
      </c>
      <c r="B2883" t="s">
        <v>11</v>
      </c>
      <c r="C2883" s="4">
        <v>35.76</v>
      </c>
      <c r="D2883" t="s">
        <v>29</v>
      </c>
      <c r="E2883" t="s">
        <v>20</v>
      </c>
      <c r="F2883" s="4" t="s">
        <v>28</v>
      </c>
      <c r="G2883" s="4" t="s">
        <v>41</v>
      </c>
      <c r="H2883" s="4">
        <v>3</v>
      </c>
      <c r="I2883" s="4">
        <v>2</v>
      </c>
      <c r="J2883" s="1">
        <v>45693</v>
      </c>
      <c r="K2883" s="2">
        <v>3.1737268518518519E-2</v>
      </c>
      <c r="M2883" s="4" t="str">
        <f t="shared" ref="M2883:M2946" si="135">IF(C2883&gt;35,"HIGH","LOW")</f>
        <v>HIGH</v>
      </c>
      <c r="N2883" s="4" t="str" cm="1">
        <f t="array" ref="N2883">_xlfn.IFS(C2883&gt;35,"HIGH",C2883&gt;25,"MIDDLE",TRUE,"LOW")</f>
        <v>HIGH</v>
      </c>
      <c r="O2883" s="4" t="str">
        <f t="shared" ref="O2883:O2946" si="136">IF(AND(C2883&gt;35,E2883="MORNING"),"PREMINUM MORNING","OTHERS")</f>
        <v>OTHERS</v>
      </c>
      <c r="P2883" s="4" t="str">
        <f t="shared" ref="P2883:P2946" si="137">IF(OR(C2883&gt;35,E2883="MORNING"),"PREMINUM MORNING","OTHERS")</f>
        <v>PREMINUM MORNING</v>
      </c>
    </row>
    <row r="2884" spans="1:16" x14ac:dyDescent="0.3">
      <c r="A2884" s="4">
        <v>19</v>
      </c>
      <c r="B2884" t="s">
        <v>11</v>
      </c>
      <c r="C2884" s="4">
        <v>35.76</v>
      </c>
      <c r="D2884" t="s">
        <v>16</v>
      </c>
      <c r="E2884" t="s">
        <v>20</v>
      </c>
      <c r="F2884" s="4" t="s">
        <v>28</v>
      </c>
      <c r="G2884" s="4" t="s">
        <v>41</v>
      </c>
      <c r="H2884" s="4">
        <v>3</v>
      </c>
      <c r="I2884" s="4">
        <v>2</v>
      </c>
      <c r="J2884" s="1">
        <v>45693</v>
      </c>
      <c r="K2884" s="2">
        <v>4.7025462962962967E-3</v>
      </c>
      <c r="M2884" s="4" t="str">
        <f t="shared" si="135"/>
        <v>HIGH</v>
      </c>
      <c r="N2884" s="4" t="str" cm="1">
        <f t="array" ref="N2884">_xlfn.IFS(C2884&gt;35,"HIGH",C2884&gt;25,"MIDDLE",TRUE,"LOW")</f>
        <v>HIGH</v>
      </c>
      <c r="O2884" s="4" t="str">
        <f t="shared" si="136"/>
        <v>OTHERS</v>
      </c>
      <c r="P2884" s="4" t="str">
        <f t="shared" si="137"/>
        <v>PREMINUM MORNING</v>
      </c>
    </row>
    <row r="2885" spans="1:16" x14ac:dyDescent="0.3">
      <c r="A2885" s="4">
        <v>20</v>
      </c>
      <c r="B2885" t="s">
        <v>11</v>
      </c>
      <c r="C2885" s="4">
        <v>35.76</v>
      </c>
      <c r="D2885" t="s">
        <v>21</v>
      </c>
      <c r="E2885" t="s">
        <v>20</v>
      </c>
      <c r="F2885" s="4" t="s">
        <v>28</v>
      </c>
      <c r="G2885" s="4" t="s">
        <v>41</v>
      </c>
      <c r="H2885" s="4">
        <v>3</v>
      </c>
      <c r="I2885" s="4">
        <v>2</v>
      </c>
      <c r="J2885" s="1">
        <v>45693</v>
      </c>
      <c r="K2885" s="2">
        <v>2.3217592592592591E-3</v>
      </c>
      <c r="M2885" s="4" t="str">
        <f t="shared" si="135"/>
        <v>HIGH</v>
      </c>
      <c r="N2885" s="4" t="str" cm="1">
        <f t="array" ref="N2885">_xlfn.IFS(C2885&gt;35,"HIGH",C2885&gt;25,"MIDDLE",TRUE,"LOW")</f>
        <v>HIGH</v>
      </c>
      <c r="O2885" s="4" t="str">
        <f t="shared" si="136"/>
        <v>OTHERS</v>
      </c>
      <c r="P2885" s="4" t="str">
        <f t="shared" si="137"/>
        <v>PREMINUM MORNING</v>
      </c>
    </row>
    <row r="2886" spans="1:16" x14ac:dyDescent="0.3">
      <c r="A2886" s="4">
        <v>7</v>
      </c>
      <c r="B2886" t="s">
        <v>11</v>
      </c>
      <c r="C2886" s="4">
        <v>30.86</v>
      </c>
      <c r="D2886" t="s">
        <v>19</v>
      </c>
      <c r="E2886" t="s">
        <v>13</v>
      </c>
      <c r="F2886" s="4" t="s">
        <v>30</v>
      </c>
      <c r="G2886" s="4" t="s">
        <v>41</v>
      </c>
      <c r="H2886" s="4">
        <v>4</v>
      </c>
      <c r="I2886" s="4">
        <v>2</v>
      </c>
      <c r="J2886" s="1">
        <v>45694</v>
      </c>
      <c r="K2886" s="2">
        <v>1.1673611111111112E-2</v>
      </c>
      <c r="M2886" s="4" t="str">
        <f t="shared" si="135"/>
        <v>LOW</v>
      </c>
      <c r="N2886" s="4" t="str" cm="1">
        <f t="array" ref="N2886">_xlfn.IFS(C2886&gt;35,"HIGH",C2886&gt;25,"MIDDLE",TRUE,"LOW")</f>
        <v>MIDDLE</v>
      </c>
      <c r="O2886" s="4" t="str">
        <f t="shared" si="136"/>
        <v>OTHERS</v>
      </c>
      <c r="P2886" s="4" t="str">
        <f t="shared" si="137"/>
        <v>PREMINUM MORNING</v>
      </c>
    </row>
    <row r="2887" spans="1:16" x14ac:dyDescent="0.3">
      <c r="A2887" s="4">
        <v>13</v>
      </c>
      <c r="B2887" t="s">
        <v>11</v>
      </c>
      <c r="C2887" s="4">
        <v>25.96</v>
      </c>
      <c r="D2887" t="s">
        <v>18</v>
      </c>
      <c r="E2887" t="s">
        <v>17</v>
      </c>
      <c r="F2887" s="4" t="s">
        <v>30</v>
      </c>
      <c r="G2887" s="4" t="s">
        <v>41</v>
      </c>
      <c r="H2887" s="4">
        <v>4</v>
      </c>
      <c r="I2887" s="4">
        <v>2</v>
      </c>
      <c r="J2887" s="1">
        <v>45694</v>
      </c>
      <c r="K2887" s="2">
        <v>4.1221064814814815E-2</v>
      </c>
      <c r="M2887" s="4" t="str">
        <f t="shared" si="135"/>
        <v>LOW</v>
      </c>
      <c r="N2887" s="4" t="str" cm="1">
        <f t="array" ref="N2887">_xlfn.IFS(C2887&gt;35,"HIGH",C2887&gt;25,"MIDDLE",TRUE,"LOW")</f>
        <v>MIDDLE</v>
      </c>
      <c r="O2887" s="4" t="str">
        <f t="shared" si="136"/>
        <v>OTHERS</v>
      </c>
      <c r="P2887" s="4" t="str">
        <f t="shared" si="137"/>
        <v>OTHERS</v>
      </c>
    </row>
    <row r="2888" spans="1:16" x14ac:dyDescent="0.3">
      <c r="A2888" s="4">
        <v>14</v>
      </c>
      <c r="B2888" t="s">
        <v>11</v>
      </c>
      <c r="C2888" s="4">
        <v>30.86</v>
      </c>
      <c r="D2888" t="s">
        <v>19</v>
      </c>
      <c r="E2888" t="s">
        <v>17</v>
      </c>
      <c r="F2888" s="4" t="s">
        <v>30</v>
      </c>
      <c r="G2888" s="4" t="s">
        <v>41</v>
      </c>
      <c r="H2888" s="4">
        <v>4</v>
      </c>
      <c r="I2888" s="4">
        <v>2</v>
      </c>
      <c r="J2888" s="1">
        <v>45694</v>
      </c>
      <c r="K2888" s="2">
        <v>3.8560185185185183E-2</v>
      </c>
      <c r="M2888" s="4" t="str">
        <f t="shared" si="135"/>
        <v>LOW</v>
      </c>
      <c r="N2888" s="4" t="str" cm="1">
        <f t="array" ref="N2888">_xlfn.IFS(C2888&gt;35,"HIGH",C2888&gt;25,"MIDDLE",TRUE,"LOW")</f>
        <v>MIDDLE</v>
      </c>
      <c r="O2888" s="4" t="str">
        <f t="shared" si="136"/>
        <v>OTHERS</v>
      </c>
      <c r="P2888" s="4" t="str">
        <f t="shared" si="137"/>
        <v>OTHERS</v>
      </c>
    </row>
    <row r="2889" spans="1:16" x14ac:dyDescent="0.3">
      <c r="A2889" s="4">
        <v>14</v>
      </c>
      <c r="B2889" t="s">
        <v>11</v>
      </c>
      <c r="C2889" s="4">
        <v>35.76</v>
      </c>
      <c r="D2889" t="s">
        <v>29</v>
      </c>
      <c r="E2889" t="s">
        <v>17</v>
      </c>
      <c r="F2889" s="4" t="s">
        <v>30</v>
      </c>
      <c r="G2889" s="4" t="s">
        <v>41</v>
      </c>
      <c r="H2889" s="4">
        <v>4</v>
      </c>
      <c r="I2889" s="4">
        <v>2</v>
      </c>
      <c r="J2889" s="1">
        <v>45694</v>
      </c>
      <c r="K2889" s="2">
        <v>4.123148148148148E-2</v>
      </c>
      <c r="M2889" s="4" t="str">
        <f t="shared" si="135"/>
        <v>HIGH</v>
      </c>
      <c r="N2889" s="4" t="str" cm="1">
        <f t="array" ref="N2889">_xlfn.IFS(C2889&gt;35,"HIGH",C2889&gt;25,"MIDDLE",TRUE,"LOW")</f>
        <v>HIGH</v>
      </c>
      <c r="O2889" s="4" t="str">
        <f t="shared" si="136"/>
        <v>OTHERS</v>
      </c>
      <c r="P2889" s="4" t="str">
        <f t="shared" si="137"/>
        <v>PREMINUM MORNING</v>
      </c>
    </row>
    <row r="2890" spans="1:16" x14ac:dyDescent="0.3">
      <c r="A2890" s="4">
        <v>16</v>
      </c>
      <c r="B2890" t="s">
        <v>11</v>
      </c>
      <c r="C2890" s="4">
        <v>35.76</v>
      </c>
      <c r="D2890" t="s">
        <v>21</v>
      </c>
      <c r="E2890" t="s">
        <v>17</v>
      </c>
      <c r="F2890" s="4" t="s">
        <v>30</v>
      </c>
      <c r="G2890" s="4" t="s">
        <v>41</v>
      </c>
      <c r="H2890" s="4">
        <v>4</v>
      </c>
      <c r="I2890" s="4">
        <v>2</v>
      </c>
      <c r="J2890" s="1">
        <v>45694</v>
      </c>
      <c r="K2890" s="2">
        <v>1.0298611111111111E-2</v>
      </c>
      <c r="M2890" s="4" t="str">
        <f t="shared" si="135"/>
        <v>HIGH</v>
      </c>
      <c r="N2890" s="4" t="str" cm="1">
        <f t="array" ref="N2890">_xlfn.IFS(C2890&gt;35,"HIGH",C2890&gt;25,"MIDDLE",TRUE,"LOW")</f>
        <v>HIGH</v>
      </c>
      <c r="O2890" s="4" t="str">
        <f t="shared" si="136"/>
        <v>OTHERS</v>
      </c>
      <c r="P2890" s="4" t="str">
        <f t="shared" si="137"/>
        <v>PREMINUM MORNING</v>
      </c>
    </row>
    <row r="2891" spans="1:16" x14ac:dyDescent="0.3">
      <c r="A2891" s="4">
        <v>17</v>
      </c>
      <c r="B2891" t="s">
        <v>11</v>
      </c>
      <c r="C2891" s="4">
        <v>35.76</v>
      </c>
      <c r="D2891" t="s">
        <v>21</v>
      </c>
      <c r="E2891" t="s">
        <v>20</v>
      </c>
      <c r="F2891" s="4" t="s">
        <v>30</v>
      </c>
      <c r="G2891" s="4" t="s">
        <v>41</v>
      </c>
      <c r="H2891" s="4">
        <v>4</v>
      </c>
      <c r="I2891" s="4">
        <v>2</v>
      </c>
      <c r="J2891" s="1">
        <v>45694</v>
      </c>
      <c r="K2891" s="2">
        <v>6.7777777777777784E-3</v>
      </c>
      <c r="M2891" s="4" t="str">
        <f t="shared" si="135"/>
        <v>HIGH</v>
      </c>
      <c r="N2891" s="4" t="str" cm="1">
        <f t="array" ref="N2891">_xlfn.IFS(C2891&gt;35,"HIGH",C2891&gt;25,"MIDDLE",TRUE,"LOW")</f>
        <v>HIGH</v>
      </c>
      <c r="O2891" s="4" t="str">
        <f t="shared" si="136"/>
        <v>OTHERS</v>
      </c>
      <c r="P2891" s="4" t="str">
        <f t="shared" si="137"/>
        <v>PREMINUM MORNING</v>
      </c>
    </row>
    <row r="2892" spans="1:16" x14ac:dyDescent="0.3">
      <c r="A2892" s="4">
        <v>17</v>
      </c>
      <c r="B2892" t="s">
        <v>11</v>
      </c>
      <c r="C2892" s="4">
        <v>35.76</v>
      </c>
      <c r="D2892" t="s">
        <v>21</v>
      </c>
      <c r="E2892" t="s">
        <v>20</v>
      </c>
      <c r="F2892" s="4" t="s">
        <v>30</v>
      </c>
      <c r="G2892" s="4" t="s">
        <v>41</v>
      </c>
      <c r="H2892" s="4">
        <v>4</v>
      </c>
      <c r="I2892" s="4">
        <v>2</v>
      </c>
      <c r="J2892" s="1">
        <v>45694</v>
      </c>
      <c r="K2892" s="2">
        <v>3.7789351851851852E-2</v>
      </c>
      <c r="M2892" s="4" t="str">
        <f t="shared" si="135"/>
        <v>HIGH</v>
      </c>
      <c r="N2892" s="4" t="str" cm="1">
        <f t="array" ref="N2892">_xlfn.IFS(C2892&gt;35,"HIGH",C2892&gt;25,"MIDDLE",TRUE,"LOW")</f>
        <v>HIGH</v>
      </c>
      <c r="O2892" s="4" t="str">
        <f t="shared" si="136"/>
        <v>OTHERS</v>
      </c>
      <c r="P2892" s="4" t="str">
        <f t="shared" si="137"/>
        <v>PREMINUM MORNING</v>
      </c>
    </row>
    <row r="2893" spans="1:16" x14ac:dyDescent="0.3">
      <c r="A2893" s="4">
        <v>19</v>
      </c>
      <c r="B2893" t="s">
        <v>11</v>
      </c>
      <c r="C2893" s="4">
        <v>35.76</v>
      </c>
      <c r="D2893" t="s">
        <v>29</v>
      </c>
      <c r="E2893" t="s">
        <v>20</v>
      </c>
      <c r="F2893" s="4" t="s">
        <v>30</v>
      </c>
      <c r="G2893" s="4" t="s">
        <v>41</v>
      </c>
      <c r="H2893" s="4">
        <v>4</v>
      </c>
      <c r="I2893" s="4">
        <v>2</v>
      </c>
      <c r="J2893" s="1">
        <v>45694</v>
      </c>
      <c r="K2893" s="2">
        <v>3.6952546296296296E-2</v>
      </c>
      <c r="M2893" s="4" t="str">
        <f t="shared" si="135"/>
        <v>HIGH</v>
      </c>
      <c r="N2893" s="4" t="str" cm="1">
        <f t="array" ref="N2893">_xlfn.IFS(C2893&gt;35,"HIGH",C2893&gt;25,"MIDDLE",TRUE,"LOW")</f>
        <v>HIGH</v>
      </c>
      <c r="O2893" s="4" t="str">
        <f t="shared" si="136"/>
        <v>OTHERS</v>
      </c>
      <c r="P2893" s="4" t="str">
        <f t="shared" si="137"/>
        <v>PREMINUM MORNING</v>
      </c>
    </row>
    <row r="2894" spans="1:16" x14ac:dyDescent="0.3">
      <c r="A2894" s="4">
        <v>19</v>
      </c>
      <c r="B2894" t="s">
        <v>11</v>
      </c>
      <c r="C2894" s="4">
        <v>21.06</v>
      </c>
      <c r="D2894" t="s">
        <v>26</v>
      </c>
      <c r="E2894" t="s">
        <v>20</v>
      </c>
      <c r="F2894" s="4" t="s">
        <v>30</v>
      </c>
      <c r="G2894" s="4" t="s">
        <v>41</v>
      </c>
      <c r="H2894" s="4">
        <v>4</v>
      </c>
      <c r="I2894" s="4">
        <v>2</v>
      </c>
      <c r="J2894" s="1">
        <v>45694</v>
      </c>
      <c r="K2894" s="2">
        <v>3.8269675925925929E-2</v>
      </c>
      <c r="M2894" s="4" t="str">
        <f t="shared" si="135"/>
        <v>LOW</v>
      </c>
      <c r="N2894" s="4" t="str" cm="1">
        <f t="array" ref="N2894">_xlfn.IFS(C2894&gt;35,"HIGH",C2894&gt;25,"MIDDLE",TRUE,"LOW")</f>
        <v>LOW</v>
      </c>
      <c r="O2894" s="4" t="str">
        <f t="shared" si="136"/>
        <v>OTHERS</v>
      </c>
      <c r="P2894" s="4" t="str">
        <f t="shared" si="137"/>
        <v>OTHERS</v>
      </c>
    </row>
    <row r="2895" spans="1:16" x14ac:dyDescent="0.3">
      <c r="A2895" s="4">
        <v>20</v>
      </c>
      <c r="B2895" t="s">
        <v>11</v>
      </c>
      <c r="C2895" s="4">
        <v>35.76</v>
      </c>
      <c r="D2895" t="s">
        <v>21</v>
      </c>
      <c r="E2895" t="s">
        <v>20</v>
      </c>
      <c r="F2895" s="4" t="s">
        <v>30</v>
      </c>
      <c r="G2895" s="4" t="s">
        <v>41</v>
      </c>
      <c r="H2895" s="4">
        <v>4</v>
      </c>
      <c r="I2895" s="4">
        <v>2</v>
      </c>
      <c r="J2895" s="1">
        <v>45694</v>
      </c>
      <c r="K2895" s="2">
        <v>4.8530092592592592E-3</v>
      </c>
      <c r="M2895" s="4" t="str">
        <f t="shared" si="135"/>
        <v>HIGH</v>
      </c>
      <c r="N2895" s="4" t="str" cm="1">
        <f t="array" ref="N2895">_xlfn.IFS(C2895&gt;35,"HIGH",C2895&gt;25,"MIDDLE",TRUE,"LOW")</f>
        <v>HIGH</v>
      </c>
      <c r="O2895" s="4" t="str">
        <f t="shared" si="136"/>
        <v>OTHERS</v>
      </c>
      <c r="P2895" s="4" t="str">
        <f t="shared" si="137"/>
        <v>PREMINUM MORNING</v>
      </c>
    </row>
    <row r="2896" spans="1:16" x14ac:dyDescent="0.3">
      <c r="A2896" s="4">
        <v>20</v>
      </c>
      <c r="B2896" t="s">
        <v>11</v>
      </c>
      <c r="C2896" s="4">
        <v>35.76</v>
      </c>
      <c r="D2896" t="s">
        <v>21</v>
      </c>
      <c r="E2896" t="s">
        <v>20</v>
      </c>
      <c r="F2896" s="4" t="s">
        <v>30</v>
      </c>
      <c r="G2896" s="4" t="s">
        <v>41</v>
      </c>
      <c r="H2896" s="4">
        <v>4</v>
      </c>
      <c r="I2896" s="4">
        <v>2</v>
      </c>
      <c r="J2896" s="1">
        <v>45694</v>
      </c>
      <c r="K2896" s="2">
        <v>5.4062500000000005E-3</v>
      </c>
      <c r="M2896" s="4" t="str">
        <f t="shared" si="135"/>
        <v>HIGH</v>
      </c>
      <c r="N2896" s="4" t="str" cm="1">
        <f t="array" ref="N2896">_xlfn.IFS(C2896&gt;35,"HIGH",C2896&gt;25,"MIDDLE",TRUE,"LOW")</f>
        <v>HIGH</v>
      </c>
      <c r="O2896" s="4" t="str">
        <f t="shared" si="136"/>
        <v>OTHERS</v>
      </c>
      <c r="P2896" s="4" t="str">
        <f t="shared" si="137"/>
        <v>PREMINUM MORNING</v>
      </c>
    </row>
    <row r="2897" spans="1:16" x14ac:dyDescent="0.3">
      <c r="A2897" s="4">
        <v>20</v>
      </c>
      <c r="B2897" t="s">
        <v>11</v>
      </c>
      <c r="C2897" s="4">
        <v>35.76</v>
      </c>
      <c r="D2897" t="s">
        <v>12</v>
      </c>
      <c r="E2897" t="s">
        <v>20</v>
      </c>
      <c r="F2897" s="4" t="s">
        <v>30</v>
      </c>
      <c r="G2897" s="4" t="s">
        <v>41</v>
      </c>
      <c r="H2897" s="4">
        <v>4</v>
      </c>
      <c r="I2897" s="4">
        <v>2</v>
      </c>
      <c r="J2897" s="1">
        <v>45694</v>
      </c>
      <c r="K2897" s="2">
        <v>1.6128472222222221E-2</v>
      </c>
      <c r="M2897" s="4" t="str">
        <f t="shared" si="135"/>
        <v>HIGH</v>
      </c>
      <c r="N2897" s="4" t="str" cm="1">
        <f t="array" ref="N2897">_xlfn.IFS(C2897&gt;35,"HIGH",C2897&gt;25,"MIDDLE",TRUE,"LOW")</f>
        <v>HIGH</v>
      </c>
      <c r="O2897" s="4" t="str">
        <f t="shared" si="136"/>
        <v>OTHERS</v>
      </c>
      <c r="P2897" s="4" t="str">
        <f t="shared" si="137"/>
        <v>PREMINUM MORNING</v>
      </c>
    </row>
    <row r="2898" spans="1:16" x14ac:dyDescent="0.3">
      <c r="A2898" s="4">
        <v>8</v>
      </c>
      <c r="B2898" t="s">
        <v>11</v>
      </c>
      <c r="C2898" s="4">
        <v>30.86</v>
      </c>
      <c r="D2898" t="s">
        <v>19</v>
      </c>
      <c r="E2898" t="s">
        <v>13</v>
      </c>
      <c r="F2898" s="4" t="s">
        <v>14</v>
      </c>
      <c r="G2898" s="4" t="s">
        <v>41</v>
      </c>
      <c r="H2898" s="4">
        <v>5</v>
      </c>
      <c r="I2898" s="4">
        <v>2</v>
      </c>
      <c r="J2898" s="1">
        <v>45695</v>
      </c>
      <c r="K2898" s="2">
        <v>3.1134259259259261E-2</v>
      </c>
      <c r="M2898" s="4" t="str">
        <f t="shared" si="135"/>
        <v>LOW</v>
      </c>
      <c r="N2898" s="4" t="str" cm="1">
        <f t="array" ref="N2898">_xlfn.IFS(C2898&gt;35,"HIGH",C2898&gt;25,"MIDDLE",TRUE,"LOW")</f>
        <v>MIDDLE</v>
      </c>
      <c r="O2898" s="4" t="str">
        <f t="shared" si="136"/>
        <v>OTHERS</v>
      </c>
      <c r="P2898" s="4" t="str">
        <f t="shared" si="137"/>
        <v>PREMINUM MORNING</v>
      </c>
    </row>
    <row r="2899" spans="1:16" x14ac:dyDescent="0.3">
      <c r="A2899" s="4">
        <v>9</v>
      </c>
      <c r="B2899" t="s">
        <v>11</v>
      </c>
      <c r="C2899" s="4">
        <v>30.86</v>
      </c>
      <c r="D2899" t="s">
        <v>19</v>
      </c>
      <c r="E2899" t="s">
        <v>13</v>
      </c>
      <c r="F2899" s="4" t="s">
        <v>14</v>
      </c>
      <c r="G2899" s="4" t="s">
        <v>41</v>
      </c>
      <c r="H2899" s="4">
        <v>5</v>
      </c>
      <c r="I2899" s="4">
        <v>2</v>
      </c>
      <c r="J2899" s="1">
        <v>45695</v>
      </c>
      <c r="K2899" s="2">
        <v>4.9155092592592592E-3</v>
      </c>
      <c r="M2899" s="4" t="str">
        <f t="shared" si="135"/>
        <v>LOW</v>
      </c>
      <c r="N2899" s="4" t="str" cm="1">
        <f t="array" ref="N2899">_xlfn.IFS(C2899&gt;35,"HIGH",C2899&gt;25,"MIDDLE",TRUE,"LOW")</f>
        <v>MIDDLE</v>
      </c>
      <c r="O2899" s="4" t="str">
        <f t="shared" si="136"/>
        <v>OTHERS</v>
      </c>
      <c r="P2899" s="4" t="str">
        <f t="shared" si="137"/>
        <v>PREMINUM MORNING</v>
      </c>
    </row>
    <row r="2900" spans="1:16" x14ac:dyDescent="0.3">
      <c r="A2900" s="4">
        <v>10</v>
      </c>
      <c r="B2900" t="s">
        <v>11</v>
      </c>
      <c r="C2900" s="4">
        <v>25.96</v>
      </c>
      <c r="D2900" t="s">
        <v>18</v>
      </c>
      <c r="E2900" t="s">
        <v>13</v>
      </c>
      <c r="F2900" s="4" t="s">
        <v>14</v>
      </c>
      <c r="G2900" s="4" t="s">
        <v>41</v>
      </c>
      <c r="H2900" s="4">
        <v>5</v>
      </c>
      <c r="I2900" s="4">
        <v>2</v>
      </c>
      <c r="J2900" s="1">
        <v>45695</v>
      </c>
      <c r="K2900" s="2">
        <v>3.4296296296296297E-2</v>
      </c>
      <c r="M2900" s="4" t="str">
        <f t="shared" si="135"/>
        <v>LOW</v>
      </c>
      <c r="N2900" s="4" t="str" cm="1">
        <f t="array" ref="N2900">_xlfn.IFS(C2900&gt;35,"HIGH",C2900&gt;25,"MIDDLE",TRUE,"LOW")</f>
        <v>MIDDLE</v>
      </c>
      <c r="O2900" s="4" t="str">
        <f t="shared" si="136"/>
        <v>OTHERS</v>
      </c>
      <c r="P2900" s="4" t="str">
        <f t="shared" si="137"/>
        <v>PREMINUM MORNING</v>
      </c>
    </row>
    <row r="2901" spans="1:16" x14ac:dyDescent="0.3">
      <c r="A2901" s="4">
        <v>12</v>
      </c>
      <c r="B2901" t="s">
        <v>11</v>
      </c>
      <c r="C2901" s="4">
        <v>35.76</v>
      </c>
      <c r="D2901" t="s">
        <v>21</v>
      </c>
      <c r="E2901" t="s">
        <v>17</v>
      </c>
      <c r="F2901" s="4" t="s">
        <v>14</v>
      </c>
      <c r="G2901" s="4" t="s">
        <v>41</v>
      </c>
      <c r="H2901" s="4">
        <v>5</v>
      </c>
      <c r="I2901" s="4">
        <v>2</v>
      </c>
      <c r="J2901" s="1">
        <v>45695</v>
      </c>
      <c r="K2901" s="2">
        <v>6.6967592592592599E-3</v>
      </c>
      <c r="M2901" s="4" t="str">
        <f t="shared" si="135"/>
        <v>HIGH</v>
      </c>
      <c r="N2901" s="4" t="str" cm="1">
        <f t="array" ref="N2901">_xlfn.IFS(C2901&gt;35,"HIGH",C2901&gt;25,"MIDDLE",TRUE,"LOW")</f>
        <v>HIGH</v>
      </c>
      <c r="O2901" s="4" t="str">
        <f t="shared" si="136"/>
        <v>OTHERS</v>
      </c>
      <c r="P2901" s="4" t="str">
        <f t="shared" si="137"/>
        <v>PREMINUM MORNING</v>
      </c>
    </row>
    <row r="2902" spans="1:16" x14ac:dyDescent="0.3">
      <c r="A2902" s="4">
        <v>12</v>
      </c>
      <c r="B2902" t="s">
        <v>11</v>
      </c>
      <c r="C2902" s="4">
        <v>30.86</v>
      </c>
      <c r="D2902" t="s">
        <v>19</v>
      </c>
      <c r="E2902" t="s">
        <v>17</v>
      </c>
      <c r="F2902" s="4" t="s">
        <v>14</v>
      </c>
      <c r="G2902" s="4" t="s">
        <v>41</v>
      </c>
      <c r="H2902" s="4">
        <v>5</v>
      </c>
      <c r="I2902" s="4">
        <v>2</v>
      </c>
      <c r="J2902" s="1">
        <v>45695</v>
      </c>
      <c r="K2902" s="2">
        <v>3.567592592592593E-2</v>
      </c>
      <c r="M2902" s="4" t="str">
        <f t="shared" si="135"/>
        <v>LOW</v>
      </c>
      <c r="N2902" s="4" t="str" cm="1">
        <f t="array" ref="N2902">_xlfn.IFS(C2902&gt;35,"HIGH",C2902&gt;25,"MIDDLE",TRUE,"LOW")</f>
        <v>MIDDLE</v>
      </c>
      <c r="O2902" s="4" t="str">
        <f t="shared" si="136"/>
        <v>OTHERS</v>
      </c>
      <c r="P2902" s="4" t="str">
        <f t="shared" si="137"/>
        <v>OTHERS</v>
      </c>
    </row>
    <row r="2903" spans="1:16" x14ac:dyDescent="0.3">
      <c r="A2903" s="4">
        <v>12</v>
      </c>
      <c r="B2903" t="s">
        <v>11</v>
      </c>
      <c r="C2903" s="4">
        <v>25.96</v>
      </c>
      <c r="D2903" t="s">
        <v>18</v>
      </c>
      <c r="E2903" t="s">
        <v>17</v>
      </c>
      <c r="F2903" s="4" t="s">
        <v>14</v>
      </c>
      <c r="G2903" s="4" t="s">
        <v>41</v>
      </c>
      <c r="H2903" s="4">
        <v>5</v>
      </c>
      <c r="I2903" s="4">
        <v>2</v>
      </c>
      <c r="J2903" s="1">
        <v>45695</v>
      </c>
      <c r="K2903" s="2">
        <v>4.0877314814814818E-2</v>
      </c>
      <c r="M2903" s="4" t="str">
        <f t="shared" si="135"/>
        <v>LOW</v>
      </c>
      <c r="N2903" s="4" t="str" cm="1">
        <f t="array" ref="N2903">_xlfn.IFS(C2903&gt;35,"HIGH",C2903&gt;25,"MIDDLE",TRUE,"LOW")</f>
        <v>MIDDLE</v>
      </c>
      <c r="O2903" s="4" t="str">
        <f t="shared" si="136"/>
        <v>OTHERS</v>
      </c>
      <c r="P2903" s="4" t="str">
        <f t="shared" si="137"/>
        <v>OTHERS</v>
      </c>
    </row>
    <row r="2904" spans="1:16" x14ac:dyDescent="0.3">
      <c r="A2904" s="4">
        <v>16</v>
      </c>
      <c r="B2904" t="s">
        <v>11</v>
      </c>
      <c r="C2904" s="4">
        <v>25.96</v>
      </c>
      <c r="D2904" t="s">
        <v>24</v>
      </c>
      <c r="E2904" t="s">
        <v>17</v>
      </c>
      <c r="F2904" s="4" t="s">
        <v>14</v>
      </c>
      <c r="G2904" s="4" t="s">
        <v>41</v>
      </c>
      <c r="H2904" s="4">
        <v>5</v>
      </c>
      <c r="I2904" s="4">
        <v>2</v>
      </c>
      <c r="J2904" s="1">
        <v>45695</v>
      </c>
      <c r="K2904" s="2">
        <v>2.9039351851851852E-3</v>
      </c>
      <c r="M2904" s="4" t="str">
        <f t="shared" si="135"/>
        <v>LOW</v>
      </c>
      <c r="N2904" s="4" t="str" cm="1">
        <f t="array" ref="N2904">_xlfn.IFS(C2904&gt;35,"HIGH",C2904&gt;25,"MIDDLE",TRUE,"LOW")</f>
        <v>MIDDLE</v>
      </c>
      <c r="O2904" s="4" t="str">
        <f t="shared" si="136"/>
        <v>OTHERS</v>
      </c>
      <c r="P2904" s="4" t="str">
        <f t="shared" si="137"/>
        <v>OTHERS</v>
      </c>
    </row>
    <row r="2905" spans="1:16" x14ac:dyDescent="0.3">
      <c r="A2905" s="4">
        <v>16</v>
      </c>
      <c r="B2905" t="s">
        <v>11</v>
      </c>
      <c r="C2905" s="4">
        <v>35.76</v>
      </c>
      <c r="D2905" t="s">
        <v>12</v>
      </c>
      <c r="E2905" t="s">
        <v>17</v>
      </c>
      <c r="F2905" s="4" t="s">
        <v>14</v>
      </c>
      <c r="G2905" s="4" t="s">
        <v>41</v>
      </c>
      <c r="H2905" s="4">
        <v>5</v>
      </c>
      <c r="I2905" s="4">
        <v>2</v>
      </c>
      <c r="J2905" s="1">
        <v>45695</v>
      </c>
      <c r="K2905" s="2">
        <v>1.5429398148148147E-2</v>
      </c>
      <c r="M2905" s="4" t="str">
        <f t="shared" si="135"/>
        <v>HIGH</v>
      </c>
      <c r="N2905" s="4" t="str" cm="1">
        <f t="array" ref="N2905">_xlfn.IFS(C2905&gt;35,"HIGH",C2905&gt;25,"MIDDLE",TRUE,"LOW")</f>
        <v>HIGH</v>
      </c>
      <c r="O2905" s="4" t="str">
        <f t="shared" si="136"/>
        <v>OTHERS</v>
      </c>
      <c r="P2905" s="4" t="str">
        <f t="shared" si="137"/>
        <v>PREMINUM MORNING</v>
      </c>
    </row>
    <row r="2906" spans="1:16" x14ac:dyDescent="0.3">
      <c r="A2906" s="4">
        <v>16</v>
      </c>
      <c r="B2906" t="s">
        <v>11</v>
      </c>
      <c r="C2906" s="4">
        <v>35.76</v>
      </c>
      <c r="D2906" t="s">
        <v>16</v>
      </c>
      <c r="E2906" t="s">
        <v>17</v>
      </c>
      <c r="F2906" s="4" t="s">
        <v>14</v>
      </c>
      <c r="G2906" s="4" t="s">
        <v>41</v>
      </c>
      <c r="H2906" s="4">
        <v>5</v>
      </c>
      <c r="I2906" s="4">
        <v>2</v>
      </c>
      <c r="J2906" s="1">
        <v>45695</v>
      </c>
      <c r="K2906" s="2">
        <v>1.6135416666666666E-2</v>
      </c>
      <c r="M2906" s="4" t="str">
        <f t="shared" si="135"/>
        <v>HIGH</v>
      </c>
      <c r="N2906" s="4" t="str" cm="1">
        <f t="array" ref="N2906">_xlfn.IFS(C2906&gt;35,"HIGH",C2906&gt;25,"MIDDLE",TRUE,"LOW")</f>
        <v>HIGH</v>
      </c>
      <c r="O2906" s="4" t="str">
        <f t="shared" si="136"/>
        <v>OTHERS</v>
      </c>
      <c r="P2906" s="4" t="str">
        <f t="shared" si="137"/>
        <v>PREMINUM MORNING</v>
      </c>
    </row>
    <row r="2907" spans="1:16" x14ac:dyDescent="0.3">
      <c r="A2907" s="4">
        <v>16</v>
      </c>
      <c r="B2907" t="s">
        <v>11</v>
      </c>
      <c r="C2907" s="4">
        <v>35.76</v>
      </c>
      <c r="D2907" t="s">
        <v>12</v>
      </c>
      <c r="E2907" t="s">
        <v>17</v>
      </c>
      <c r="F2907" s="4" t="s">
        <v>14</v>
      </c>
      <c r="G2907" s="4" t="s">
        <v>41</v>
      </c>
      <c r="H2907" s="4">
        <v>5</v>
      </c>
      <c r="I2907" s="4">
        <v>2</v>
      </c>
      <c r="J2907" s="1">
        <v>45695</v>
      </c>
      <c r="K2907" s="2">
        <v>1.7074074074074075E-2</v>
      </c>
      <c r="M2907" s="4" t="str">
        <f t="shared" si="135"/>
        <v>HIGH</v>
      </c>
      <c r="N2907" s="4" t="str" cm="1">
        <f t="array" ref="N2907">_xlfn.IFS(C2907&gt;35,"HIGH",C2907&gt;25,"MIDDLE",TRUE,"LOW")</f>
        <v>HIGH</v>
      </c>
      <c r="O2907" s="4" t="str">
        <f t="shared" si="136"/>
        <v>OTHERS</v>
      </c>
      <c r="P2907" s="4" t="str">
        <f t="shared" si="137"/>
        <v>PREMINUM MORNING</v>
      </c>
    </row>
    <row r="2908" spans="1:16" x14ac:dyDescent="0.3">
      <c r="A2908" s="4">
        <v>18</v>
      </c>
      <c r="B2908" t="s">
        <v>11</v>
      </c>
      <c r="C2908" s="4">
        <v>35.76</v>
      </c>
      <c r="D2908" t="s">
        <v>21</v>
      </c>
      <c r="E2908" t="s">
        <v>20</v>
      </c>
      <c r="F2908" s="4" t="s">
        <v>14</v>
      </c>
      <c r="G2908" s="4" t="s">
        <v>41</v>
      </c>
      <c r="H2908" s="4">
        <v>5</v>
      </c>
      <c r="I2908" s="4">
        <v>2</v>
      </c>
      <c r="J2908" s="1">
        <v>45695</v>
      </c>
      <c r="K2908" s="2">
        <v>2.9591435185185182E-2</v>
      </c>
      <c r="M2908" s="4" t="str">
        <f t="shared" si="135"/>
        <v>HIGH</v>
      </c>
      <c r="N2908" s="4" t="str" cm="1">
        <f t="array" ref="N2908">_xlfn.IFS(C2908&gt;35,"HIGH",C2908&gt;25,"MIDDLE",TRUE,"LOW")</f>
        <v>HIGH</v>
      </c>
      <c r="O2908" s="4" t="str">
        <f t="shared" si="136"/>
        <v>OTHERS</v>
      </c>
      <c r="P2908" s="4" t="str">
        <f t="shared" si="137"/>
        <v>PREMINUM MORNING</v>
      </c>
    </row>
    <row r="2909" spans="1:16" x14ac:dyDescent="0.3">
      <c r="A2909" s="4">
        <v>18</v>
      </c>
      <c r="B2909" t="s">
        <v>11</v>
      </c>
      <c r="C2909" s="4">
        <v>35.76</v>
      </c>
      <c r="D2909" t="s">
        <v>21</v>
      </c>
      <c r="E2909" t="s">
        <v>20</v>
      </c>
      <c r="F2909" s="4" t="s">
        <v>14</v>
      </c>
      <c r="G2909" s="4" t="s">
        <v>41</v>
      </c>
      <c r="H2909" s="4">
        <v>5</v>
      </c>
      <c r="I2909" s="4">
        <v>2</v>
      </c>
      <c r="J2909" s="1">
        <v>45695</v>
      </c>
      <c r="K2909" s="2">
        <v>3.0278935185185183E-2</v>
      </c>
      <c r="M2909" s="4" t="str">
        <f t="shared" si="135"/>
        <v>HIGH</v>
      </c>
      <c r="N2909" s="4" t="str" cm="1">
        <f t="array" ref="N2909">_xlfn.IFS(C2909&gt;35,"HIGH",C2909&gt;25,"MIDDLE",TRUE,"LOW")</f>
        <v>HIGH</v>
      </c>
      <c r="O2909" s="4" t="str">
        <f t="shared" si="136"/>
        <v>OTHERS</v>
      </c>
      <c r="P2909" s="4" t="str">
        <f t="shared" si="137"/>
        <v>PREMINUM MORNING</v>
      </c>
    </row>
    <row r="2910" spans="1:16" x14ac:dyDescent="0.3">
      <c r="A2910" s="4">
        <v>18</v>
      </c>
      <c r="B2910" t="s">
        <v>11</v>
      </c>
      <c r="C2910" s="4">
        <v>25.96</v>
      </c>
      <c r="D2910" t="s">
        <v>24</v>
      </c>
      <c r="E2910" t="s">
        <v>20</v>
      </c>
      <c r="F2910" s="4" t="s">
        <v>14</v>
      </c>
      <c r="G2910" s="4" t="s">
        <v>41</v>
      </c>
      <c r="H2910" s="4">
        <v>5</v>
      </c>
      <c r="I2910" s="4">
        <v>2</v>
      </c>
      <c r="J2910" s="1">
        <v>45695</v>
      </c>
      <c r="K2910" s="2">
        <v>3.091203703703704E-2</v>
      </c>
      <c r="M2910" s="4" t="str">
        <f t="shared" si="135"/>
        <v>LOW</v>
      </c>
      <c r="N2910" s="4" t="str" cm="1">
        <f t="array" ref="N2910">_xlfn.IFS(C2910&gt;35,"HIGH",C2910&gt;25,"MIDDLE",TRUE,"LOW")</f>
        <v>MIDDLE</v>
      </c>
      <c r="O2910" s="4" t="str">
        <f t="shared" si="136"/>
        <v>OTHERS</v>
      </c>
      <c r="P2910" s="4" t="str">
        <f t="shared" si="137"/>
        <v>OTHERS</v>
      </c>
    </row>
    <row r="2911" spans="1:16" x14ac:dyDescent="0.3">
      <c r="A2911" s="4">
        <v>18</v>
      </c>
      <c r="B2911" t="s">
        <v>11</v>
      </c>
      <c r="C2911" s="4">
        <v>35.76</v>
      </c>
      <c r="D2911" t="s">
        <v>21</v>
      </c>
      <c r="E2911" t="s">
        <v>20</v>
      </c>
      <c r="F2911" s="4" t="s">
        <v>14</v>
      </c>
      <c r="G2911" s="4" t="s">
        <v>41</v>
      </c>
      <c r="H2911" s="4">
        <v>5</v>
      </c>
      <c r="I2911" s="4">
        <v>2</v>
      </c>
      <c r="J2911" s="1">
        <v>45695</v>
      </c>
      <c r="K2911" s="2">
        <v>3.1517361111111107E-2</v>
      </c>
      <c r="M2911" s="4" t="str">
        <f t="shared" si="135"/>
        <v>HIGH</v>
      </c>
      <c r="N2911" s="4" t="str" cm="1">
        <f t="array" ref="N2911">_xlfn.IFS(C2911&gt;35,"HIGH",C2911&gt;25,"MIDDLE",TRUE,"LOW")</f>
        <v>HIGH</v>
      </c>
      <c r="O2911" s="4" t="str">
        <f t="shared" si="136"/>
        <v>OTHERS</v>
      </c>
      <c r="P2911" s="4" t="str">
        <f t="shared" si="137"/>
        <v>PREMINUM MORNING</v>
      </c>
    </row>
    <row r="2912" spans="1:16" x14ac:dyDescent="0.3">
      <c r="A2912" s="4">
        <v>20</v>
      </c>
      <c r="B2912" t="s">
        <v>11</v>
      </c>
      <c r="C2912" s="4">
        <v>35.76</v>
      </c>
      <c r="D2912" t="s">
        <v>21</v>
      </c>
      <c r="E2912" t="s">
        <v>20</v>
      </c>
      <c r="F2912" s="4" t="s">
        <v>14</v>
      </c>
      <c r="G2912" s="4" t="s">
        <v>41</v>
      </c>
      <c r="H2912" s="4">
        <v>5</v>
      </c>
      <c r="I2912" s="4">
        <v>2</v>
      </c>
      <c r="J2912" s="1">
        <v>45695</v>
      </c>
      <c r="K2912" s="2">
        <v>7.6319444444444438E-3</v>
      </c>
      <c r="M2912" s="4" t="str">
        <f t="shared" si="135"/>
        <v>HIGH</v>
      </c>
      <c r="N2912" s="4" t="str" cm="1">
        <f t="array" ref="N2912">_xlfn.IFS(C2912&gt;35,"HIGH",C2912&gt;25,"MIDDLE",TRUE,"LOW")</f>
        <v>HIGH</v>
      </c>
      <c r="O2912" s="4" t="str">
        <f t="shared" si="136"/>
        <v>OTHERS</v>
      </c>
      <c r="P2912" s="4" t="str">
        <f t="shared" si="137"/>
        <v>PREMINUM MORNING</v>
      </c>
    </row>
    <row r="2913" spans="1:16" x14ac:dyDescent="0.3">
      <c r="A2913" s="4">
        <v>20</v>
      </c>
      <c r="B2913" t="s">
        <v>11</v>
      </c>
      <c r="C2913" s="4">
        <v>25.96</v>
      </c>
      <c r="D2913" t="s">
        <v>24</v>
      </c>
      <c r="E2913" t="s">
        <v>20</v>
      </c>
      <c r="F2913" s="4" t="s">
        <v>14</v>
      </c>
      <c r="G2913" s="4" t="s">
        <v>41</v>
      </c>
      <c r="H2913" s="4">
        <v>5</v>
      </c>
      <c r="I2913" s="4">
        <v>2</v>
      </c>
      <c r="J2913" s="1">
        <v>45695</v>
      </c>
      <c r="K2913" s="2">
        <v>2.1491898148148149E-2</v>
      </c>
      <c r="M2913" s="4" t="str">
        <f t="shared" si="135"/>
        <v>LOW</v>
      </c>
      <c r="N2913" s="4" t="str" cm="1">
        <f t="array" ref="N2913">_xlfn.IFS(C2913&gt;35,"HIGH",C2913&gt;25,"MIDDLE",TRUE,"LOW")</f>
        <v>MIDDLE</v>
      </c>
      <c r="O2913" s="4" t="str">
        <f t="shared" si="136"/>
        <v>OTHERS</v>
      </c>
      <c r="P2913" s="4" t="str">
        <f t="shared" si="137"/>
        <v>OTHERS</v>
      </c>
    </row>
    <row r="2914" spans="1:16" x14ac:dyDescent="0.3">
      <c r="A2914" s="4">
        <v>9</v>
      </c>
      <c r="B2914" t="s">
        <v>11</v>
      </c>
      <c r="C2914" s="4">
        <v>25.96</v>
      </c>
      <c r="D2914" t="s">
        <v>18</v>
      </c>
      <c r="E2914" t="s">
        <v>13</v>
      </c>
      <c r="F2914" s="4" t="s">
        <v>22</v>
      </c>
      <c r="G2914" s="4" t="s">
        <v>41</v>
      </c>
      <c r="H2914" s="4">
        <v>6</v>
      </c>
      <c r="I2914" s="4">
        <v>2</v>
      </c>
      <c r="J2914" s="1">
        <v>45696</v>
      </c>
      <c r="K2914" s="2">
        <v>1.1909722222222224E-3</v>
      </c>
      <c r="M2914" s="4" t="str">
        <f t="shared" si="135"/>
        <v>LOW</v>
      </c>
      <c r="N2914" s="4" t="str" cm="1">
        <f t="array" ref="N2914">_xlfn.IFS(C2914&gt;35,"HIGH",C2914&gt;25,"MIDDLE",TRUE,"LOW")</f>
        <v>MIDDLE</v>
      </c>
      <c r="O2914" s="4" t="str">
        <f t="shared" si="136"/>
        <v>OTHERS</v>
      </c>
      <c r="P2914" s="4" t="str">
        <f t="shared" si="137"/>
        <v>PREMINUM MORNING</v>
      </c>
    </row>
    <row r="2915" spans="1:16" x14ac:dyDescent="0.3">
      <c r="A2915" s="4">
        <v>10</v>
      </c>
      <c r="B2915" t="s">
        <v>11</v>
      </c>
      <c r="C2915" s="4">
        <v>30.86</v>
      </c>
      <c r="D2915" t="s">
        <v>19</v>
      </c>
      <c r="E2915" t="s">
        <v>13</v>
      </c>
      <c r="F2915" s="4" t="s">
        <v>22</v>
      </c>
      <c r="G2915" s="4" t="s">
        <v>41</v>
      </c>
      <c r="H2915" s="4">
        <v>6</v>
      </c>
      <c r="I2915" s="4">
        <v>2</v>
      </c>
      <c r="J2915" s="1">
        <v>45696</v>
      </c>
      <c r="K2915" s="2">
        <v>3.9086805555555555E-2</v>
      </c>
      <c r="M2915" s="4" t="str">
        <f t="shared" si="135"/>
        <v>LOW</v>
      </c>
      <c r="N2915" s="4" t="str" cm="1">
        <f t="array" ref="N2915">_xlfn.IFS(C2915&gt;35,"HIGH",C2915&gt;25,"MIDDLE",TRUE,"LOW")</f>
        <v>MIDDLE</v>
      </c>
      <c r="O2915" s="4" t="str">
        <f t="shared" si="136"/>
        <v>OTHERS</v>
      </c>
      <c r="P2915" s="4" t="str">
        <f t="shared" si="137"/>
        <v>PREMINUM MORNING</v>
      </c>
    </row>
    <row r="2916" spans="1:16" x14ac:dyDescent="0.3">
      <c r="A2916" s="4">
        <v>11</v>
      </c>
      <c r="B2916" t="s">
        <v>11</v>
      </c>
      <c r="C2916" s="4">
        <v>25.96</v>
      </c>
      <c r="D2916" t="s">
        <v>24</v>
      </c>
      <c r="E2916" t="s">
        <v>13</v>
      </c>
      <c r="F2916" s="4" t="s">
        <v>22</v>
      </c>
      <c r="G2916" s="4" t="s">
        <v>41</v>
      </c>
      <c r="H2916" s="4">
        <v>6</v>
      </c>
      <c r="I2916" s="4">
        <v>2</v>
      </c>
      <c r="J2916" s="1">
        <v>45696</v>
      </c>
      <c r="K2916" s="2">
        <v>1.8680555555555555E-3</v>
      </c>
      <c r="M2916" s="4" t="str">
        <f t="shared" si="135"/>
        <v>LOW</v>
      </c>
      <c r="N2916" s="4" t="str" cm="1">
        <f t="array" ref="N2916">_xlfn.IFS(C2916&gt;35,"HIGH",C2916&gt;25,"MIDDLE",TRUE,"LOW")</f>
        <v>MIDDLE</v>
      </c>
      <c r="O2916" s="4" t="str">
        <f t="shared" si="136"/>
        <v>OTHERS</v>
      </c>
      <c r="P2916" s="4" t="str">
        <f t="shared" si="137"/>
        <v>PREMINUM MORNING</v>
      </c>
    </row>
    <row r="2917" spans="1:16" x14ac:dyDescent="0.3">
      <c r="A2917" s="4">
        <v>11</v>
      </c>
      <c r="B2917" t="s">
        <v>11</v>
      </c>
      <c r="C2917" s="4">
        <v>25.96</v>
      </c>
      <c r="D2917" t="s">
        <v>18</v>
      </c>
      <c r="E2917" t="s">
        <v>13</v>
      </c>
      <c r="F2917" s="4" t="s">
        <v>22</v>
      </c>
      <c r="G2917" s="4" t="s">
        <v>41</v>
      </c>
      <c r="H2917" s="4">
        <v>6</v>
      </c>
      <c r="I2917" s="4">
        <v>2</v>
      </c>
      <c r="J2917" s="1">
        <v>45696</v>
      </c>
      <c r="K2917" s="2">
        <v>2.7475694444444445E-2</v>
      </c>
      <c r="M2917" s="4" t="str">
        <f t="shared" si="135"/>
        <v>LOW</v>
      </c>
      <c r="N2917" s="4" t="str" cm="1">
        <f t="array" ref="N2917">_xlfn.IFS(C2917&gt;35,"HIGH",C2917&gt;25,"MIDDLE",TRUE,"LOW")</f>
        <v>MIDDLE</v>
      </c>
      <c r="O2917" s="4" t="str">
        <f t="shared" si="136"/>
        <v>OTHERS</v>
      </c>
      <c r="P2917" s="4" t="str">
        <f t="shared" si="137"/>
        <v>PREMINUM MORNING</v>
      </c>
    </row>
    <row r="2918" spans="1:16" x14ac:dyDescent="0.3">
      <c r="A2918" s="4">
        <v>12</v>
      </c>
      <c r="B2918" t="s">
        <v>11</v>
      </c>
      <c r="C2918" s="4">
        <v>25.96</v>
      </c>
      <c r="D2918" t="s">
        <v>18</v>
      </c>
      <c r="E2918" t="s">
        <v>17</v>
      </c>
      <c r="F2918" s="4" t="s">
        <v>22</v>
      </c>
      <c r="G2918" s="4" t="s">
        <v>41</v>
      </c>
      <c r="H2918" s="4">
        <v>6</v>
      </c>
      <c r="I2918" s="4">
        <v>2</v>
      </c>
      <c r="J2918" s="1">
        <v>45696</v>
      </c>
      <c r="K2918" s="2">
        <v>3.2092592592592596E-2</v>
      </c>
      <c r="M2918" s="4" t="str">
        <f t="shared" si="135"/>
        <v>LOW</v>
      </c>
      <c r="N2918" s="4" t="str" cm="1">
        <f t="array" ref="N2918">_xlfn.IFS(C2918&gt;35,"HIGH",C2918&gt;25,"MIDDLE",TRUE,"LOW")</f>
        <v>MIDDLE</v>
      </c>
      <c r="O2918" s="4" t="str">
        <f t="shared" si="136"/>
        <v>OTHERS</v>
      </c>
      <c r="P2918" s="4" t="str">
        <f t="shared" si="137"/>
        <v>OTHERS</v>
      </c>
    </row>
    <row r="2919" spans="1:16" x14ac:dyDescent="0.3">
      <c r="A2919" s="4">
        <v>13</v>
      </c>
      <c r="B2919" t="s">
        <v>11</v>
      </c>
      <c r="C2919" s="4">
        <v>25.96</v>
      </c>
      <c r="D2919" t="s">
        <v>18</v>
      </c>
      <c r="E2919" t="s">
        <v>17</v>
      </c>
      <c r="F2919" s="4" t="s">
        <v>22</v>
      </c>
      <c r="G2919" s="4" t="s">
        <v>41</v>
      </c>
      <c r="H2919" s="4">
        <v>6</v>
      </c>
      <c r="I2919" s="4">
        <v>2</v>
      </c>
      <c r="J2919" s="1">
        <v>45696</v>
      </c>
      <c r="K2919" s="2">
        <v>1.8606481481481481E-2</v>
      </c>
      <c r="M2919" s="4" t="str">
        <f t="shared" si="135"/>
        <v>LOW</v>
      </c>
      <c r="N2919" s="4" t="str" cm="1">
        <f t="array" ref="N2919">_xlfn.IFS(C2919&gt;35,"HIGH",C2919&gt;25,"MIDDLE",TRUE,"LOW")</f>
        <v>MIDDLE</v>
      </c>
      <c r="O2919" s="4" t="str">
        <f t="shared" si="136"/>
        <v>OTHERS</v>
      </c>
      <c r="P2919" s="4" t="str">
        <f t="shared" si="137"/>
        <v>OTHERS</v>
      </c>
    </row>
    <row r="2920" spans="1:16" x14ac:dyDescent="0.3">
      <c r="A2920" s="4">
        <v>15</v>
      </c>
      <c r="B2920" t="s">
        <v>11</v>
      </c>
      <c r="C2920" s="4">
        <v>25.96</v>
      </c>
      <c r="D2920" t="s">
        <v>18</v>
      </c>
      <c r="E2920" t="s">
        <v>17</v>
      </c>
      <c r="F2920" s="4" t="s">
        <v>22</v>
      </c>
      <c r="G2920" s="4" t="s">
        <v>41</v>
      </c>
      <c r="H2920" s="4">
        <v>6</v>
      </c>
      <c r="I2920" s="4">
        <v>2</v>
      </c>
      <c r="J2920" s="1">
        <v>45696</v>
      </c>
      <c r="K2920" s="2">
        <v>4.9097222222222224E-3</v>
      </c>
      <c r="M2920" s="4" t="str">
        <f t="shared" si="135"/>
        <v>LOW</v>
      </c>
      <c r="N2920" s="4" t="str" cm="1">
        <f t="array" ref="N2920">_xlfn.IFS(C2920&gt;35,"HIGH",C2920&gt;25,"MIDDLE",TRUE,"LOW")</f>
        <v>MIDDLE</v>
      </c>
      <c r="O2920" s="4" t="str">
        <f t="shared" si="136"/>
        <v>OTHERS</v>
      </c>
      <c r="P2920" s="4" t="str">
        <f t="shared" si="137"/>
        <v>OTHERS</v>
      </c>
    </row>
    <row r="2921" spans="1:16" x14ac:dyDescent="0.3">
      <c r="A2921" s="4">
        <v>15</v>
      </c>
      <c r="B2921" t="s">
        <v>11</v>
      </c>
      <c r="C2921" s="4">
        <v>25.96</v>
      </c>
      <c r="D2921" t="s">
        <v>18</v>
      </c>
      <c r="E2921" t="s">
        <v>17</v>
      </c>
      <c r="F2921" s="4" t="s">
        <v>22</v>
      </c>
      <c r="G2921" s="4" t="s">
        <v>41</v>
      </c>
      <c r="H2921" s="4">
        <v>6</v>
      </c>
      <c r="I2921" s="4">
        <v>2</v>
      </c>
      <c r="J2921" s="1">
        <v>45696</v>
      </c>
      <c r="K2921" s="2">
        <v>5.6620370370370366E-3</v>
      </c>
      <c r="M2921" s="4" t="str">
        <f t="shared" si="135"/>
        <v>LOW</v>
      </c>
      <c r="N2921" s="4" t="str" cm="1">
        <f t="array" ref="N2921">_xlfn.IFS(C2921&gt;35,"HIGH",C2921&gt;25,"MIDDLE",TRUE,"LOW")</f>
        <v>MIDDLE</v>
      </c>
      <c r="O2921" s="4" t="str">
        <f t="shared" si="136"/>
        <v>OTHERS</v>
      </c>
      <c r="P2921" s="4" t="str">
        <f t="shared" si="137"/>
        <v>OTHERS</v>
      </c>
    </row>
    <row r="2922" spans="1:16" x14ac:dyDescent="0.3">
      <c r="A2922" s="4">
        <v>8</v>
      </c>
      <c r="B2922" t="s">
        <v>11</v>
      </c>
      <c r="C2922" s="4">
        <v>35.76</v>
      </c>
      <c r="D2922" t="s">
        <v>21</v>
      </c>
      <c r="E2922" t="s">
        <v>13</v>
      </c>
      <c r="F2922" s="4" t="s">
        <v>23</v>
      </c>
      <c r="G2922" s="4" t="s">
        <v>41</v>
      </c>
      <c r="H2922" s="4">
        <v>7</v>
      </c>
      <c r="I2922" s="4">
        <v>2</v>
      </c>
      <c r="J2922" s="1">
        <v>45697</v>
      </c>
      <c r="K2922" s="2">
        <v>3.4306712962962962E-2</v>
      </c>
      <c r="M2922" s="4" t="str">
        <f t="shared" si="135"/>
        <v>HIGH</v>
      </c>
      <c r="N2922" s="4" t="str" cm="1">
        <f t="array" ref="N2922">_xlfn.IFS(C2922&gt;35,"HIGH",C2922&gt;25,"MIDDLE",TRUE,"LOW")</f>
        <v>HIGH</v>
      </c>
      <c r="O2922" s="4" t="str">
        <f t="shared" si="136"/>
        <v>PREMINUM MORNING</v>
      </c>
      <c r="P2922" s="4" t="str">
        <f t="shared" si="137"/>
        <v>PREMINUM MORNING</v>
      </c>
    </row>
    <row r="2923" spans="1:16" x14ac:dyDescent="0.3">
      <c r="A2923" s="4">
        <v>10</v>
      </c>
      <c r="B2923" t="s">
        <v>11</v>
      </c>
      <c r="C2923" s="4">
        <v>30.86</v>
      </c>
      <c r="D2923" t="s">
        <v>19</v>
      </c>
      <c r="E2923" t="s">
        <v>13</v>
      </c>
      <c r="F2923" s="4" t="s">
        <v>23</v>
      </c>
      <c r="G2923" s="4" t="s">
        <v>41</v>
      </c>
      <c r="H2923" s="4">
        <v>7</v>
      </c>
      <c r="I2923" s="4">
        <v>2</v>
      </c>
      <c r="J2923" s="1">
        <v>45697</v>
      </c>
      <c r="K2923" s="2">
        <v>2.1634259259259259E-2</v>
      </c>
      <c r="M2923" s="4" t="str">
        <f t="shared" si="135"/>
        <v>LOW</v>
      </c>
      <c r="N2923" s="4" t="str" cm="1">
        <f t="array" ref="N2923">_xlfn.IFS(C2923&gt;35,"HIGH",C2923&gt;25,"MIDDLE",TRUE,"LOW")</f>
        <v>MIDDLE</v>
      </c>
      <c r="O2923" s="4" t="str">
        <f t="shared" si="136"/>
        <v>OTHERS</v>
      </c>
      <c r="P2923" s="4" t="str">
        <f t="shared" si="137"/>
        <v>PREMINUM MORNING</v>
      </c>
    </row>
    <row r="2924" spans="1:16" x14ac:dyDescent="0.3">
      <c r="A2924" s="4">
        <v>10</v>
      </c>
      <c r="B2924" t="s">
        <v>11</v>
      </c>
      <c r="C2924" s="4">
        <v>25.96</v>
      </c>
      <c r="D2924" t="s">
        <v>18</v>
      </c>
      <c r="E2924" t="s">
        <v>13</v>
      </c>
      <c r="F2924" s="4" t="s">
        <v>23</v>
      </c>
      <c r="G2924" s="4" t="s">
        <v>41</v>
      </c>
      <c r="H2924" s="4">
        <v>7</v>
      </c>
      <c r="I2924" s="4">
        <v>2</v>
      </c>
      <c r="J2924" s="1">
        <v>45697</v>
      </c>
      <c r="K2924" s="2">
        <v>3.574074074074074E-2</v>
      </c>
      <c r="M2924" s="4" t="str">
        <f t="shared" si="135"/>
        <v>LOW</v>
      </c>
      <c r="N2924" s="4" t="str" cm="1">
        <f t="array" ref="N2924">_xlfn.IFS(C2924&gt;35,"HIGH",C2924&gt;25,"MIDDLE",TRUE,"LOW")</f>
        <v>MIDDLE</v>
      </c>
      <c r="O2924" s="4" t="str">
        <f t="shared" si="136"/>
        <v>OTHERS</v>
      </c>
      <c r="P2924" s="4" t="str">
        <f t="shared" si="137"/>
        <v>PREMINUM MORNING</v>
      </c>
    </row>
    <row r="2925" spans="1:16" x14ac:dyDescent="0.3">
      <c r="A2925" s="4">
        <v>12</v>
      </c>
      <c r="B2925" t="s">
        <v>11</v>
      </c>
      <c r="C2925" s="4">
        <v>35.76</v>
      </c>
      <c r="D2925" t="s">
        <v>12</v>
      </c>
      <c r="E2925" t="s">
        <v>17</v>
      </c>
      <c r="F2925" s="4" t="s">
        <v>23</v>
      </c>
      <c r="G2925" s="4" t="s">
        <v>41</v>
      </c>
      <c r="H2925" s="4">
        <v>7</v>
      </c>
      <c r="I2925" s="4">
        <v>2</v>
      </c>
      <c r="J2925" s="1">
        <v>45697</v>
      </c>
      <c r="K2925" s="2">
        <v>3.5300925925925925E-3</v>
      </c>
      <c r="M2925" s="4" t="str">
        <f t="shared" si="135"/>
        <v>HIGH</v>
      </c>
      <c r="N2925" s="4" t="str" cm="1">
        <f t="array" ref="N2925">_xlfn.IFS(C2925&gt;35,"HIGH",C2925&gt;25,"MIDDLE",TRUE,"LOW")</f>
        <v>HIGH</v>
      </c>
      <c r="O2925" s="4" t="str">
        <f t="shared" si="136"/>
        <v>OTHERS</v>
      </c>
      <c r="P2925" s="4" t="str">
        <f t="shared" si="137"/>
        <v>PREMINUM MORNING</v>
      </c>
    </row>
    <row r="2926" spans="1:16" x14ac:dyDescent="0.3">
      <c r="A2926" s="4">
        <v>15</v>
      </c>
      <c r="B2926" t="s">
        <v>11</v>
      </c>
      <c r="C2926" s="4">
        <v>35.76</v>
      </c>
      <c r="D2926" t="s">
        <v>21</v>
      </c>
      <c r="E2926" t="s">
        <v>17</v>
      </c>
      <c r="F2926" s="4" t="s">
        <v>23</v>
      </c>
      <c r="G2926" s="4" t="s">
        <v>41</v>
      </c>
      <c r="H2926" s="4">
        <v>7</v>
      </c>
      <c r="I2926" s="4">
        <v>2</v>
      </c>
      <c r="J2926" s="1">
        <v>45697</v>
      </c>
      <c r="K2926" s="2">
        <v>9.1342592592592604E-3</v>
      </c>
      <c r="M2926" s="4" t="str">
        <f t="shared" si="135"/>
        <v>HIGH</v>
      </c>
      <c r="N2926" s="4" t="str" cm="1">
        <f t="array" ref="N2926">_xlfn.IFS(C2926&gt;35,"HIGH",C2926&gt;25,"MIDDLE",TRUE,"LOW")</f>
        <v>HIGH</v>
      </c>
      <c r="O2926" s="4" t="str">
        <f t="shared" si="136"/>
        <v>OTHERS</v>
      </c>
      <c r="P2926" s="4" t="str">
        <f t="shared" si="137"/>
        <v>PREMINUM MORNING</v>
      </c>
    </row>
    <row r="2927" spans="1:16" x14ac:dyDescent="0.3">
      <c r="A2927" s="4">
        <v>15</v>
      </c>
      <c r="B2927" t="s">
        <v>11</v>
      </c>
      <c r="C2927" s="4">
        <v>35.76</v>
      </c>
      <c r="D2927" t="s">
        <v>12</v>
      </c>
      <c r="E2927" t="s">
        <v>17</v>
      </c>
      <c r="F2927" s="4" t="s">
        <v>23</v>
      </c>
      <c r="G2927" s="4" t="s">
        <v>41</v>
      </c>
      <c r="H2927" s="4">
        <v>7</v>
      </c>
      <c r="I2927" s="4">
        <v>2</v>
      </c>
      <c r="J2927" s="1">
        <v>45697</v>
      </c>
      <c r="K2927" s="2">
        <v>9.7488425925925919E-3</v>
      </c>
      <c r="M2927" s="4" t="str">
        <f t="shared" si="135"/>
        <v>HIGH</v>
      </c>
      <c r="N2927" s="4" t="str" cm="1">
        <f t="array" ref="N2927">_xlfn.IFS(C2927&gt;35,"HIGH",C2927&gt;25,"MIDDLE",TRUE,"LOW")</f>
        <v>HIGH</v>
      </c>
      <c r="O2927" s="4" t="str">
        <f t="shared" si="136"/>
        <v>OTHERS</v>
      </c>
      <c r="P2927" s="4" t="str">
        <f t="shared" si="137"/>
        <v>PREMINUM MORNING</v>
      </c>
    </row>
    <row r="2928" spans="1:16" x14ac:dyDescent="0.3">
      <c r="A2928" s="4">
        <v>15</v>
      </c>
      <c r="B2928" t="s">
        <v>11</v>
      </c>
      <c r="C2928" s="4">
        <v>35.76</v>
      </c>
      <c r="D2928" t="s">
        <v>16</v>
      </c>
      <c r="E2928" t="s">
        <v>17</v>
      </c>
      <c r="F2928" s="4" t="s">
        <v>23</v>
      </c>
      <c r="G2928" s="4" t="s">
        <v>41</v>
      </c>
      <c r="H2928" s="4">
        <v>7</v>
      </c>
      <c r="I2928" s="4">
        <v>2</v>
      </c>
      <c r="J2928" s="1">
        <v>45697</v>
      </c>
      <c r="K2928" s="2">
        <v>1.1086805555555555E-2</v>
      </c>
      <c r="M2928" s="4" t="str">
        <f t="shared" si="135"/>
        <v>HIGH</v>
      </c>
      <c r="N2928" s="4" t="str" cm="1">
        <f t="array" ref="N2928">_xlfn.IFS(C2928&gt;35,"HIGH",C2928&gt;25,"MIDDLE",TRUE,"LOW")</f>
        <v>HIGH</v>
      </c>
      <c r="O2928" s="4" t="str">
        <f t="shared" si="136"/>
        <v>OTHERS</v>
      </c>
      <c r="P2928" s="4" t="str">
        <f t="shared" si="137"/>
        <v>PREMINUM MORNING</v>
      </c>
    </row>
    <row r="2929" spans="1:16" x14ac:dyDescent="0.3">
      <c r="A2929" s="4">
        <v>15</v>
      </c>
      <c r="B2929" t="s">
        <v>11</v>
      </c>
      <c r="C2929" s="4">
        <v>35.76</v>
      </c>
      <c r="D2929" t="s">
        <v>21</v>
      </c>
      <c r="E2929" t="s">
        <v>17</v>
      </c>
      <c r="F2929" s="4" t="s">
        <v>23</v>
      </c>
      <c r="G2929" s="4" t="s">
        <v>41</v>
      </c>
      <c r="H2929" s="4">
        <v>7</v>
      </c>
      <c r="I2929" s="4">
        <v>2</v>
      </c>
      <c r="J2929" s="1">
        <v>45697</v>
      </c>
      <c r="K2929" s="2">
        <v>1.1715277777777778E-2</v>
      </c>
      <c r="M2929" s="4" t="str">
        <f t="shared" si="135"/>
        <v>HIGH</v>
      </c>
      <c r="N2929" s="4" t="str" cm="1">
        <f t="array" ref="N2929">_xlfn.IFS(C2929&gt;35,"HIGH",C2929&gt;25,"MIDDLE",TRUE,"LOW")</f>
        <v>HIGH</v>
      </c>
      <c r="O2929" s="4" t="str">
        <f t="shared" si="136"/>
        <v>OTHERS</v>
      </c>
      <c r="P2929" s="4" t="str">
        <f t="shared" si="137"/>
        <v>PREMINUM MORNING</v>
      </c>
    </row>
    <row r="2930" spans="1:16" x14ac:dyDescent="0.3">
      <c r="A2930" s="4">
        <v>16</v>
      </c>
      <c r="B2930" t="s">
        <v>11</v>
      </c>
      <c r="C2930" s="4">
        <v>25.96</v>
      </c>
      <c r="D2930" t="s">
        <v>24</v>
      </c>
      <c r="E2930" t="s">
        <v>17</v>
      </c>
      <c r="F2930" s="4" t="s">
        <v>23</v>
      </c>
      <c r="G2930" s="4" t="s">
        <v>41</v>
      </c>
      <c r="H2930" s="4">
        <v>7</v>
      </c>
      <c r="I2930" s="4">
        <v>2</v>
      </c>
      <c r="J2930" s="1">
        <v>45697</v>
      </c>
      <c r="K2930" s="2">
        <v>1.410648148148148E-2</v>
      </c>
      <c r="M2930" s="4" t="str">
        <f t="shared" si="135"/>
        <v>LOW</v>
      </c>
      <c r="N2930" s="4" t="str" cm="1">
        <f t="array" ref="N2930">_xlfn.IFS(C2930&gt;35,"HIGH",C2930&gt;25,"MIDDLE",TRUE,"LOW")</f>
        <v>MIDDLE</v>
      </c>
      <c r="O2930" s="4" t="str">
        <f t="shared" si="136"/>
        <v>OTHERS</v>
      </c>
      <c r="P2930" s="4" t="str">
        <f t="shared" si="137"/>
        <v>OTHERS</v>
      </c>
    </row>
    <row r="2931" spans="1:16" x14ac:dyDescent="0.3">
      <c r="A2931" s="4">
        <v>7</v>
      </c>
      <c r="B2931" t="s">
        <v>11</v>
      </c>
      <c r="C2931" s="4">
        <v>25.96</v>
      </c>
      <c r="D2931" t="s">
        <v>18</v>
      </c>
      <c r="E2931" t="s">
        <v>13</v>
      </c>
      <c r="F2931" s="4" t="s">
        <v>25</v>
      </c>
      <c r="G2931" s="4" t="s">
        <v>41</v>
      </c>
      <c r="H2931" s="4">
        <v>1</v>
      </c>
      <c r="I2931" s="4">
        <v>2</v>
      </c>
      <c r="J2931" s="1">
        <v>45698</v>
      </c>
      <c r="K2931" s="2">
        <v>1.2337962962962962E-3</v>
      </c>
      <c r="M2931" s="4" t="str">
        <f t="shared" si="135"/>
        <v>LOW</v>
      </c>
      <c r="N2931" s="4" t="str" cm="1">
        <f t="array" ref="N2931">_xlfn.IFS(C2931&gt;35,"HIGH",C2931&gt;25,"MIDDLE",TRUE,"LOW")</f>
        <v>MIDDLE</v>
      </c>
      <c r="O2931" s="4" t="str">
        <f t="shared" si="136"/>
        <v>OTHERS</v>
      </c>
      <c r="P2931" s="4" t="str">
        <f t="shared" si="137"/>
        <v>PREMINUM MORNING</v>
      </c>
    </row>
    <row r="2932" spans="1:16" x14ac:dyDescent="0.3">
      <c r="A2932" s="4">
        <v>8</v>
      </c>
      <c r="B2932" t="s">
        <v>11</v>
      </c>
      <c r="C2932" s="4">
        <v>25.96</v>
      </c>
      <c r="D2932" t="s">
        <v>18</v>
      </c>
      <c r="E2932" t="s">
        <v>13</v>
      </c>
      <c r="F2932" s="4" t="s">
        <v>25</v>
      </c>
      <c r="G2932" s="4" t="s">
        <v>41</v>
      </c>
      <c r="H2932" s="4">
        <v>1</v>
      </c>
      <c r="I2932" s="4">
        <v>2</v>
      </c>
      <c r="J2932" s="1">
        <v>45698</v>
      </c>
      <c r="K2932" s="2">
        <v>1.1482638888888889E-2</v>
      </c>
      <c r="M2932" s="4" t="str">
        <f t="shared" si="135"/>
        <v>LOW</v>
      </c>
      <c r="N2932" s="4" t="str" cm="1">
        <f t="array" ref="N2932">_xlfn.IFS(C2932&gt;35,"HIGH",C2932&gt;25,"MIDDLE",TRUE,"LOW")</f>
        <v>MIDDLE</v>
      </c>
      <c r="O2932" s="4" t="str">
        <f t="shared" si="136"/>
        <v>OTHERS</v>
      </c>
      <c r="P2932" s="4" t="str">
        <f t="shared" si="137"/>
        <v>PREMINUM MORNING</v>
      </c>
    </row>
    <row r="2933" spans="1:16" x14ac:dyDescent="0.3">
      <c r="A2933" s="4">
        <v>8</v>
      </c>
      <c r="B2933" t="s">
        <v>11</v>
      </c>
      <c r="C2933" s="4">
        <v>25.96</v>
      </c>
      <c r="D2933" t="s">
        <v>18</v>
      </c>
      <c r="E2933" t="s">
        <v>13</v>
      </c>
      <c r="F2933" s="4" t="s">
        <v>25</v>
      </c>
      <c r="G2933" s="4" t="s">
        <v>41</v>
      </c>
      <c r="H2933" s="4">
        <v>1</v>
      </c>
      <c r="I2933" s="4">
        <v>2</v>
      </c>
      <c r="J2933" s="1">
        <v>45698</v>
      </c>
      <c r="K2933" s="2">
        <v>1.7319444444444446E-2</v>
      </c>
      <c r="M2933" s="4" t="str">
        <f t="shared" si="135"/>
        <v>LOW</v>
      </c>
      <c r="N2933" s="4" t="str" cm="1">
        <f t="array" ref="N2933">_xlfn.IFS(C2933&gt;35,"HIGH",C2933&gt;25,"MIDDLE",TRUE,"LOW")</f>
        <v>MIDDLE</v>
      </c>
      <c r="O2933" s="4" t="str">
        <f t="shared" si="136"/>
        <v>OTHERS</v>
      </c>
      <c r="P2933" s="4" t="str">
        <f t="shared" si="137"/>
        <v>PREMINUM MORNING</v>
      </c>
    </row>
    <row r="2934" spans="1:16" x14ac:dyDescent="0.3">
      <c r="A2934" s="4">
        <v>11</v>
      </c>
      <c r="B2934" t="s">
        <v>11</v>
      </c>
      <c r="C2934" s="4">
        <v>30.86</v>
      </c>
      <c r="D2934" t="s">
        <v>19</v>
      </c>
      <c r="E2934" t="s">
        <v>13</v>
      </c>
      <c r="F2934" s="4" t="s">
        <v>25</v>
      </c>
      <c r="G2934" s="4" t="s">
        <v>41</v>
      </c>
      <c r="H2934" s="4">
        <v>1</v>
      </c>
      <c r="I2934" s="4">
        <v>2</v>
      </c>
      <c r="J2934" s="1">
        <v>45698</v>
      </c>
      <c r="K2934" s="2">
        <v>8.1365740740740738E-3</v>
      </c>
      <c r="M2934" s="4" t="str">
        <f t="shared" si="135"/>
        <v>LOW</v>
      </c>
      <c r="N2934" s="4" t="str" cm="1">
        <f t="array" ref="N2934">_xlfn.IFS(C2934&gt;35,"HIGH",C2934&gt;25,"MIDDLE",TRUE,"LOW")</f>
        <v>MIDDLE</v>
      </c>
      <c r="O2934" s="4" t="str">
        <f t="shared" si="136"/>
        <v>OTHERS</v>
      </c>
      <c r="P2934" s="4" t="str">
        <f t="shared" si="137"/>
        <v>PREMINUM MORNING</v>
      </c>
    </row>
    <row r="2935" spans="1:16" x14ac:dyDescent="0.3">
      <c r="A2935" s="4">
        <v>13</v>
      </c>
      <c r="B2935" t="s">
        <v>11</v>
      </c>
      <c r="C2935" s="4">
        <v>25.96</v>
      </c>
      <c r="D2935" t="s">
        <v>18</v>
      </c>
      <c r="E2935" t="s">
        <v>17</v>
      </c>
      <c r="F2935" s="4" t="s">
        <v>25</v>
      </c>
      <c r="G2935" s="4" t="s">
        <v>41</v>
      </c>
      <c r="H2935" s="4">
        <v>1</v>
      </c>
      <c r="I2935" s="4">
        <v>2</v>
      </c>
      <c r="J2935" s="1">
        <v>45698</v>
      </c>
      <c r="K2935" s="2">
        <v>6.1365740740740747E-3</v>
      </c>
      <c r="M2935" s="4" t="str">
        <f t="shared" si="135"/>
        <v>LOW</v>
      </c>
      <c r="N2935" s="4" t="str" cm="1">
        <f t="array" ref="N2935">_xlfn.IFS(C2935&gt;35,"HIGH",C2935&gt;25,"MIDDLE",TRUE,"LOW")</f>
        <v>MIDDLE</v>
      </c>
      <c r="O2935" s="4" t="str">
        <f t="shared" si="136"/>
        <v>OTHERS</v>
      </c>
      <c r="P2935" s="4" t="str">
        <f t="shared" si="137"/>
        <v>OTHERS</v>
      </c>
    </row>
    <row r="2936" spans="1:16" x14ac:dyDescent="0.3">
      <c r="A2936" s="4">
        <v>13</v>
      </c>
      <c r="B2936" t="s">
        <v>11</v>
      </c>
      <c r="C2936" s="4">
        <v>35.76</v>
      </c>
      <c r="D2936" t="s">
        <v>21</v>
      </c>
      <c r="E2936" t="s">
        <v>17</v>
      </c>
      <c r="F2936" s="4" t="s">
        <v>25</v>
      </c>
      <c r="G2936" s="4" t="s">
        <v>41</v>
      </c>
      <c r="H2936" s="4">
        <v>1</v>
      </c>
      <c r="I2936" s="4">
        <v>2</v>
      </c>
      <c r="J2936" s="1">
        <v>45698</v>
      </c>
      <c r="K2936" s="2">
        <v>7.7083333333333335E-3</v>
      </c>
      <c r="M2936" s="4" t="str">
        <f t="shared" si="135"/>
        <v>HIGH</v>
      </c>
      <c r="N2936" s="4" t="str" cm="1">
        <f t="array" ref="N2936">_xlfn.IFS(C2936&gt;35,"HIGH",C2936&gt;25,"MIDDLE",TRUE,"LOW")</f>
        <v>HIGH</v>
      </c>
      <c r="O2936" s="4" t="str">
        <f t="shared" si="136"/>
        <v>OTHERS</v>
      </c>
      <c r="P2936" s="4" t="str">
        <f t="shared" si="137"/>
        <v>PREMINUM MORNING</v>
      </c>
    </row>
    <row r="2937" spans="1:16" x14ac:dyDescent="0.3">
      <c r="A2937" s="4">
        <v>13</v>
      </c>
      <c r="B2937" t="s">
        <v>11</v>
      </c>
      <c r="C2937" s="4">
        <v>30.86</v>
      </c>
      <c r="D2937" t="s">
        <v>19</v>
      </c>
      <c r="E2937" t="s">
        <v>17</v>
      </c>
      <c r="F2937" s="4" t="s">
        <v>25</v>
      </c>
      <c r="G2937" s="4" t="s">
        <v>41</v>
      </c>
      <c r="H2937" s="4">
        <v>1</v>
      </c>
      <c r="I2937" s="4">
        <v>2</v>
      </c>
      <c r="J2937" s="1">
        <v>45698</v>
      </c>
      <c r="K2937" s="2">
        <v>1.8688657407407407E-2</v>
      </c>
      <c r="M2937" s="4" t="str">
        <f t="shared" si="135"/>
        <v>LOW</v>
      </c>
      <c r="N2937" s="4" t="str" cm="1">
        <f t="array" ref="N2937">_xlfn.IFS(C2937&gt;35,"HIGH",C2937&gt;25,"MIDDLE",TRUE,"LOW")</f>
        <v>MIDDLE</v>
      </c>
      <c r="O2937" s="4" t="str">
        <f t="shared" si="136"/>
        <v>OTHERS</v>
      </c>
      <c r="P2937" s="4" t="str">
        <f t="shared" si="137"/>
        <v>OTHERS</v>
      </c>
    </row>
    <row r="2938" spans="1:16" x14ac:dyDescent="0.3">
      <c r="A2938" s="4">
        <v>13</v>
      </c>
      <c r="B2938" t="s">
        <v>11</v>
      </c>
      <c r="C2938" s="4">
        <v>25.96</v>
      </c>
      <c r="D2938" t="s">
        <v>18</v>
      </c>
      <c r="E2938" t="s">
        <v>17</v>
      </c>
      <c r="F2938" s="4" t="s">
        <v>25</v>
      </c>
      <c r="G2938" s="4" t="s">
        <v>41</v>
      </c>
      <c r="H2938" s="4">
        <v>1</v>
      </c>
      <c r="I2938" s="4">
        <v>2</v>
      </c>
      <c r="J2938" s="1">
        <v>45698</v>
      </c>
      <c r="K2938" s="2">
        <v>2.7931712962962964E-2</v>
      </c>
      <c r="M2938" s="4" t="str">
        <f t="shared" si="135"/>
        <v>LOW</v>
      </c>
      <c r="N2938" s="4" t="str" cm="1">
        <f t="array" ref="N2938">_xlfn.IFS(C2938&gt;35,"HIGH",C2938&gt;25,"MIDDLE",TRUE,"LOW")</f>
        <v>MIDDLE</v>
      </c>
      <c r="O2938" s="4" t="str">
        <f t="shared" si="136"/>
        <v>OTHERS</v>
      </c>
      <c r="P2938" s="4" t="str">
        <f t="shared" si="137"/>
        <v>OTHERS</v>
      </c>
    </row>
    <row r="2939" spans="1:16" x14ac:dyDescent="0.3">
      <c r="A2939" s="4">
        <v>14</v>
      </c>
      <c r="B2939" t="s">
        <v>11</v>
      </c>
      <c r="C2939" s="4">
        <v>35.76</v>
      </c>
      <c r="D2939" t="s">
        <v>12</v>
      </c>
      <c r="E2939" t="s">
        <v>17</v>
      </c>
      <c r="F2939" s="4" t="s">
        <v>25</v>
      </c>
      <c r="G2939" s="4" t="s">
        <v>41</v>
      </c>
      <c r="H2939" s="4">
        <v>1</v>
      </c>
      <c r="I2939" s="4">
        <v>2</v>
      </c>
      <c r="J2939" s="1">
        <v>45698</v>
      </c>
      <c r="K2939" s="2">
        <v>1.2962962962962963E-3</v>
      </c>
      <c r="M2939" s="4" t="str">
        <f t="shared" si="135"/>
        <v>HIGH</v>
      </c>
      <c r="N2939" s="4" t="str" cm="1">
        <f t="array" ref="N2939">_xlfn.IFS(C2939&gt;35,"HIGH",C2939&gt;25,"MIDDLE",TRUE,"LOW")</f>
        <v>HIGH</v>
      </c>
      <c r="O2939" s="4" t="str">
        <f t="shared" si="136"/>
        <v>OTHERS</v>
      </c>
      <c r="P2939" s="4" t="str">
        <f t="shared" si="137"/>
        <v>PREMINUM MORNING</v>
      </c>
    </row>
    <row r="2940" spans="1:16" x14ac:dyDescent="0.3">
      <c r="A2940" s="4">
        <v>14</v>
      </c>
      <c r="B2940" t="s">
        <v>11</v>
      </c>
      <c r="C2940" s="4">
        <v>25.96</v>
      </c>
      <c r="D2940" t="s">
        <v>18</v>
      </c>
      <c r="E2940" t="s">
        <v>17</v>
      </c>
      <c r="F2940" s="4" t="s">
        <v>25</v>
      </c>
      <c r="G2940" s="4" t="s">
        <v>41</v>
      </c>
      <c r="H2940" s="4">
        <v>1</v>
      </c>
      <c r="I2940" s="4">
        <v>2</v>
      </c>
      <c r="J2940" s="1">
        <v>45698</v>
      </c>
      <c r="K2940" s="2">
        <v>5.3402777777777771E-3</v>
      </c>
      <c r="M2940" s="4" t="str">
        <f t="shared" si="135"/>
        <v>LOW</v>
      </c>
      <c r="N2940" s="4" t="str" cm="1">
        <f t="array" ref="N2940">_xlfn.IFS(C2940&gt;35,"HIGH",C2940&gt;25,"MIDDLE",TRUE,"LOW")</f>
        <v>MIDDLE</v>
      </c>
      <c r="O2940" s="4" t="str">
        <f t="shared" si="136"/>
        <v>OTHERS</v>
      </c>
      <c r="P2940" s="4" t="str">
        <f t="shared" si="137"/>
        <v>OTHERS</v>
      </c>
    </row>
    <row r="2941" spans="1:16" x14ac:dyDescent="0.3">
      <c r="A2941" s="4">
        <v>14</v>
      </c>
      <c r="B2941" t="s">
        <v>11</v>
      </c>
      <c r="C2941" s="4">
        <v>35.76</v>
      </c>
      <c r="D2941" t="s">
        <v>21</v>
      </c>
      <c r="E2941" t="s">
        <v>17</v>
      </c>
      <c r="F2941" s="4" t="s">
        <v>25</v>
      </c>
      <c r="G2941" s="4" t="s">
        <v>41</v>
      </c>
      <c r="H2941" s="4">
        <v>1</v>
      </c>
      <c r="I2941" s="4">
        <v>2</v>
      </c>
      <c r="J2941" s="1">
        <v>45698</v>
      </c>
      <c r="K2941" s="2">
        <v>8.1770833333333331E-3</v>
      </c>
      <c r="M2941" s="4" t="str">
        <f t="shared" si="135"/>
        <v>HIGH</v>
      </c>
      <c r="N2941" s="4" t="str" cm="1">
        <f t="array" ref="N2941">_xlfn.IFS(C2941&gt;35,"HIGH",C2941&gt;25,"MIDDLE",TRUE,"LOW")</f>
        <v>HIGH</v>
      </c>
      <c r="O2941" s="4" t="str">
        <f t="shared" si="136"/>
        <v>OTHERS</v>
      </c>
      <c r="P2941" s="4" t="str">
        <f t="shared" si="137"/>
        <v>PREMINUM MORNING</v>
      </c>
    </row>
    <row r="2942" spans="1:16" x14ac:dyDescent="0.3">
      <c r="A2942" s="4">
        <v>14</v>
      </c>
      <c r="B2942" t="s">
        <v>11</v>
      </c>
      <c r="C2942" s="4">
        <v>35.76</v>
      </c>
      <c r="D2942" t="s">
        <v>21</v>
      </c>
      <c r="E2942" t="s">
        <v>17</v>
      </c>
      <c r="F2942" s="4" t="s">
        <v>25</v>
      </c>
      <c r="G2942" s="4" t="s">
        <v>41</v>
      </c>
      <c r="H2942" s="4">
        <v>1</v>
      </c>
      <c r="I2942" s="4">
        <v>2</v>
      </c>
      <c r="J2942" s="1">
        <v>45698</v>
      </c>
      <c r="K2942" s="2">
        <v>1.0932870370370371E-2</v>
      </c>
      <c r="M2942" s="4" t="str">
        <f t="shared" si="135"/>
        <v>HIGH</v>
      </c>
      <c r="N2942" s="4" t="str" cm="1">
        <f t="array" ref="N2942">_xlfn.IFS(C2942&gt;35,"HIGH",C2942&gt;25,"MIDDLE",TRUE,"LOW")</f>
        <v>HIGH</v>
      </c>
      <c r="O2942" s="4" t="str">
        <f t="shared" si="136"/>
        <v>OTHERS</v>
      </c>
      <c r="P2942" s="4" t="str">
        <f t="shared" si="137"/>
        <v>PREMINUM MORNING</v>
      </c>
    </row>
    <row r="2943" spans="1:16" x14ac:dyDescent="0.3">
      <c r="A2943" s="4">
        <v>15</v>
      </c>
      <c r="B2943" t="s">
        <v>11</v>
      </c>
      <c r="C2943" s="4">
        <v>35.76</v>
      </c>
      <c r="D2943" t="s">
        <v>29</v>
      </c>
      <c r="E2943" t="s">
        <v>17</v>
      </c>
      <c r="F2943" s="4" t="s">
        <v>25</v>
      </c>
      <c r="G2943" s="4" t="s">
        <v>41</v>
      </c>
      <c r="H2943" s="4">
        <v>1</v>
      </c>
      <c r="I2943" s="4">
        <v>2</v>
      </c>
      <c r="J2943" s="1">
        <v>45698</v>
      </c>
      <c r="K2943" s="2">
        <v>1.3298611111111111E-3</v>
      </c>
      <c r="M2943" s="4" t="str">
        <f t="shared" si="135"/>
        <v>HIGH</v>
      </c>
      <c r="N2943" s="4" t="str" cm="1">
        <f t="array" ref="N2943">_xlfn.IFS(C2943&gt;35,"HIGH",C2943&gt;25,"MIDDLE",TRUE,"LOW")</f>
        <v>HIGH</v>
      </c>
      <c r="O2943" s="4" t="str">
        <f t="shared" si="136"/>
        <v>OTHERS</v>
      </c>
      <c r="P2943" s="4" t="str">
        <f t="shared" si="137"/>
        <v>PREMINUM MORNING</v>
      </c>
    </row>
    <row r="2944" spans="1:16" x14ac:dyDescent="0.3">
      <c r="A2944" s="4">
        <v>15</v>
      </c>
      <c r="B2944" t="s">
        <v>11</v>
      </c>
      <c r="C2944" s="4">
        <v>30.86</v>
      </c>
      <c r="D2944" t="s">
        <v>19</v>
      </c>
      <c r="E2944" t="s">
        <v>17</v>
      </c>
      <c r="F2944" s="4" t="s">
        <v>25</v>
      </c>
      <c r="G2944" s="4" t="s">
        <v>41</v>
      </c>
      <c r="H2944" s="4">
        <v>1</v>
      </c>
      <c r="I2944" s="4">
        <v>2</v>
      </c>
      <c r="J2944" s="1">
        <v>45698</v>
      </c>
      <c r="K2944" s="2">
        <v>9.736111111111112E-3</v>
      </c>
      <c r="M2944" s="4" t="str">
        <f t="shared" si="135"/>
        <v>LOW</v>
      </c>
      <c r="N2944" s="4" t="str" cm="1">
        <f t="array" ref="N2944">_xlfn.IFS(C2944&gt;35,"HIGH",C2944&gt;25,"MIDDLE",TRUE,"LOW")</f>
        <v>MIDDLE</v>
      </c>
      <c r="O2944" s="4" t="str">
        <f t="shared" si="136"/>
        <v>OTHERS</v>
      </c>
      <c r="P2944" s="4" t="str">
        <f t="shared" si="137"/>
        <v>OTHERS</v>
      </c>
    </row>
    <row r="2945" spans="1:16" x14ac:dyDescent="0.3">
      <c r="A2945" s="4">
        <v>15</v>
      </c>
      <c r="B2945" t="s">
        <v>11</v>
      </c>
      <c r="C2945" s="4">
        <v>35.76</v>
      </c>
      <c r="D2945" t="s">
        <v>12</v>
      </c>
      <c r="E2945" t="s">
        <v>17</v>
      </c>
      <c r="F2945" s="4" t="s">
        <v>25</v>
      </c>
      <c r="G2945" s="4" t="s">
        <v>41</v>
      </c>
      <c r="H2945" s="4">
        <v>1</v>
      </c>
      <c r="I2945" s="4">
        <v>2</v>
      </c>
      <c r="J2945" s="1">
        <v>45698</v>
      </c>
      <c r="K2945" s="2">
        <v>3.1974537037037037E-2</v>
      </c>
      <c r="M2945" s="4" t="str">
        <f t="shared" si="135"/>
        <v>HIGH</v>
      </c>
      <c r="N2945" s="4" t="str" cm="1">
        <f t="array" ref="N2945">_xlfn.IFS(C2945&gt;35,"HIGH",C2945&gt;25,"MIDDLE",TRUE,"LOW")</f>
        <v>HIGH</v>
      </c>
      <c r="O2945" s="4" t="str">
        <f t="shared" si="136"/>
        <v>OTHERS</v>
      </c>
      <c r="P2945" s="4" t="str">
        <f t="shared" si="137"/>
        <v>PREMINUM MORNING</v>
      </c>
    </row>
    <row r="2946" spans="1:16" x14ac:dyDescent="0.3">
      <c r="A2946" s="4">
        <v>15</v>
      </c>
      <c r="B2946" t="s">
        <v>11</v>
      </c>
      <c r="C2946" s="4">
        <v>35.76</v>
      </c>
      <c r="D2946" t="s">
        <v>16</v>
      </c>
      <c r="E2946" t="s">
        <v>17</v>
      </c>
      <c r="F2946" s="4" t="s">
        <v>25</v>
      </c>
      <c r="G2946" s="4" t="s">
        <v>41</v>
      </c>
      <c r="H2946" s="4">
        <v>1</v>
      </c>
      <c r="I2946" s="4">
        <v>2</v>
      </c>
      <c r="J2946" s="1">
        <v>45698</v>
      </c>
      <c r="K2946" s="2">
        <v>3.3149305555555557E-2</v>
      </c>
      <c r="M2946" s="4" t="str">
        <f t="shared" si="135"/>
        <v>HIGH</v>
      </c>
      <c r="N2946" s="4" t="str" cm="1">
        <f t="array" ref="N2946">_xlfn.IFS(C2946&gt;35,"HIGH",C2946&gt;25,"MIDDLE",TRUE,"LOW")</f>
        <v>HIGH</v>
      </c>
      <c r="O2946" s="4" t="str">
        <f t="shared" si="136"/>
        <v>OTHERS</v>
      </c>
      <c r="P2946" s="4" t="str">
        <f t="shared" si="137"/>
        <v>PREMINUM MORNING</v>
      </c>
    </row>
    <row r="2947" spans="1:16" x14ac:dyDescent="0.3">
      <c r="A2947" s="4">
        <v>16</v>
      </c>
      <c r="B2947" t="s">
        <v>11</v>
      </c>
      <c r="C2947" s="4">
        <v>35.76</v>
      </c>
      <c r="D2947" t="s">
        <v>21</v>
      </c>
      <c r="E2947" t="s">
        <v>17</v>
      </c>
      <c r="F2947" s="4" t="s">
        <v>25</v>
      </c>
      <c r="G2947" s="4" t="s">
        <v>41</v>
      </c>
      <c r="H2947" s="4">
        <v>1</v>
      </c>
      <c r="I2947" s="4">
        <v>2</v>
      </c>
      <c r="J2947" s="1">
        <v>45698</v>
      </c>
      <c r="K2947" s="2">
        <v>1.4525462962962962E-2</v>
      </c>
      <c r="M2947" s="4" t="str">
        <f t="shared" ref="M2947:M3010" si="138">IF(C2947&gt;35,"HIGH","LOW")</f>
        <v>HIGH</v>
      </c>
      <c r="N2947" s="4" t="str" cm="1">
        <f t="array" ref="N2947">_xlfn.IFS(C2947&gt;35,"HIGH",C2947&gt;25,"MIDDLE",TRUE,"LOW")</f>
        <v>HIGH</v>
      </c>
      <c r="O2947" s="4" t="str">
        <f t="shared" ref="O2947:O3010" si="139">IF(AND(C2947&gt;35,E2947="MORNING"),"PREMINUM MORNING","OTHERS")</f>
        <v>OTHERS</v>
      </c>
      <c r="P2947" s="4" t="str">
        <f t="shared" ref="P2947:P3010" si="140">IF(OR(C2947&gt;35,E2947="MORNING"),"PREMINUM MORNING","OTHERS")</f>
        <v>PREMINUM MORNING</v>
      </c>
    </row>
    <row r="2948" spans="1:16" x14ac:dyDescent="0.3">
      <c r="A2948" s="4">
        <v>17</v>
      </c>
      <c r="B2948" t="s">
        <v>11</v>
      </c>
      <c r="C2948" s="4">
        <v>25.96</v>
      </c>
      <c r="D2948" t="s">
        <v>18</v>
      </c>
      <c r="E2948" t="s">
        <v>20</v>
      </c>
      <c r="F2948" s="4" t="s">
        <v>25</v>
      </c>
      <c r="G2948" s="4" t="s">
        <v>41</v>
      </c>
      <c r="H2948" s="4">
        <v>1</v>
      </c>
      <c r="I2948" s="4">
        <v>2</v>
      </c>
      <c r="J2948" s="1">
        <v>45698</v>
      </c>
      <c r="K2948" s="2">
        <v>8.3611111111111108E-3</v>
      </c>
      <c r="M2948" s="4" t="str">
        <f t="shared" si="138"/>
        <v>LOW</v>
      </c>
      <c r="N2948" s="4" t="str" cm="1">
        <f t="array" ref="N2948">_xlfn.IFS(C2948&gt;35,"HIGH",C2948&gt;25,"MIDDLE",TRUE,"LOW")</f>
        <v>MIDDLE</v>
      </c>
      <c r="O2948" s="4" t="str">
        <f t="shared" si="139"/>
        <v>OTHERS</v>
      </c>
      <c r="P2948" s="4" t="str">
        <f t="shared" si="140"/>
        <v>OTHERS</v>
      </c>
    </row>
    <row r="2949" spans="1:16" x14ac:dyDescent="0.3">
      <c r="A2949" s="4">
        <v>18</v>
      </c>
      <c r="B2949" t="s">
        <v>11</v>
      </c>
      <c r="C2949" s="4">
        <v>30.86</v>
      </c>
      <c r="D2949" t="s">
        <v>19</v>
      </c>
      <c r="E2949" t="s">
        <v>20</v>
      </c>
      <c r="F2949" s="4" t="s">
        <v>25</v>
      </c>
      <c r="G2949" s="4" t="s">
        <v>41</v>
      </c>
      <c r="H2949" s="4">
        <v>1</v>
      </c>
      <c r="I2949" s="4">
        <v>2</v>
      </c>
      <c r="J2949" s="1">
        <v>45698</v>
      </c>
      <c r="K2949" s="2">
        <v>1.8918981481481481E-2</v>
      </c>
      <c r="M2949" s="4" t="str">
        <f t="shared" si="138"/>
        <v>LOW</v>
      </c>
      <c r="N2949" s="4" t="str" cm="1">
        <f t="array" ref="N2949">_xlfn.IFS(C2949&gt;35,"HIGH",C2949&gt;25,"MIDDLE",TRUE,"LOW")</f>
        <v>MIDDLE</v>
      </c>
      <c r="O2949" s="4" t="str">
        <f t="shared" si="139"/>
        <v>OTHERS</v>
      </c>
      <c r="P2949" s="4" t="str">
        <f t="shared" si="140"/>
        <v>OTHERS</v>
      </c>
    </row>
    <row r="2950" spans="1:16" x14ac:dyDescent="0.3">
      <c r="A2950" s="4">
        <v>19</v>
      </c>
      <c r="B2950" t="s">
        <v>11</v>
      </c>
      <c r="C2950" s="4">
        <v>35.76</v>
      </c>
      <c r="D2950" t="s">
        <v>12</v>
      </c>
      <c r="E2950" t="s">
        <v>20</v>
      </c>
      <c r="F2950" s="4" t="s">
        <v>25</v>
      </c>
      <c r="G2950" s="4" t="s">
        <v>41</v>
      </c>
      <c r="H2950" s="4">
        <v>1</v>
      </c>
      <c r="I2950" s="4">
        <v>2</v>
      </c>
      <c r="J2950" s="1">
        <v>45698</v>
      </c>
      <c r="K2950" s="2">
        <v>9.7395833333333327E-3</v>
      </c>
      <c r="M2950" s="4" t="str">
        <f t="shared" si="138"/>
        <v>HIGH</v>
      </c>
      <c r="N2950" s="4" t="str" cm="1">
        <f t="array" ref="N2950">_xlfn.IFS(C2950&gt;35,"HIGH",C2950&gt;25,"MIDDLE",TRUE,"LOW")</f>
        <v>HIGH</v>
      </c>
      <c r="O2950" s="4" t="str">
        <f t="shared" si="139"/>
        <v>OTHERS</v>
      </c>
      <c r="P2950" s="4" t="str">
        <f t="shared" si="140"/>
        <v>PREMINUM MORNING</v>
      </c>
    </row>
    <row r="2951" spans="1:16" x14ac:dyDescent="0.3">
      <c r="A2951" s="4">
        <v>19</v>
      </c>
      <c r="B2951" t="s">
        <v>11</v>
      </c>
      <c r="C2951" s="4">
        <v>35.76</v>
      </c>
      <c r="D2951" t="s">
        <v>12</v>
      </c>
      <c r="E2951" t="s">
        <v>20</v>
      </c>
      <c r="F2951" s="4" t="s">
        <v>25</v>
      </c>
      <c r="G2951" s="4" t="s">
        <v>41</v>
      </c>
      <c r="H2951" s="4">
        <v>1</v>
      </c>
      <c r="I2951" s="4">
        <v>2</v>
      </c>
      <c r="J2951" s="1">
        <v>45698</v>
      </c>
      <c r="K2951" s="2">
        <v>1.0341435185185184E-2</v>
      </c>
      <c r="M2951" s="4" t="str">
        <f t="shared" si="138"/>
        <v>HIGH</v>
      </c>
      <c r="N2951" s="4" t="str" cm="1">
        <f t="array" ref="N2951">_xlfn.IFS(C2951&gt;35,"HIGH",C2951&gt;25,"MIDDLE",TRUE,"LOW")</f>
        <v>HIGH</v>
      </c>
      <c r="O2951" s="4" t="str">
        <f t="shared" si="139"/>
        <v>OTHERS</v>
      </c>
      <c r="P2951" s="4" t="str">
        <f t="shared" si="140"/>
        <v>PREMINUM MORNING</v>
      </c>
    </row>
    <row r="2952" spans="1:16" x14ac:dyDescent="0.3">
      <c r="A2952" s="4">
        <v>10</v>
      </c>
      <c r="B2952" t="s">
        <v>11</v>
      </c>
      <c r="C2952" s="4">
        <v>25.96</v>
      </c>
      <c r="D2952" t="s">
        <v>18</v>
      </c>
      <c r="E2952" t="s">
        <v>13</v>
      </c>
      <c r="F2952" s="4" t="s">
        <v>27</v>
      </c>
      <c r="G2952" s="4" t="s">
        <v>41</v>
      </c>
      <c r="H2952" s="4">
        <v>2</v>
      </c>
      <c r="I2952" s="4">
        <v>2</v>
      </c>
      <c r="J2952" s="1">
        <v>45699</v>
      </c>
      <c r="K2952" s="2">
        <v>2.6689814814814816E-2</v>
      </c>
      <c r="M2952" s="4" t="str">
        <f t="shared" si="138"/>
        <v>LOW</v>
      </c>
      <c r="N2952" s="4" t="str" cm="1">
        <f t="array" ref="N2952">_xlfn.IFS(C2952&gt;35,"HIGH",C2952&gt;25,"MIDDLE",TRUE,"LOW")</f>
        <v>MIDDLE</v>
      </c>
      <c r="O2952" s="4" t="str">
        <f t="shared" si="139"/>
        <v>OTHERS</v>
      </c>
      <c r="P2952" s="4" t="str">
        <f t="shared" si="140"/>
        <v>PREMINUM MORNING</v>
      </c>
    </row>
    <row r="2953" spans="1:16" x14ac:dyDescent="0.3">
      <c r="A2953" s="4">
        <v>11</v>
      </c>
      <c r="B2953" t="s">
        <v>11</v>
      </c>
      <c r="C2953" s="4">
        <v>25.96</v>
      </c>
      <c r="D2953" t="s">
        <v>18</v>
      </c>
      <c r="E2953" t="s">
        <v>13</v>
      </c>
      <c r="F2953" s="4" t="s">
        <v>27</v>
      </c>
      <c r="G2953" s="4" t="s">
        <v>41</v>
      </c>
      <c r="H2953" s="4">
        <v>2</v>
      </c>
      <c r="I2953" s="4">
        <v>2</v>
      </c>
      <c r="J2953" s="1">
        <v>45699</v>
      </c>
      <c r="K2953" s="2">
        <v>1.3373842592592593E-2</v>
      </c>
      <c r="M2953" s="4" t="str">
        <f t="shared" si="138"/>
        <v>LOW</v>
      </c>
      <c r="N2953" s="4" t="str" cm="1">
        <f t="array" ref="N2953">_xlfn.IFS(C2953&gt;35,"HIGH",C2953&gt;25,"MIDDLE",TRUE,"LOW")</f>
        <v>MIDDLE</v>
      </c>
      <c r="O2953" s="4" t="str">
        <f t="shared" si="139"/>
        <v>OTHERS</v>
      </c>
      <c r="P2953" s="4" t="str">
        <f t="shared" si="140"/>
        <v>PREMINUM MORNING</v>
      </c>
    </row>
    <row r="2954" spans="1:16" x14ac:dyDescent="0.3">
      <c r="A2954" s="4">
        <v>11</v>
      </c>
      <c r="B2954" t="s">
        <v>11</v>
      </c>
      <c r="C2954" s="4">
        <v>30.86</v>
      </c>
      <c r="D2954" t="s">
        <v>19</v>
      </c>
      <c r="E2954" t="s">
        <v>13</v>
      </c>
      <c r="F2954" s="4" t="s">
        <v>27</v>
      </c>
      <c r="G2954" s="4" t="s">
        <v>41</v>
      </c>
      <c r="H2954" s="4">
        <v>2</v>
      </c>
      <c r="I2954" s="4">
        <v>2</v>
      </c>
      <c r="J2954" s="1">
        <v>45699</v>
      </c>
      <c r="K2954" s="2">
        <v>1.4030092592592592E-2</v>
      </c>
      <c r="M2954" s="4" t="str">
        <f t="shared" si="138"/>
        <v>LOW</v>
      </c>
      <c r="N2954" s="4" t="str" cm="1">
        <f t="array" ref="N2954">_xlfn.IFS(C2954&gt;35,"HIGH",C2954&gt;25,"MIDDLE",TRUE,"LOW")</f>
        <v>MIDDLE</v>
      </c>
      <c r="O2954" s="4" t="str">
        <f t="shared" si="139"/>
        <v>OTHERS</v>
      </c>
      <c r="P2954" s="4" t="str">
        <f t="shared" si="140"/>
        <v>PREMINUM MORNING</v>
      </c>
    </row>
    <row r="2955" spans="1:16" x14ac:dyDescent="0.3">
      <c r="A2955" s="4">
        <v>11</v>
      </c>
      <c r="B2955" t="s">
        <v>11</v>
      </c>
      <c r="C2955" s="4">
        <v>35.76</v>
      </c>
      <c r="D2955" t="s">
        <v>21</v>
      </c>
      <c r="E2955" t="s">
        <v>13</v>
      </c>
      <c r="F2955" s="4" t="s">
        <v>27</v>
      </c>
      <c r="G2955" s="4" t="s">
        <v>41</v>
      </c>
      <c r="H2955" s="4">
        <v>2</v>
      </c>
      <c r="I2955" s="4">
        <v>2</v>
      </c>
      <c r="J2955" s="1">
        <v>45699</v>
      </c>
      <c r="K2955" s="2">
        <v>1.4675925925925926E-2</v>
      </c>
      <c r="M2955" s="4" t="str">
        <f t="shared" si="138"/>
        <v>HIGH</v>
      </c>
      <c r="N2955" s="4" t="str" cm="1">
        <f t="array" ref="N2955">_xlfn.IFS(C2955&gt;35,"HIGH",C2955&gt;25,"MIDDLE",TRUE,"LOW")</f>
        <v>HIGH</v>
      </c>
      <c r="O2955" s="4" t="str">
        <f t="shared" si="139"/>
        <v>PREMINUM MORNING</v>
      </c>
      <c r="P2955" s="4" t="str">
        <f t="shared" si="140"/>
        <v>PREMINUM MORNING</v>
      </c>
    </row>
    <row r="2956" spans="1:16" x14ac:dyDescent="0.3">
      <c r="A2956" s="4">
        <v>15</v>
      </c>
      <c r="B2956" t="s">
        <v>11</v>
      </c>
      <c r="C2956" s="4">
        <v>35.76</v>
      </c>
      <c r="D2956" t="s">
        <v>16</v>
      </c>
      <c r="E2956" t="s">
        <v>17</v>
      </c>
      <c r="F2956" s="4" t="s">
        <v>27</v>
      </c>
      <c r="G2956" s="4" t="s">
        <v>41</v>
      </c>
      <c r="H2956" s="4">
        <v>2</v>
      </c>
      <c r="I2956" s="4">
        <v>2</v>
      </c>
      <c r="J2956" s="1">
        <v>45699</v>
      </c>
      <c r="K2956" s="2">
        <v>3.9466435185185188E-2</v>
      </c>
      <c r="M2956" s="4" t="str">
        <f t="shared" si="138"/>
        <v>HIGH</v>
      </c>
      <c r="N2956" s="4" t="str" cm="1">
        <f t="array" ref="N2956">_xlfn.IFS(C2956&gt;35,"HIGH",C2956&gt;25,"MIDDLE",TRUE,"LOW")</f>
        <v>HIGH</v>
      </c>
      <c r="O2956" s="4" t="str">
        <f t="shared" si="139"/>
        <v>OTHERS</v>
      </c>
      <c r="P2956" s="4" t="str">
        <f t="shared" si="140"/>
        <v>PREMINUM MORNING</v>
      </c>
    </row>
    <row r="2957" spans="1:16" x14ac:dyDescent="0.3">
      <c r="A2957" s="4">
        <v>16</v>
      </c>
      <c r="B2957" t="s">
        <v>11</v>
      </c>
      <c r="C2957" s="4">
        <v>30.86</v>
      </c>
      <c r="D2957" t="s">
        <v>19</v>
      </c>
      <c r="E2957" t="s">
        <v>17</v>
      </c>
      <c r="F2957" s="4" t="s">
        <v>27</v>
      </c>
      <c r="G2957" s="4" t="s">
        <v>41</v>
      </c>
      <c r="H2957" s="4">
        <v>2</v>
      </c>
      <c r="I2957" s="4">
        <v>2</v>
      </c>
      <c r="J2957" s="1">
        <v>45699</v>
      </c>
      <c r="K2957" s="2">
        <v>6.347222222222222E-3</v>
      </c>
      <c r="M2957" s="4" t="str">
        <f t="shared" si="138"/>
        <v>LOW</v>
      </c>
      <c r="N2957" s="4" t="str" cm="1">
        <f t="array" ref="N2957">_xlfn.IFS(C2957&gt;35,"HIGH",C2957&gt;25,"MIDDLE",TRUE,"LOW")</f>
        <v>MIDDLE</v>
      </c>
      <c r="O2957" s="4" t="str">
        <f t="shared" si="139"/>
        <v>OTHERS</v>
      </c>
      <c r="P2957" s="4" t="str">
        <f t="shared" si="140"/>
        <v>OTHERS</v>
      </c>
    </row>
    <row r="2958" spans="1:16" x14ac:dyDescent="0.3">
      <c r="A2958" s="4">
        <v>16</v>
      </c>
      <c r="B2958" t="s">
        <v>11</v>
      </c>
      <c r="C2958" s="4">
        <v>21.06</v>
      </c>
      <c r="D2958" t="s">
        <v>26</v>
      </c>
      <c r="E2958" t="s">
        <v>17</v>
      </c>
      <c r="F2958" s="4" t="s">
        <v>27</v>
      </c>
      <c r="G2958" s="4" t="s">
        <v>41</v>
      </c>
      <c r="H2958" s="4">
        <v>2</v>
      </c>
      <c r="I2958" s="4">
        <v>2</v>
      </c>
      <c r="J2958" s="1">
        <v>45699</v>
      </c>
      <c r="K2958" s="2">
        <v>3.4502314814814812E-2</v>
      </c>
      <c r="M2958" s="4" t="str">
        <f t="shared" si="138"/>
        <v>LOW</v>
      </c>
      <c r="N2958" s="4" t="str" cm="1">
        <f t="array" ref="N2958">_xlfn.IFS(C2958&gt;35,"HIGH",C2958&gt;25,"MIDDLE",TRUE,"LOW")</f>
        <v>LOW</v>
      </c>
      <c r="O2958" s="4" t="str">
        <f t="shared" si="139"/>
        <v>OTHERS</v>
      </c>
      <c r="P2958" s="4" t="str">
        <f t="shared" si="140"/>
        <v>OTHERS</v>
      </c>
    </row>
    <row r="2959" spans="1:16" x14ac:dyDescent="0.3">
      <c r="A2959" s="4">
        <v>17</v>
      </c>
      <c r="B2959" t="s">
        <v>11</v>
      </c>
      <c r="C2959" s="4">
        <v>35.76</v>
      </c>
      <c r="D2959" t="s">
        <v>12</v>
      </c>
      <c r="E2959" t="s">
        <v>20</v>
      </c>
      <c r="F2959" s="4" t="s">
        <v>27</v>
      </c>
      <c r="G2959" s="4" t="s">
        <v>41</v>
      </c>
      <c r="H2959" s="4">
        <v>2</v>
      </c>
      <c r="I2959" s="4">
        <v>2</v>
      </c>
      <c r="J2959" s="1">
        <v>45699</v>
      </c>
      <c r="K2959" s="2">
        <v>2.470949074074074E-2</v>
      </c>
      <c r="M2959" s="4" t="str">
        <f t="shared" si="138"/>
        <v>HIGH</v>
      </c>
      <c r="N2959" s="4" t="str" cm="1">
        <f t="array" ref="N2959">_xlfn.IFS(C2959&gt;35,"HIGH",C2959&gt;25,"MIDDLE",TRUE,"LOW")</f>
        <v>HIGH</v>
      </c>
      <c r="O2959" s="4" t="str">
        <f t="shared" si="139"/>
        <v>OTHERS</v>
      </c>
      <c r="P2959" s="4" t="str">
        <f t="shared" si="140"/>
        <v>PREMINUM MORNING</v>
      </c>
    </row>
    <row r="2960" spans="1:16" x14ac:dyDescent="0.3">
      <c r="A2960" s="4">
        <v>17</v>
      </c>
      <c r="B2960" t="s">
        <v>11</v>
      </c>
      <c r="C2960" s="4">
        <v>30.86</v>
      </c>
      <c r="D2960" t="s">
        <v>19</v>
      </c>
      <c r="E2960" t="s">
        <v>20</v>
      </c>
      <c r="F2960" s="4" t="s">
        <v>27</v>
      </c>
      <c r="G2960" s="4" t="s">
        <v>41</v>
      </c>
      <c r="H2960" s="4">
        <v>2</v>
      </c>
      <c r="I2960" s="4">
        <v>2</v>
      </c>
      <c r="J2960" s="1">
        <v>45699</v>
      </c>
      <c r="K2960" s="2">
        <v>2.5488425925925925E-2</v>
      </c>
      <c r="M2960" s="4" t="str">
        <f t="shared" si="138"/>
        <v>LOW</v>
      </c>
      <c r="N2960" s="4" t="str" cm="1">
        <f t="array" ref="N2960">_xlfn.IFS(C2960&gt;35,"HIGH",C2960&gt;25,"MIDDLE",TRUE,"LOW")</f>
        <v>MIDDLE</v>
      </c>
      <c r="O2960" s="4" t="str">
        <f t="shared" si="139"/>
        <v>OTHERS</v>
      </c>
      <c r="P2960" s="4" t="str">
        <f t="shared" si="140"/>
        <v>OTHERS</v>
      </c>
    </row>
    <row r="2961" spans="1:16" x14ac:dyDescent="0.3">
      <c r="A2961" s="4">
        <v>17</v>
      </c>
      <c r="B2961" t="s">
        <v>11</v>
      </c>
      <c r="C2961" s="4">
        <v>30.86</v>
      </c>
      <c r="D2961" t="s">
        <v>19</v>
      </c>
      <c r="E2961" t="s">
        <v>20</v>
      </c>
      <c r="F2961" s="4" t="s">
        <v>27</v>
      </c>
      <c r="G2961" s="4" t="s">
        <v>41</v>
      </c>
      <c r="H2961" s="4">
        <v>2</v>
      </c>
      <c r="I2961" s="4">
        <v>2</v>
      </c>
      <c r="J2961" s="1">
        <v>45699</v>
      </c>
      <c r="K2961" s="2">
        <v>3.0701388888888889E-2</v>
      </c>
      <c r="M2961" s="4" t="str">
        <f t="shared" si="138"/>
        <v>LOW</v>
      </c>
      <c r="N2961" s="4" t="str" cm="1">
        <f t="array" ref="N2961">_xlfn.IFS(C2961&gt;35,"HIGH",C2961&gt;25,"MIDDLE",TRUE,"LOW")</f>
        <v>MIDDLE</v>
      </c>
      <c r="O2961" s="4" t="str">
        <f t="shared" si="139"/>
        <v>OTHERS</v>
      </c>
      <c r="P2961" s="4" t="str">
        <f t="shared" si="140"/>
        <v>OTHERS</v>
      </c>
    </row>
    <row r="2962" spans="1:16" x14ac:dyDescent="0.3">
      <c r="A2962" s="4">
        <v>17</v>
      </c>
      <c r="B2962" t="s">
        <v>11</v>
      </c>
      <c r="C2962" s="4">
        <v>25.96</v>
      </c>
      <c r="D2962" t="s">
        <v>18</v>
      </c>
      <c r="E2962" t="s">
        <v>20</v>
      </c>
      <c r="F2962" s="4" t="s">
        <v>27</v>
      </c>
      <c r="G2962" s="4" t="s">
        <v>41</v>
      </c>
      <c r="H2962" s="4">
        <v>2</v>
      </c>
      <c r="I2962" s="4">
        <v>2</v>
      </c>
      <c r="J2962" s="1">
        <v>45699</v>
      </c>
      <c r="K2962" s="2">
        <v>3.5189814814814813E-2</v>
      </c>
      <c r="M2962" s="4" t="str">
        <f t="shared" si="138"/>
        <v>LOW</v>
      </c>
      <c r="N2962" s="4" t="str" cm="1">
        <f t="array" ref="N2962">_xlfn.IFS(C2962&gt;35,"HIGH",C2962&gt;25,"MIDDLE",TRUE,"LOW")</f>
        <v>MIDDLE</v>
      </c>
      <c r="O2962" s="4" t="str">
        <f t="shared" si="139"/>
        <v>OTHERS</v>
      </c>
      <c r="P2962" s="4" t="str">
        <f t="shared" si="140"/>
        <v>OTHERS</v>
      </c>
    </row>
    <row r="2963" spans="1:16" x14ac:dyDescent="0.3">
      <c r="A2963" s="4">
        <v>17</v>
      </c>
      <c r="B2963" t="s">
        <v>11</v>
      </c>
      <c r="C2963" s="4">
        <v>30.86</v>
      </c>
      <c r="D2963" t="s">
        <v>19</v>
      </c>
      <c r="E2963" t="s">
        <v>20</v>
      </c>
      <c r="F2963" s="4" t="s">
        <v>27</v>
      </c>
      <c r="G2963" s="4" t="s">
        <v>41</v>
      </c>
      <c r="H2963" s="4">
        <v>2</v>
      </c>
      <c r="I2963" s="4">
        <v>2</v>
      </c>
      <c r="J2963" s="1">
        <v>45699</v>
      </c>
      <c r="K2963" s="2">
        <v>3.7937499999999999E-2</v>
      </c>
      <c r="M2963" s="4" t="str">
        <f t="shared" si="138"/>
        <v>LOW</v>
      </c>
      <c r="N2963" s="4" t="str" cm="1">
        <f t="array" ref="N2963">_xlfn.IFS(C2963&gt;35,"HIGH",C2963&gt;25,"MIDDLE",TRUE,"LOW")</f>
        <v>MIDDLE</v>
      </c>
      <c r="O2963" s="4" t="str">
        <f t="shared" si="139"/>
        <v>OTHERS</v>
      </c>
      <c r="P2963" s="4" t="str">
        <f t="shared" si="140"/>
        <v>OTHERS</v>
      </c>
    </row>
    <row r="2964" spans="1:16" x14ac:dyDescent="0.3">
      <c r="A2964" s="4">
        <v>19</v>
      </c>
      <c r="B2964" t="s">
        <v>11</v>
      </c>
      <c r="C2964" s="4">
        <v>35.76</v>
      </c>
      <c r="D2964" t="s">
        <v>12</v>
      </c>
      <c r="E2964" t="s">
        <v>20</v>
      </c>
      <c r="F2964" s="4" t="s">
        <v>27</v>
      </c>
      <c r="G2964" s="4" t="s">
        <v>41</v>
      </c>
      <c r="H2964" s="4">
        <v>2</v>
      </c>
      <c r="I2964" s="4">
        <v>2</v>
      </c>
      <c r="J2964" s="1">
        <v>45699</v>
      </c>
      <c r="K2964" s="2">
        <v>2.9050925925925928E-3</v>
      </c>
      <c r="M2964" s="4" t="str">
        <f t="shared" si="138"/>
        <v>HIGH</v>
      </c>
      <c r="N2964" s="4" t="str" cm="1">
        <f t="array" ref="N2964">_xlfn.IFS(C2964&gt;35,"HIGH",C2964&gt;25,"MIDDLE",TRUE,"LOW")</f>
        <v>HIGH</v>
      </c>
      <c r="O2964" s="4" t="str">
        <f t="shared" si="139"/>
        <v>OTHERS</v>
      </c>
      <c r="P2964" s="4" t="str">
        <f t="shared" si="140"/>
        <v>PREMINUM MORNING</v>
      </c>
    </row>
    <row r="2965" spans="1:16" x14ac:dyDescent="0.3">
      <c r="A2965" s="4">
        <v>19</v>
      </c>
      <c r="B2965" t="s">
        <v>11</v>
      </c>
      <c r="C2965" s="4">
        <v>35.76</v>
      </c>
      <c r="D2965" t="s">
        <v>21</v>
      </c>
      <c r="E2965" t="s">
        <v>20</v>
      </c>
      <c r="F2965" s="4" t="s">
        <v>27</v>
      </c>
      <c r="G2965" s="4" t="s">
        <v>41</v>
      </c>
      <c r="H2965" s="4">
        <v>2</v>
      </c>
      <c r="I2965" s="4">
        <v>2</v>
      </c>
      <c r="J2965" s="1">
        <v>45699</v>
      </c>
      <c r="K2965" s="2">
        <v>3.5162037037037037E-3</v>
      </c>
      <c r="M2965" s="4" t="str">
        <f t="shared" si="138"/>
        <v>HIGH</v>
      </c>
      <c r="N2965" s="4" t="str" cm="1">
        <f t="array" ref="N2965">_xlfn.IFS(C2965&gt;35,"HIGH",C2965&gt;25,"MIDDLE",TRUE,"LOW")</f>
        <v>HIGH</v>
      </c>
      <c r="O2965" s="4" t="str">
        <f t="shared" si="139"/>
        <v>OTHERS</v>
      </c>
      <c r="P2965" s="4" t="str">
        <f t="shared" si="140"/>
        <v>PREMINUM MORNING</v>
      </c>
    </row>
    <row r="2966" spans="1:16" x14ac:dyDescent="0.3">
      <c r="A2966" s="4">
        <v>7</v>
      </c>
      <c r="B2966" t="s">
        <v>11</v>
      </c>
      <c r="C2966" s="4">
        <v>35.76</v>
      </c>
      <c r="D2966" t="s">
        <v>29</v>
      </c>
      <c r="E2966" t="s">
        <v>13</v>
      </c>
      <c r="F2966" s="4" t="s">
        <v>28</v>
      </c>
      <c r="G2966" s="4" t="s">
        <v>41</v>
      </c>
      <c r="H2966" s="4">
        <v>3</v>
      </c>
      <c r="I2966" s="4">
        <v>2</v>
      </c>
      <c r="J2966" s="1">
        <v>45700</v>
      </c>
      <c r="K2966" s="2">
        <v>1.1773148148148149E-2</v>
      </c>
      <c r="M2966" s="4" t="str">
        <f t="shared" si="138"/>
        <v>HIGH</v>
      </c>
      <c r="N2966" s="4" t="str" cm="1">
        <f t="array" ref="N2966">_xlfn.IFS(C2966&gt;35,"HIGH",C2966&gt;25,"MIDDLE",TRUE,"LOW")</f>
        <v>HIGH</v>
      </c>
      <c r="O2966" s="4" t="str">
        <f t="shared" si="139"/>
        <v>PREMINUM MORNING</v>
      </c>
      <c r="P2966" s="4" t="str">
        <f t="shared" si="140"/>
        <v>PREMINUM MORNING</v>
      </c>
    </row>
    <row r="2967" spans="1:16" x14ac:dyDescent="0.3">
      <c r="A2967" s="4">
        <v>7</v>
      </c>
      <c r="B2967" t="s">
        <v>11</v>
      </c>
      <c r="C2967" s="4">
        <v>25.96</v>
      </c>
      <c r="D2967" t="s">
        <v>18</v>
      </c>
      <c r="E2967" t="s">
        <v>13</v>
      </c>
      <c r="F2967" s="4" t="s">
        <v>28</v>
      </c>
      <c r="G2967" s="4" t="s">
        <v>41</v>
      </c>
      <c r="H2967" s="4">
        <v>3</v>
      </c>
      <c r="I2967" s="4">
        <v>2</v>
      </c>
      <c r="J2967" s="1">
        <v>45700</v>
      </c>
      <c r="K2967" s="2">
        <v>2.474074074074074E-2</v>
      </c>
      <c r="M2967" s="4" t="str">
        <f t="shared" si="138"/>
        <v>LOW</v>
      </c>
      <c r="N2967" s="4" t="str" cm="1">
        <f t="array" ref="N2967">_xlfn.IFS(C2967&gt;35,"HIGH",C2967&gt;25,"MIDDLE",TRUE,"LOW")</f>
        <v>MIDDLE</v>
      </c>
      <c r="O2967" s="4" t="str">
        <f t="shared" si="139"/>
        <v>OTHERS</v>
      </c>
      <c r="P2967" s="4" t="str">
        <f t="shared" si="140"/>
        <v>PREMINUM MORNING</v>
      </c>
    </row>
    <row r="2968" spans="1:16" x14ac:dyDescent="0.3">
      <c r="A2968" s="4">
        <v>8</v>
      </c>
      <c r="B2968" t="s">
        <v>11</v>
      </c>
      <c r="C2968" s="4">
        <v>35.76</v>
      </c>
      <c r="D2968" t="s">
        <v>21</v>
      </c>
      <c r="E2968" t="s">
        <v>13</v>
      </c>
      <c r="F2968" s="4" t="s">
        <v>28</v>
      </c>
      <c r="G2968" s="4" t="s">
        <v>41</v>
      </c>
      <c r="H2968" s="4">
        <v>3</v>
      </c>
      <c r="I2968" s="4">
        <v>2</v>
      </c>
      <c r="J2968" s="1">
        <v>45700</v>
      </c>
      <c r="K2968" s="2">
        <v>3.7914351851851852E-2</v>
      </c>
      <c r="M2968" s="4" t="str">
        <f t="shared" si="138"/>
        <v>HIGH</v>
      </c>
      <c r="N2968" s="4" t="str" cm="1">
        <f t="array" ref="N2968">_xlfn.IFS(C2968&gt;35,"HIGH",C2968&gt;25,"MIDDLE",TRUE,"LOW")</f>
        <v>HIGH</v>
      </c>
      <c r="O2968" s="4" t="str">
        <f t="shared" si="139"/>
        <v>PREMINUM MORNING</v>
      </c>
      <c r="P2968" s="4" t="str">
        <f t="shared" si="140"/>
        <v>PREMINUM MORNING</v>
      </c>
    </row>
    <row r="2969" spans="1:16" x14ac:dyDescent="0.3">
      <c r="A2969" s="4">
        <v>9</v>
      </c>
      <c r="B2969" t="s">
        <v>11</v>
      </c>
      <c r="C2969" s="4">
        <v>30.86</v>
      </c>
      <c r="D2969" t="s">
        <v>19</v>
      </c>
      <c r="E2969" t="s">
        <v>13</v>
      </c>
      <c r="F2969" s="4" t="s">
        <v>28</v>
      </c>
      <c r="G2969" s="4" t="s">
        <v>41</v>
      </c>
      <c r="H2969" s="4">
        <v>3</v>
      </c>
      <c r="I2969" s="4">
        <v>2</v>
      </c>
      <c r="J2969" s="1">
        <v>45700</v>
      </c>
      <c r="K2969" s="2">
        <v>1.3725694444444445E-2</v>
      </c>
      <c r="M2969" s="4" t="str">
        <f t="shared" si="138"/>
        <v>LOW</v>
      </c>
      <c r="N2969" s="4" t="str" cm="1">
        <f t="array" ref="N2969">_xlfn.IFS(C2969&gt;35,"HIGH",C2969&gt;25,"MIDDLE",TRUE,"LOW")</f>
        <v>MIDDLE</v>
      </c>
      <c r="O2969" s="4" t="str">
        <f t="shared" si="139"/>
        <v>OTHERS</v>
      </c>
      <c r="P2969" s="4" t="str">
        <f t="shared" si="140"/>
        <v>PREMINUM MORNING</v>
      </c>
    </row>
    <row r="2970" spans="1:16" x14ac:dyDescent="0.3">
      <c r="A2970" s="4">
        <v>10</v>
      </c>
      <c r="B2970" t="s">
        <v>11</v>
      </c>
      <c r="C2970" s="4">
        <v>25.96</v>
      </c>
      <c r="D2970" t="s">
        <v>18</v>
      </c>
      <c r="E2970" t="s">
        <v>13</v>
      </c>
      <c r="F2970" s="4" t="s">
        <v>28</v>
      </c>
      <c r="G2970" s="4" t="s">
        <v>41</v>
      </c>
      <c r="H2970" s="4">
        <v>3</v>
      </c>
      <c r="I2970" s="4">
        <v>2</v>
      </c>
      <c r="J2970" s="1">
        <v>45700</v>
      </c>
      <c r="K2970" s="2">
        <v>3.0017361111111113E-2</v>
      </c>
      <c r="M2970" s="4" t="str">
        <f t="shared" si="138"/>
        <v>LOW</v>
      </c>
      <c r="N2970" s="4" t="str" cm="1">
        <f t="array" ref="N2970">_xlfn.IFS(C2970&gt;35,"HIGH",C2970&gt;25,"MIDDLE",TRUE,"LOW")</f>
        <v>MIDDLE</v>
      </c>
      <c r="O2970" s="4" t="str">
        <f t="shared" si="139"/>
        <v>OTHERS</v>
      </c>
      <c r="P2970" s="4" t="str">
        <f t="shared" si="140"/>
        <v>PREMINUM MORNING</v>
      </c>
    </row>
    <row r="2971" spans="1:16" x14ac:dyDescent="0.3">
      <c r="A2971" s="4">
        <v>12</v>
      </c>
      <c r="B2971" t="s">
        <v>11</v>
      </c>
      <c r="C2971" s="4">
        <v>25.96</v>
      </c>
      <c r="D2971" t="s">
        <v>18</v>
      </c>
      <c r="E2971" t="s">
        <v>17</v>
      </c>
      <c r="F2971" s="4" t="s">
        <v>28</v>
      </c>
      <c r="G2971" s="4" t="s">
        <v>41</v>
      </c>
      <c r="H2971" s="4">
        <v>3</v>
      </c>
      <c r="I2971" s="4">
        <v>2</v>
      </c>
      <c r="J2971" s="1">
        <v>45700</v>
      </c>
      <c r="K2971" s="2">
        <v>3.0197916666666665E-2</v>
      </c>
      <c r="M2971" s="4" t="str">
        <f t="shared" si="138"/>
        <v>LOW</v>
      </c>
      <c r="N2971" s="4" t="str" cm="1">
        <f t="array" ref="N2971">_xlfn.IFS(C2971&gt;35,"HIGH",C2971&gt;25,"MIDDLE",TRUE,"LOW")</f>
        <v>MIDDLE</v>
      </c>
      <c r="O2971" s="4" t="str">
        <f t="shared" si="139"/>
        <v>OTHERS</v>
      </c>
      <c r="P2971" s="4" t="str">
        <f t="shared" si="140"/>
        <v>OTHERS</v>
      </c>
    </row>
    <row r="2972" spans="1:16" x14ac:dyDescent="0.3">
      <c r="A2972" s="4">
        <v>13</v>
      </c>
      <c r="B2972" t="s">
        <v>11</v>
      </c>
      <c r="C2972" s="4">
        <v>25.96</v>
      </c>
      <c r="D2972" t="s">
        <v>18</v>
      </c>
      <c r="E2972" t="s">
        <v>17</v>
      </c>
      <c r="F2972" s="4" t="s">
        <v>28</v>
      </c>
      <c r="G2972" s="4" t="s">
        <v>41</v>
      </c>
      <c r="H2972" s="4">
        <v>3</v>
      </c>
      <c r="I2972" s="4">
        <v>2</v>
      </c>
      <c r="J2972" s="1">
        <v>45700</v>
      </c>
      <c r="K2972" s="2">
        <v>5.6631944444444447E-3</v>
      </c>
      <c r="M2972" s="4" t="str">
        <f t="shared" si="138"/>
        <v>LOW</v>
      </c>
      <c r="N2972" s="4" t="str" cm="1">
        <f t="array" ref="N2972">_xlfn.IFS(C2972&gt;35,"HIGH",C2972&gt;25,"MIDDLE",TRUE,"LOW")</f>
        <v>MIDDLE</v>
      </c>
      <c r="O2972" s="4" t="str">
        <f t="shared" si="139"/>
        <v>OTHERS</v>
      </c>
      <c r="P2972" s="4" t="str">
        <f t="shared" si="140"/>
        <v>OTHERS</v>
      </c>
    </row>
    <row r="2973" spans="1:16" x14ac:dyDescent="0.3">
      <c r="A2973" s="4">
        <v>13</v>
      </c>
      <c r="B2973" t="s">
        <v>11</v>
      </c>
      <c r="C2973" s="4">
        <v>35.76</v>
      </c>
      <c r="D2973" t="s">
        <v>16</v>
      </c>
      <c r="E2973" t="s">
        <v>17</v>
      </c>
      <c r="F2973" s="4" t="s">
        <v>28</v>
      </c>
      <c r="G2973" s="4" t="s">
        <v>41</v>
      </c>
      <c r="H2973" s="4">
        <v>3</v>
      </c>
      <c r="I2973" s="4">
        <v>2</v>
      </c>
      <c r="J2973" s="1">
        <v>45700</v>
      </c>
      <c r="K2973" s="2">
        <v>2.8931712962962961E-2</v>
      </c>
      <c r="M2973" s="4" t="str">
        <f t="shared" si="138"/>
        <v>HIGH</v>
      </c>
      <c r="N2973" s="4" t="str" cm="1">
        <f t="array" ref="N2973">_xlfn.IFS(C2973&gt;35,"HIGH",C2973&gt;25,"MIDDLE",TRUE,"LOW")</f>
        <v>HIGH</v>
      </c>
      <c r="O2973" s="4" t="str">
        <f t="shared" si="139"/>
        <v>OTHERS</v>
      </c>
      <c r="P2973" s="4" t="str">
        <f t="shared" si="140"/>
        <v>PREMINUM MORNING</v>
      </c>
    </row>
    <row r="2974" spans="1:16" x14ac:dyDescent="0.3">
      <c r="A2974" s="4">
        <v>15</v>
      </c>
      <c r="B2974" t="s">
        <v>11</v>
      </c>
      <c r="C2974" s="4">
        <v>35.76</v>
      </c>
      <c r="D2974" t="s">
        <v>16</v>
      </c>
      <c r="E2974" t="s">
        <v>17</v>
      </c>
      <c r="F2974" s="4" t="s">
        <v>28</v>
      </c>
      <c r="G2974" s="4" t="s">
        <v>41</v>
      </c>
      <c r="H2974" s="4">
        <v>3</v>
      </c>
      <c r="I2974" s="4">
        <v>2</v>
      </c>
      <c r="J2974" s="1">
        <v>45700</v>
      </c>
      <c r="K2974" s="2">
        <v>2.8759259259259262E-2</v>
      </c>
      <c r="M2974" s="4" t="str">
        <f t="shared" si="138"/>
        <v>HIGH</v>
      </c>
      <c r="N2974" s="4" t="str" cm="1">
        <f t="array" ref="N2974">_xlfn.IFS(C2974&gt;35,"HIGH",C2974&gt;25,"MIDDLE",TRUE,"LOW")</f>
        <v>HIGH</v>
      </c>
      <c r="O2974" s="4" t="str">
        <f t="shared" si="139"/>
        <v>OTHERS</v>
      </c>
      <c r="P2974" s="4" t="str">
        <f t="shared" si="140"/>
        <v>PREMINUM MORNING</v>
      </c>
    </row>
    <row r="2975" spans="1:16" x14ac:dyDescent="0.3">
      <c r="A2975" s="4">
        <v>15</v>
      </c>
      <c r="B2975" t="s">
        <v>11</v>
      </c>
      <c r="C2975" s="4">
        <v>35.76</v>
      </c>
      <c r="D2975" t="s">
        <v>12</v>
      </c>
      <c r="E2975" t="s">
        <v>17</v>
      </c>
      <c r="F2975" s="4" t="s">
        <v>28</v>
      </c>
      <c r="G2975" s="4" t="s">
        <v>41</v>
      </c>
      <c r="H2975" s="4">
        <v>3</v>
      </c>
      <c r="I2975" s="4">
        <v>2</v>
      </c>
      <c r="J2975" s="1">
        <v>45700</v>
      </c>
      <c r="K2975" s="2">
        <v>2.9358796296296296E-2</v>
      </c>
      <c r="M2975" s="4" t="str">
        <f t="shared" si="138"/>
        <v>HIGH</v>
      </c>
      <c r="N2975" s="4" t="str" cm="1">
        <f t="array" ref="N2975">_xlfn.IFS(C2975&gt;35,"HIGH",C2975&gt;25,"MIDDLE",TRUE,"LOW")</f>
        <v>HIGH</v>
      </c>
      <c r="O2975" s="4" t="str">
        <f t="shared" si="139"/>
        <v>OTHERS</v>
      </c>
      <c r="P2975" s="4" t="str">
        <f t="shared" si="140"/>
        <v>PREMINUM MORNING</v>
      </c>
    </row>
    <row r="2976" spans="1:16" x14ac:dyDescent="0.3">
      <c r="A2976" s="4">
        <v>15</v>
      </c>
      <c r="B2976" t="s">
        <v>11</v>
      </c>
      <c r="C2976" s="4">
        <v>35.76</v>
      </c>
      <c r="D2976" t="s">
        <v>16</v>
      </c>
      <c r="E2976" t="s">
        <v>17</v>
      </c>
      <c r="F2976" s="4" t="s">
        <v>28</v>
      </c>
      <c r="G2976" s="4" t="s">
        <v>41</v>
      </c>
      <c r="H2976" s="4">
        <v>3</v>
      </c>
      <c r="I2976" s="4">
        <v>2</v>
      </c>
      <c r="J2976" s="1">
        <v>45700</v>
      </c>
      <c r="K2976" s="2">
        <v>3.0260416666666668E-2</v>
      </c>
      <c r="M2976" s="4" t="str">
        <f t="shared" si="138"/>
        <v>HIGH</v>
      </c>
      <c r="N2976" s="4" t="str" cm="1">
        <f t="array" ref="N2976">_xlfn.IFS(C2976&gt;35,"HIGH",C2976&gt;25,"MIDDLE",TRUE,"LOW")</f>
        <v>HIGH</v>
      </c>
      <c r="O2976" s="4" t="str">
        <f t="shared" si="139"/>
        <v>OTHERS</v>
      </c>
      <c r="P2976" s="4" t="str">
        <f t="shared" si="140"/>
        <v>PREMINUM MORNING</v>
      </c>
    </row>
    <row r="2977" spans="1:16" x14ac:dyDescent="0.3">
      <c r="A2977" s="4">
        <v>16</v>
      </c>
      <c r="B2977" t="s">
        <v>11</v>
      </c>
      <c r="C2977" s="4">
        <v>25.96</v>
      </c>
      <c r="D2977" t="s">
        <v>18</v>
      </c>
      <c r="E2977" t="s">
        <v>17</v>
      </c>
      <c r="F2977" s="4" t="s">
        <v>28</v>
      </c>
      <c r="G2977" s="4" t="s">
        <v>41</v>
      </c>
      <c r="H2977" s="4">
        <v>3</v>
      </c>
      <c r="I2977" s="4">
        <v>2</v>
      </c>
      <c r="J2977" s="1">
        <v>45700</v>
      </c>
      <c r="K2977" s="2">
        <v>9.0092592592592585E-3</v>
      </c>
      <c r="M2977" s="4" t="str">
        <f t="shared" si="138"/>
        <v>LOW</v>
      </c>
      <c r="N2977" s="4" t="str" cm="1">
        <f t="array" ref="N2977">_xlfn.IFS(C2977&gt;35,"HIGH",C2977&gt;25,"MIDDLE",TRUE,"LOW")</f>
        <v>MIDDLE</v>
      </c>
      <c r="O2977" s="4" t="str">
        <f t="shared" si="139"/>
        <v>OTHERS</v>
      </c>
      <c r="P2977" s="4" t="str">
        <f t="shared" si="140"/>
        <v>OTHERS</v>
      </c>
    </row>
    <row r="2978" spans="1:16" x14ac:dyDescent="0.3">
      <c r="A2978" s="4">
        <v>16</v>
      </c>
      <c r="B2978" t="s">
        <v>11</v>
      </c>
      <c r="C2978" s="4">
        <v>25.96</v>
      </c>
      <c r="D2978" t="s">
        <v>18</v>
      </c>
      <c r="E2978" t="s">
        <v>17</v>
      </c>
      <c r="F2978" s="4" t="s">
        <v>28</v>
      </c>
      <c r="G2978" s="4" t="s">
        <v>41</v>
      </c>
      <c r="H2978" s="4">
        <v>3</v>
      </c>
      <c r="I2978" s="4">
        <v>2</v>
      </c>
      <c r="J2978" s="1">
        <v>45700</v>
      </c>
      <c r="K2978" s="2">
        <v>1.8153935185185186E-2</v>
      </c>
      <c r="M2978" s="4" t="str">
        <f t="shared" si="138"/>
        <v>LOW</v>
      </c>
      <c r="N2978" s="4" t="str" cm="1">
        <f t="array" ref="N2978">_xlfn.IFS(C2978&gt;35,"HIGH",C2978&gt;25,"MIDDLE",TRUE,"LOW")</f>
        <v>MIDDLE</v>
      </c>
      <c r="O2978" s="4" t="str">
        <f t="shared" si="139"/>
        <v>OTHERS</v>
      </c>
      <c r="P2978" s="4" t="str">
        <f t="shared" si="140"/>
        <v>OTHERS</v>
      </c>
    </row>
    <row r="2979" spans="1:16" x14ac:dyDescent="0.3">
      <c r="A2979" s="4">
        <v>17</v>
      </c>
      <c r="B2979" t="s">
        <v>11</v>
      </c>
      <c r="C2979" s="4">
        <v>35.76</v>
      </c>
      <c r="D2979" t="s">
        <v>29</v>
      </c>
      <c r="E2979" t="s">
        <v>20</v>
      </c>
      <c r="F2979" s="4" t="s">
        <v>28</v>
      </c>
      <c r="G2979" s="4" t="s">
        <v>41</v>
      </c>
      <c r="H2979" s="4">
        <v>3</v>
      </c>
      <c r="I2979" s="4">
        <v>2</v>
      </c>
      <c r="J2979" s="1">
        <v>45700</v>
      </c>
      <c r="K2979" s="2">
        <v>3.8425925925925928E-3</v>
      </c>
      <c r="M2979" s="4" t="str">
        <f t="shared" si="138"/>
        <v>HIGH</v>
      </c>
      <c r="N2979" s="4" t="str" cm="1">
        <f t="array" ref="N2979">_xlfn.IFS(C2979&gt;35,"HIGH",C2979&gt;25,"MIDDLE",TRUE,"LOW")</f>
        <v>HIGH</v>
      </c>
      <c r="O2979" s="4" t="str">
        <f t="shared" si="139"/>
        <v>OTHERS</v>
      </c>
      <c r="P2979" s="4" t="str">
        <f t="shared" si="140"/>
        <v>PREMINUM MORNING</v>
      </c>
    </row>
    <row r="2980" spans="1:16" x14ac:dyDescent="0.3">
      <c r="A2980" s="4">
        <v>17</v>
      </c>
      <c r="B2980" t="s">
        <v>11</v>
      </c>
      <c r="C2980" s="4">
        <v>25.96</v>
      </c>
      <c r="D2980" t="s">
        <v>18</v>
      </c>
      <c r="E2980" t="s">
        <v>20</v>
      </c>
      <c r="F2980" s="4" t="s">
        <v>28</v>
      </c>
      <c r="G2980" s="4" t="s">
        <v>41</v>
      </c>
      <c r="H2980" s="4">
        <v>3</v>
      </c>
      <c r="I2980" s="4">
        <v>2</v>
      </c>
      <c r="J2980" s="1">
        <v>45700</v>
      </c>
      <c r="K2980" s="2">
        <v>2.976273148148148E-2</v>
      </c>
      <c r="M2980" s="4" t="str">
        <f t="shared" si="138"/>
        <v>LOW</v>
      </c>
      <c r="N2980" s="4" t="str" cm="1">
        <f t="array" ref="N2980">_xlfn.IFS(C2980&gt;35,"HIGH",C2980&gt;25,"MIDDLE",TRUE,"LOW")</f>
        <v>MIDDLE</v>
      </c>
      <c r="O2980" s="4" t="str">
        <f t="shared" si="139"/>
        <v>OTHERS</v>
      </c>
      <c r="P2980" s="4" t="str">
        <f t="shared" si="140"/>
        <v>OTHERS</v>
      </c>
    </row>
    <row r="2981" spans="1:16" x14ac:dyDescent="0.3">
      <c r="A2981" s="4">
        <v>20</v>
      </c>
      <c r="B2981" t="s">
        <v>11</v>
      </c>
      <c r="C2981" s="4">
        <v>35.76</v>
      </c>
      <c r="D2981" t="s">
        <v>12</v>
      </c>
      <c r="E2981" t="s">
        <v>20</v>
      </c>
      <c r="F2981" s="4" t="s">
        <v>28</v>
      </c>
      <c r="G2981" s="4" t="s">
        <v>41</v>
      </c>
      <c r="H2981" s="4">
        <v>3</v>
      </c>
      <c r="I2981" s="4">
        <v>2</v>
      </c>
      <c r="J2981" s="1">
        <v>45700</v>
      </c>
      <c r="K2981" s="2">
        <v>3.9432870370370368E-3</v>
      </c>
      <c r="M2981" s="4" t="str">
        <f t="shared" si="138"/>
        <v>HIGH</v>
      </c>
      <c r="N2981" s="4" t="str" cm="1">
        <f t="array" ref="N2981">_xlfn.IFS(C2981&gt;35,"HIGH",C2981&gt;25,"MIDDLE",TRUE,"LOW")</f>
        <v>HIGH</v>
      </c>
      <c r="O2981" s="4" t="str">
        <f t="shared" si="139"/>
        <v>OTHERS</v>
      </c>
      <c r="P2981" s="4" t="str">
        <f t="shared" si="140"/>
        <v>PREMINUM MORNING</v>
      </c>
    </row>
    <row r="2982" spans="1:16" x14ac:dyDescent="0.3">
      <c r="A2982" s="4">
        <v>20</v>
      </c>
      <c r="B2982" t="s">
        <v>11</v>
      </c>
      <c r="C2982" s="4">
        <v>35.76</v>
      </c>
      <c r="D2982" t="s">
        <v>21</v>
      </c>
      <c r="E2982" t="s">
        <v>20</v>
      </c>
      <c r="F2982" s="4" t="s">
        <v>28</v>
      </c>
      <c r="G2982" s="4" t="s">
        <v>41</v>
      </c>
      <c r="H2982" s="4">
        <v>3</v>
      </c>
      <c r="I2982" s="4">
        <v>2</v>
      </c>
      <c r="J2982" s="1">
        <v>45700</v>
      </c>
      <c r="K2982" s="2">
        <v>1.6127314814814817E-2</v>
      </c>
      <c r="M2982" s="4" t="str">
        <f t="shared" si="138"/>
        <v>HIGH</v>
      </c>
      <c r="N2982" s="4" t="str" cm="1">
        <f t="array" ref="N2982">_xlfn.IFS(C2982&gt;35,"HIGH",C2982&gt;25,"MIDDLE",TRUE,"LOW")</f>
        <v>HIGH</v>
      </c>
      <c r="O2982" s="4" t="str">
        <f t="shared" si="139"/>
        <v>OTHERS</v>
      </c>
      <c r="P2982" s="4" t="str">
        <f t="shared" si="140"/>
        <v>PREMINUM MORNING</v>
      </c>
    </row>
    <row r="2983" spans="1:16" x14ac:dyDescent="0.3">
      <c r="A2983" s="4">
        <v>21</v>
      </c>
      <c r="B2983" t="s">
        <v>11</v>
      </c>
      <c r="C2983" s="4">
        <v>35.76</v>
      </c>
      <c r="D2983" t="s">
        <v>29</v>
      </c>
      <c r="E2983" t="s">
        <v>20</v>
      </c>
      <c r="F2983" s="4" t="s">
        <v>28</v>
      </c>
      <c r="G2983" s="4" t="s">
        <v>41</v>
      </c>
      <c r="H2983" s="4">
        <v>3</v>
      </c>
      <c r="I2983" s="4">
        <v>2</v>
      </c>
      <c r="J2983" s="1">
        <v>45700</v>
      </c>
      <c r="K2983" s="2">
        <v>1.1855324074074074E-2</v>
      </c>
      <c r="M2983" s="4" t="str">
        <f t="shared" si="138"/>
        <v>HIGH</v>
      </c>
      <c r="N2983" s="4" t="str" cm="1">
        <f t="array" ref="N2983">_xlfn.IFS(C2983&gt;35,"HIGH",C2983&gt;25,"MIDDLE",TRUE,"LOW")</f>
        <v>HIGH</v>
      </c>
      <c r="O2983" s="4" t="str">
        <f t="shared" si="139"/>
        <v>OTHERS</v>
      </c>
      <c r="P2983" s="4" t="str">
        <f t="shared" si="140"/>
        <v>PREMINUM MORNING</v>
      </c>
    </row>
    <row r="2984" spans="1:16" x14ac:dyDescent="0.3">
      <c r="A2984" s="4">
        <v>7</v>
      </c>
      <c r="B2984" t="s">
        <v>11</v>
      </c>
      <c r="C2984" s="4">
        <v>30.86</v>
      </c>
      <c r="D2984" t="s">
        <v>19</v>
      </c>
      <c r="E2984" t="s">
        <v>13</v>
      </c>
      <c r="F2984" s="4" t="s">
        <v>30</v>
      </c>
      <c r="G2984" s="4" t="s">
        <v>41</v>
      </c>
      <c r="H2984" s="4">
        <v>4</v>
      </c>
      <c r="I2984" s="4">
        <v>2</v>
      </c>
      <c r="J2984" s="1">
        <v>45701</v>
      </c>
      <c r="K2984" s="2">
        <v>2.6943287037037036E-2</v>
      </c>
      <c r="M2984" s="4" t="str">
        <f t="shared" si="138"/>
        <v>LOW</v>
      </c>
      <c r="N2984" s="4" t="str" cm="1">
        <f t="array" ref="N2984">_xlfn.IFS(C2984&gt;35,"HIGH",C2984&gt;25,"MIDDLE",TRUE,"LOW")</f>
        <v>MIDDLE</v>
      </c>
      <c r="O2984" s="4" t="str">
        <f t="shared" si="139"/>
        <v>OTHERS</v>
      </c>
      <c r="P2984" s="4" t="str">
        <f t="shared" si="140"/>
        <v>PREMINUM MORNING</v>
      </c>
    </row>
    <row r="2985" spans="1:16" x14ac:dyDescent="0.3">
      <c r="A2985" s="4">
        <v>8</v>
      </c>
      <c r="B2985" t="s">
        <v>11</v>
      </c>
      <c r="C2985" s="4">
        <v>25.96</v>
      </c>
      <c r="D2985" t="s">
        <v>18</v>
      </c>
      <c r="E2985" t="s">
        <v>13</v>
      </c>
      <c r="F2985" s="4" t="s">
        <v>30</v>
      </c>
      <c r="G2985" s="4" t="s">
        <v>41</v>
      </c>
      <c r="H2985" s="4">
        <v>4</v>
      </c>
      <c r="I2985" s="4">
        <v>2</v>
      </c>
      <c r="J2985" s="1">
        <v>45701</v>
      </c>
      <c r="K2985" s="2">
        <v>3.1910879629629629E-2</v>
      </c>
      <c r="M2985" s="4" t="str">
        <f t="shared" si="138"/>
        <v>LOW</v>
      </c>
      <c r="N2985" s="4" t="str" cm="1">
        <f t="array" ref="N2985">_xlfn.IFS(C2985&gt;35,"HIGH",C2985&gt;25,"MIDDLE",TRUE,"LOW")</f>
        <v>MIDDLE</v>
      </c>
      <c r="O2985" s="4" t="str">
        <f t="shared" si="139"/>
        <v>OTHERS</v>
      </c>
      <c r="P2985" s="4" t="str">
        <f t="shared" si="140"/>
        <v>PREMINUM MORNING</v>
      </c>
    </row>
    <row r="2986" spans="1:16" x14ac:dyDescent="0.3">
      <c r="A2986" s="4">
        <v>9</v>
      </c>
      <c r="B2986" t="s">
        <v>11</v>
      </c>
      <c r="C2986" s="4">
        <v>21.06</v>
      </c>
      <c r="D2986" t="s">
        <v>26</v>
      </c>
      <c r="E2986" t="s">
        <v>13</v>
      </c>
      <c r="F2986" s="4" t="s">
        <v>30</v>
      </c>
      <c r="G2986" s="4" t="s">
        <v>41</v>
      </c>
      <c r="H2986" s="4">
        <v>4</v>
      </c>
      <c r="I2986" s="4">
        <v>2</v>
      </c>
      <c r="J2986" s="1">
        <v>45701</v>
      </c>
      <c r="K2986" s="2">
        <v>1.2048611111111111E-2</v>
      </c>
      <c r="M2986" s="4" t="str">
        <f t="shared" si="138"/>
        <v>LOW</v>
      </c>
      <c r="N2986" s="4" t="str" cm="1">
        <f t="array" ref="N2986">_xlfn.IFS(C2986&gt;35,"HIGH",C2986&gt;25,"MIDDLE",TRUE,"LOW")</f>
        <v>LOW</v>
      </c>
      <c r="O2986" s="4" t="str">
        <f t="shared" si="139"/>
        <v>OTHERS</v>
      </c>
      <c r="P2986" s="4" t="str">
        <f t="shared" si="140"/>
        <v>PREMINUM MORNING</v>
      </c>
    </row>
    <row r="2987" spans="1:16" x14ac:dyDescent="0.3">
      <c r="A2987" s="4">
        <v>9</v>
      </c>
      <c r="B2987" t="s">
        <v>11</v>
      </c>
      <c r="C2987" s="4">
        <v>35.76</v>
      </c>
      <c r="D2987" t="s">
        <v>21</v>
      </c>
      <c r="E2987" t="s">
        <v>13</v>
      </c>
      <c r="F2987" s="4" t="s">
        <v>30</v>
      </c>
      <c r="G2987" s="4" t="s">
        <v>41</v>
      </c>
      <c r="H2987" s="4">
        <v>4</v>
      </c>
      <c r="I2987" s="4">
        <v>2</v>
      </c>
      <c r="J2987" s="1">
        <v>45701</v>
      </c>
      <c r="K2987" s="2">
        <v>2.5059027777777777E-2</v>
      </c>
      <c r="M2987" s="4" t="str">
        <f t="shared" si="138"/>
        <v>HIGH</v>
      </c>
      <c r="N2987" s="4" t="str" cm="1">
        <f t="array" ref="N2987">_xlfn.IFS(C2987&gt;35,"HIGH",C2987&gt;25,"MIDDLE",TRUE,"LOW")</f>
        <v>HIGH</v>
      </c>
      <c r="O2987" s="4" t="str">
        <f t="shared" si="139"/>
        <v>PREMINUM MORNING</v>
      </c>
      <c r="P2987" s="4" t="str">
        <f t="shared" si="140"/>
        <v>PREMINUM MORNING</v>
      </c>
    </row>
    <row r="2988" spans="1:16" x14ac:dyDescent="0.3">
      <c r="A2988" s="4">
        <v>10</v>
      </c>
      <c r="B2988" t="s">
        <v>11</v>
      </c>
      <c r="C2988" s="4">
        <v>30.86</v>
      </c>
      <c r="D2988" t="s">
        <v>19</v>
      </c>
      <c r="E2988" t="s">
        <v>13</v>
      </c>
      <c r="F2988" s="4" t="s">
        <v>30</v>
      </c>
      <c r="G2988" s="4" t="s">
        <v>41</v>
      </c>
      <c r="H2988" s="4">
        <v>4</v>
      </c>
      <c r="I2988" s="4">
        <v>2</v>
      </c>
      <c r="J2988" s="1">
        <v>45701</v>
      </c>
      <c r="K2988" s="2">
        <v>2.0517361111111111E-2</v>
      </c>
      <c r="M2988" s="4" t="str">
        <f t="shared" si="138"/>
        <v>LOW</v>
      </c>
      <c r="N2988" s="4" t="str" cm="1">
        <f t="array" ref="N2988">_xlfn.IFS(C2988&gt;35,"HIGH",C2988&gt;25,"MIDDLE",TRUE,"LOW")</f>
        <v>MIDDLE</v>
      </c>
      <c r="O2988" s="4" t="str">
        <f t="shared" si="139"/>
        <v>OTHERS</v>
      </c>
      <c r="P2988" s="4" t="str">
        <f t="shared" si="140"/>
        <v>PREMINUM MORNING</v>
      </c>
    </row>
    <row r="2989" spans="1:16" x14ac:dyDescent="0.3">
      <c r="A2989" s="4">
        <v>10</v>
      </c>
      <c r="B2989" t="s">
        <v>11</v>
      </c>
      <c r="C2989" s="4">
        <v>30.86</v>
      </c>
      <c r="D2989" t="s">
        <v>19</v>
      </c>
      <c r="E2989" t="s">
        <v>13</v>
      </c>
      <c r="F2989" s="4" t="s">
        <v>30</v>
      </c>
      <c r="G2989" s="4" t="s">
        <v>41</v>
      </c>
      <c r="H2989" s="4">
        <v>4</v>
      </c>
      <c r="I2989" s="4">
        <v>2</v>
      </c>
      <c r="J2989" s="1">
        <v>45701</v>
      </c>
      <c r="K2989" s="2">
        <v>4.1284722222222223E-2</v>
      </c>
      <c r="M2989" s="4" t="str">
        <f t="shared" si="138"/>
        <v>LOW</v>
      </c>
      <c r="N2989" s="4" t="str" cm="1">
        <f t="array" ref="N2989">_xlfn.IFS(C2989&gt;35,"HIGH",C2989&gt;25,"MIDDLE",TRUE,"LOW")</f>
        <v>MIDDLE</v>
      </c>
      <c r="O2989" s="4" t="str">
        <f t="shared" si="139"/>
        <v>OTHERS</v>
      </c>
      <c r="P2989" s="4" t="str">
        <f t="shared" si="140"/>
        <v>PREMINUM MORNING</v>
      </c>
    </row>
    <row r="2990" spans="1:16" x14ac:dyDescent="0.3">
      <c r="A2990" s="4">
        <v>16</v>
      </c>
      <c r="B2990" t="s">
        <v>11</v>
      </c>
      <c r="C2990" s="4">
        <v>25.96</v>
      </c>
      <c r="D2990" t="s">
        <v>18</v>
      </c>
      <c r="E2990" t="s">
        <v>17</v>
      </c>
      <c r="F2990" s="4" t="s">
        <v>30</v>
      </c>
      <c r="G2990" s="4" t="s">
        <v>41</v>
      </c>
      <c r="H2990" s="4">
        <v>4</v>
      </c>
      <c r="I2990" s="4">
        <v>2</v>
      </c>
      <c r="J2990" s="1">
        <v>45701</v>
      </c>
      <c r="K2990" s="2">
        <v>2.1287037037037038E-2</v>
      </c>
      <c r="M2990" s="4" t="str">
        <f t="shared" si="138"/>
        <v>LOW</v>
      </c>
      <c r="N2990" s="4" t="str" cm="1">
        <f t="array" ref="N2990">_xlfn.IFS(C2990&gt;35,"HIGH",C2990&gt;25,"MIDDLE",TRUE,"LOW")</f>
        <v>MIDDLE</v>
      </c>
      <c r="O2990" s="4" t="str">
        <f t="shared" si="139"/>
        <v>OTHERS</v>
      </c>
      <c r="P2990" s="4" t="str">
        <f t="shared" si="140"/>
        <v>OTHERS</v>
      </c>
    </row>
    <row r="2991" spans="1:16" x14ac:dyDescent="0.3">
      <c r="A2991" s="4">
        <v>16</v>
      </c>
      <c r="B2991" t="s">
        <v>11</v>
      </c>
      <c r="C2991" s="4">
        <v>25.96</v>
      </c>
      <c r="D2991" t="s">
        <v>18</v>
      </c>
      <c r="E2991" t="s">
        <v>17</v>
      </c>
      <c r="F2991" s="4" t="s">
        <v>30</v>
      </c>
      <c r="G2991" s="4" t="s">
        <v>41</v>
      </c>
      <c r="H2991" s="4">
        <v>4</v>
      </c>
      <c r="I2991" s="4">
        <v>2</v>
      </c>
      <c r="J2991" s="1">
        <v>45701</v>
      </c>
      <c r="K2991" s="2">
        <v>2.1917824074074076E-2</v>
      </c>
      <c r="M2991" s="4" t="str">
        <f t="shared" si="138"/>
        <v>LOW</v>
      </c>
      <c r="N2991" s="4" t="str" cm="1">
        <f t="array" ref="N2991">_xlfn.IFS(C2991&gt;35,"HIGH",C2991&gt;25,"MIDDLE",TRUE,"LOW")</f>
        <v>MIDDLE</v>
      </c>
      <c r="O2991" s="4" t="str">
        <f t="shared" si="139"/>
        <v>OTHERS</v>
      </c>
      <c r="P2991" s="4" t="str">
        <f t="shared" si="140"/>
        <v>OTHERS</v>
      </c>
    </row>
    <row r="2992" spans="1:16" x14ac:dyDescent="0.3">
      <c r="A2992" s="4">
        <v>17</v>
      </c>
      <c r="B2992" t="s">
        <v>11</v>
      </c>
      <c r="C2992" s="4">
        <v>30.86</v>
      </c>
      <c r="D2992" t="s">
        <v>19</v>
      </c>
      <c r="E2992" t="s">
        <v>20</v>
      </c>
      <c r="F2992" s="4" t="s">
        <v>30</v>
      </c>
      <c r="G2992" s="4" t="s">
        <v>41</v>
      </c>
      <c r="H2992" s="4">
        <v>4</v>
      </c>
      <c r="I2992" s="4">
        <v>2</v>
      </c>
      <c r="J2992" s="1">
        <v>45701</v>
      </c>
      <c r="K2992" s="2">
        <v>1.1245370370370371E-2</v>
      </c>
      <c r="M2992" s="4" t="str">
        <f t="shared" si="138"/>
        <v>LOW</v>
      </c>
      <c r="N2992" s="4" t="str" cm="1">
        <f t="array" ref="N2992">_xlfn.IFS(C2992&gt;35,"HIGH",C2992&gt;25,"MIDDLE",TRUE,"LOW")</f>
        <v>MIDDLE</v>
      </c>
      <c r="O2992" s="4" t="str">
        <f t="shared" si="139"/>
        <v>OTHERS</v>
      </c>
      <c r="P2992" s="4" t="str">
        <f t="shared" si="140"/>
        <v>OTHERS</v>
      </c>
    </row>
    <row r="2993" spans="1:16" x14ac:dyDescent="0.3">
      <c r="A2993" s="4">
        <v>17</v>
      </c>
      <c r="B2993" t="s">
        <v>11</v>
      </c>
      <c r="C2993" s="4">
        <v>30.86</v>
      </c>
      <c r="D2993" t="s">
        <v>19</v>
      </c>
      <c r="E2993" t="s">
        <v>20</v>
      </c>
      <c r="F2993" s="4" t="s">
        <v>30</v>
      </c>
      <c r="G2993" s="4" t="s">
        <v>41</v>
      </c>
      <c r="H2993" s="4">
        <v>4</v>
      </c>
      <c r="I2993" s="4">
        <v>2</v>
      </c>
      <c r="J2993" s="1">
        <v>45701</v>
      </c>
      <c r="K2993" s="2">
        <v>1.2039351851851853E-2</v>
      </c>
      <c r="M2993" s="4" t="str">
        <f t="shared" si="138"/>
        <v>LOW</v>
      </c>
      <c r="N2993" s="4" t="str" cm="1">
        <f t="array" ref="N2993">_xlfn.IFS(C2993&gt;35,"HIGH",C2993&gt;25,"MIDDLE",TRUE,"LOW")</f>
        <v>MIDDLE</v>
      </c>
      <c r="O2993" s="4" t="str">
        <f t="shared" si="139"/>
        <v>OTHERS</v>
      </c>
      <c r="P2993" s="4" t="str">
        <f t="shared" si="140"/>
        <v>OTHERS</v>
      </c>
    </row>
    <row r="2994" spans="1:16" x14ac:dyDescent="0.3">
      <c r="A2994" s="4">
        <v>18</v>
      </c>
      <c r="B2994" t="s">
        <v>11</v>
      </c>
      <c r="C2994" s="4">
        <v>35.76</v>
      </c>
      <c r="D2994" t="s">
        <v>12</v>
      </c>
      <c r="E2994" t="s">
        <v>20</v>
      </c>
      <c r="F2994" s="4" t="s">
        <v>30</v>
      </c>
      <c r="G2994" s="4" t="s">
        <v>41</v>
      </c>
      <c r="H2994" s="4">
        <v>4</v>
      </c>
      <c r="I2994" s="4">
        <v>2</v>
      </c>
      <c r="J2994" s="1">
        <v>45701</v>
      </c>
      <c r="K2994" s="2">
        <v>1.1053240740740741E-3</v>
      </c>
      <c r="M2994" s="4" t="str">
        <f t="shared" si="138"/>
        <v>HIGH</v>
      </c>
      <c r="N2994" s="4" t="str" cm="1">
        <f t="array" ref="N2994">_xlfn.IFS(C2994&gt;35,"HIGH",C2994&gt;25,"MIDDLE",TRUE,"LOW")</f>
        <v>HIGH</v>
      </c>
      <c r="O2994" s="4" t="str">
        <f t="shared" si="139"/>
        <v>OTHERS</v>
      </c>
      <c r="P2994" s="4" t="str">
        <f t="shared" si="140"/>
        <v>PREMINUM MORNING</v>
      </c>
    </row>
    <row r="2995" spans="1:16" x14ac:dyDescent="0.3">
      <c r="A2995" s="4">
        <v>18</v>
      </c>
      <c r="B2995" t="s">
        <v>11</v>
      </c>
      <c r="C2995" s="4">
        <v>35.76</v>
      </c>
      <c r="D2995" t="s">
        <v>29</v>
      </c>
      <c r="E2995" t="s">
        <v>20</v>
      </c>
      <c r="F2995" s="4" t="s">
        <v>30</v>
      </c>
      <c r="G2995" s="4" t="s">
        <v>41</v>
      </c>
      <c r="H2995" s="4">
        <v>4</v>
      </c>
      <c r="I2995" s="4">
        <v>2</v>
      </c>
      <c r="J2995" s="1">
        <v>45701</v>
      </c>
      <c r="K2995" s="2">
        <v>1.0516203703703705E-2</v>
      </c>
      <c r="M2995" s="4" t="str">
        <f t="shared" si="138"/>
        <v>HIGH</v>
      </c>
      <c r="N2995" s="4" t="str" cm="1">
        <f t="array" ref="N2995">_xlfn.IFS(C2995&gt;35,"HIGH",C2995&gt;25,"MIDDLE",TRUE,"LOW")</f>
        <v>HIGH</v>
      </c>
      <c r="O2995" s="4" t="str">
        <f t="shared" si="139"/>
        <v>OTHERS</v>
      </c>
      <c r="P2995" s="4" t="str">
        <f t="shared" si="140"/>
        <v>PREMINUM MORNING</v>
      </c>
    </row>
    <row r="2996" spans="1:16" x14ac:dyDescent="0.3">
      <c r="A2996" s="4">
        <v>19</v>
      </c>
      <c r="B2996" t="s">
        <v>11</v>
      </c>
      <c r="C2996" s="4">
        <v>35.76</v>
      </c>
      <c r="D2996" t="s">
        <v>12</v>
      </c>
      <c r="E2996" t="s">
        <v>20</v>
      </c>
      <c r="F2996" s="4" t="s">
        <v>30</v>
      </c>
      <c r="G2996" s="4" t="s">
        <v>41</v>
      </c>
      <c r="H2996" s="4">
        <v>4</v>
      </c>
      <c r="I2996" s="4">
        <v>2</v>
      </c>
      <c r="J2996" s="1">
        <v>45701</v>
      </c>
      <c r="K2996" s="2">
        <v>4.5185185185185181E-3</v>
      </c>
      <c r="M2996" s="4" t="str">
        <f t="shared" si="138"/>
        <v>HIGH</v>
      </c>
      <c r="N2996" s="4" t="str" cm="1">
        <f t="array" ref="N2996">_xlfn.IFS(C2996&gt;35,"HIGH",C2996&gt;25,"MIDDLE",TRUE,"LOW")</f>
        <v>HIGH</v>
      </c>
      <c r="O2996" s="4" t="str">
        <f t="shared" si="139"/>
        <v>OTHERS</v>
      </c>
      <c r="P2996" s="4" t="str">
        <f t="shared" si="140"/>
        <v>PREMINUM MORNING</v>
      </c>
    </row>
    <row r="2997" spans="1:16" x14ac:dyDescent="0.3">
      <c r="A2997" s="4">
        <v>11</v>
      </c>
      <c r="B2997" t="s">
        <v>11</v>
      </c>
      <c r="C2997" s="4">
        <v>25.96</v>
      </c>
      <c r="D2997" t="s">
        <v>18</v>
      </c>
      <c r="E2997" t="s">
        <v>13</v>
      </c>
      <c r="F2997" s="4" t="s">
        <v>14</v>
      </c>
      <c r="G2997" s="4" t="s">
        <v>41</v>
      </c>
      <c r="H2997" s="4">
        <v>5</v>
      </c>
      <c r="I2997" s="4">
        <v>2</v>
      </c>
      <c r="J2997" s="1">
        <v>45702</v>
      </c>
      <c r="K2997" s="2">
        <v>2.7033564814814812E-2</v>
      </c>
      <c r="M2997" s="4" t="str">
        <f t="shared" si="138"/>
        <v>LOW</v>
      </c>
      <c r="N2997" s="4" t="str" cm="1">
        <f t="array" ref="N2997">_xlfn.IFS(C2997&gt;35,"HIGH",C2997&gt;25,"MIDDLE",TRUE,"LOW")</f>
        <v>MIDDLE</v>
      </c>
      <c r="O2997" s="4" t="str">
        <f t="shared" si="139"/>
        <v>OTHERS</v>
      </c>
      <c r="P2997" s="4" t="str">
        <f t="shared" si="140"/>
        <v>PREMINUM MORNING</v>
      </c>
    </row>
    <row r="2998" spans="1:16" x14ac:dyDescent="0.3">
      <c r="A2998" s="4">
        <v>14</v>
      </c>
      <c r="B2998" t="s">
        <v>11</v>
      </c>
      <c r="C2998" s="4">
        <v>35.76</v>
      </c>
      <c r="D2998" t="s">
        <v>16</v>
      </c>
      <c r="E2998" t="s">
        <v>17</v>
      </c>
      <c r="F2998" s="4" t="s">
        <v>14</v>
      </c>
      <c r="G2998" s="4" t="s">
        <v>41</v>
      </c>
      <c r="H2998" s="4">
        <v>5</v>
      </c>
      <c r="I2998" s="4">
        <v>2</v>
      </c>
      <c r="J2998" s="1">
        <v>45702</v>
      </c>
      <c r="K2998" s="2">
        <v>4.9687500000000001E-3</v>
      </c>
      <c r="M2998" s="4" t="str">
        <f t="shared" si="138"/>
        <v>HIGH</v>
      </c>
      <c r="N2998" s="4" t="str" cm="1">
        <f t="array" ref="N2998">_xlfn.IFS(C2998&gt;35,"HIGH",C2998&gt;25,"MIDDLE",TRUE,"LOW")</f>
        <v>HIGH</v>
      </c>
      <c r="O2998" s="4" t="str">
        <f t="shared" si="139"/>
        <v>OTHERS</v>
      </c>
      <c r="P2998" s="4" t="str">
        <f t="shared" si="140"/>
        <v>PREMINUM MORNING</v>
      </c>
    </row>
    <row r="2999" spans="1:16" x14ac:dyDescent="0.3">
      <c r="A2999" s="4">
        <v>14</v>
      </c>
      <c r="B2999" t="s">
        <v>11</v>
      </c>
      <c r="C2999" s="4">
        <v>25.96</v>
      </c>
      <c r="D2999" t="s">
        <v>18</v>
      </c>
      <c r="E2999" t="s">
        <v>17</v>
      </c>
      <c r="F2999" s="4" t="s">
        <v>14</v>
      </c>
      <c r="G2999" s="4" t="s">
        <v>41</v>
      </c>
      <c r="H2999" s="4">
        <v>5</v>
      </c>
      <c r="I2999" s="4">
        <v>2</v>
      </c>
      <c r="J2999" s="1">
        <v>45702</v>
      </c>
      <c r="K2999" s="2">
        <v>3.1942129629629633E-2</v>
      </c>
      <c r="M2999" s="4" t="str">
        <f t="shared" si="138"/>
        <v>LOW</v>
      </c>
      <c r="N2999" s="4" t="str" cm="1">
        <f t="array" ref="N2999">_xlfn.IFS(C2999&gt;35,"HIGH",C2999&gt;25,"MIDDLE",TRUE,"LOW")</f>
        <v>MIDDLE</v>
      </c>
      <c r="O2999" s="4" t="str">
        <f t="shared" si="139"/>
        <v>OTHERS</v>
      </c>
      <c r="P2999" s="4" t="str">
        <f t="shared" si="140"/>
        <v>OTHERS</v>
      </c>
    </row>
    <row r="3000" spans="1:16" x14ac:dyDescent="0.3">
      <c r="A3000" s="4">
        <v>14</v>
      </c>
      <c r="B3000" t="s">
        <v>11</v>
      </c>
      <c r="C3000" s="4">
        <v>21.06</v>
      </c>
      <c r="D3000" t="s">
        <v>26</v>
      </c>
      <c r="E3000" t="s">
        <v>17</v>
      </c>
      <c r="F3000" s="4" t="s">
        <v>14</v>
      </c>
      <c r="G3000" s="4" t="s">
        <v>41</v>
      </c>
      <c r="H3000" s="4">
        <v>5</v>
      </c>
      <c r="I3000" s="4">
        <v>2</v>
      </c>
      <c r="J3000" s="1">
        <v>45702</v>
      </c>
      <c r="K3000" s="2">
        <v>3.2466435185185182E-2</v>
      </c>
      <c r="M3000" s="4" t="str">
        <f t="shared" si="138"/>
        <v>LOW</v>
      </c>
      <c r="N3000" s="4" t="str" cm="1">
        <f t="array" ref="N3000">_xlfn.IFS(C3000&gt;35,"HIGH",C3000&gt;25,"MIDDLE",TRUE,"LOW")</f>
        <v>LOW</v>
      </c>
      <c r="O3000" s="4" t="str">
        <f t="shared" si="139"/>
        <v>OTHERS</v>
      </c>
      <c r="P3000" s="4" t="str">
        <f t="shared" si="140"/>
        <v>OTHERS</v>
      </c>
    </row>
    <row r="3001" spans="1:16" x14ac:dyDescent="0.3">
      <c r="A3001" s="4">
        <v>14</v>
      </c>
      <c r="B3001" t="s">
        <v>11</v>
      </c>
      <c r="C3001" s="4">
        <v>30.86</v>
      </c>
      <c r="D3001" t="s">
        <v>19</v>
      </c>
      <c r="E3001" t="s">
        <v>17</v>
      </c>
      <c r="F3001" s="4" t="s">
        <v>14</v>
      </c>
      <c r="G3001" s="4" t="s">
        <v>41</v>
      </c>
      <c r="H3001" s="4">
        <v>5</v>
      </c>
      <c r="I3001" s="4">
        <v>2</v>
      </c>
      <c r="J3001" s="1">
        <v>45702</v>
      </c>
      <c r="K3001" s="2">
        <v>4.0418981481481479E-2</v>
      </c>
      <c r="M3001" s="4" t="str">
        <f t="shared" si="138"/>
        <v>LOW</v>
      </c>
      <c r="N3001" s="4" t="str" cm="1">
        <f t="array" ref="N3001">_xlfn.IFS(C3001&gt;35,"HIGH",C3001&gt;25,"MIDDLE",TRUE,"LOW")</f>
        <v>MIDDLE</v>
      </c>
      <c r="O3001" s="4" t="str">
        <f t="shared" si="139"/>
        <v>OTHERS</v>
      </c>
      <c r="P3001" s="4" t="str">
        <f t="shared" si="140"/>
        <v>OTHERS</v>
      </c>
    </row>
    <row r="3002" spans="1:16" x14ac:dyDescent="0.3">
      <c r="A3002" s="4">
        <v>15</v>
      </c>
      <c r="B3002" t="s">
        <v>11</v>
      </c>
      <c r="C3002" s="4">
        <v>35.76</v>
      </c>
      <c r="D3002" t="s">
        <v>29</v>
      </c>
      <c r="E3002" t="s">
        <v>17</v>
      </c>
      <c r="F3002" s="4" t="s">
        <v>14</v>
      </c>
      <c r="G3002" s="4" t="s">
        <v>41</v>
      </c>
      <c r="H3002" s="4">
        <v>5</v>
      </c>
      <c r="I3002" s="4">
        <v>2</v>
      </c>
      <c r="J3002" s="1">
        <v>45702</v>
      </c>
      <c r="K3002" s="2">
        <v>1.9328703703703703E-4</v>
      </c>
      <c r="M3002" s="4" t="str">
        <f t="shared" si="138"/>
        <v>HIGH</v>
      </c>
      <c r="N3002" s="4" t="str" cm="1">
        <f t="array" ref="N3002">_xlfn.IFS(C3002&gt;35,"HIGH",C3002&gt;25,"MIDDLE",TRUE,"LOW")</f>
        <v>HIGH</v>
      </c>
      <c r="O3002" s="4" t="str">
        <f t="shared" si="139"/>
        <v>OTHERS</v>
      </c>
      <c r="P3002" s="4" t="str">
        <f t="shared" si="140"/>
        <v>PREMINUM MORNING</v>
      </c>
    </row>
    <row r="3003" spans="1:16" x14ac:dyDescent="0.3">
      <c r="A3003" s="4">
        <v>15</v>
      </c>
      <c r="B3003" t="s">
        <v>11</v>
      </c>
      <c r="C3003" s="4">
        <v>35.76</v>
      </c>
      <c r="D3003" t="s">
        <v>29</v>
      </c>
      <c r="E3003" t="s">
        <v>17</v>
      </c>
      <c r="F3003" s="4" t="s">
        <v>14</v>
      </c>
      <c r="G3003" s="4" t="s">
        <v>41</v>
      </c>
      <c r="H3003" s="4">
        <v>5</v>
      </c>
      <c r="I3003" s="4">
        <v>2</v>
      </c>
      <c r="J3003" s="1">
        <v>45702</v>
      </c>
      <c r="K3003" s="2">
        <v>2.5473379629629631E-2</v>
      </c>
      <c r="M3003" s="4" t="str">
        <f t="shared" si="138"/>
        <v>HIGH</v>
      </c>
      <c r="N3003" s="4" t="str" cm="1">
        <f t="array" ref="N3003">_xlfn.IFS(C3003&gt;35,"HIGH",C3003&gt;25,"MIDDLE",TRUE,"LOW")</f>
        <v>HIGH</v>
      </c>
      <c r="O3003" s="4" t="str">
        <f t="shared" si="139"/>
        <v>OTHERS</v>
      </c>
      <c r="P3003" s="4" t="str">
        <f t="shared" si="140"/>
        <v>PREMINUM MORNING</v>
      </c>
    </row>
    <row r="3004" spans="1:16" x14ac:dyDescent="0.3">
      <c r="A3004" s="4">
        <v>15</v>
      </c>
      <c r="B3004" t="s">
        <v>11</v>
      </c>
      <c r="C3004" s="4">
        <v>35.76</v>
      </c>
      <c r="D3004" t="s">
        <v>12</v>
      </c>
      <c r="E3004" t="s">
        <v>17</v>
      </c>
      <c r="F3004" s="4" t="s">
        <v>14</v>
      </c>
      <c r="G3004" s="4" t="s">
        <v>41</v>
      </c>
      <c r="H3004" s="4">
        <v>5</v>
      </c>
      <c r="I3004" s="4">
        <v>2</v>
      </c>
      <c r="J3004" s="1">
        <v>45702</v>
      </c>
      <c r="K3004" s="2">
        <v>2.6938657407407408E-2</v>
      </c>
      <c r="M3004" s="4" t="str">
        <f t="shared" si="138"/>
        <v>HIGH</v>
      </c>
      <c r="N3004" s="4" t="str" cm="1">
        <f t="array" ref="N3004">_xlfn.IFS(C3004&gt;35,"HIGH",C3004&gt;25,"MIDDLE",TRUE,"LOW")</f>
        <v>HIGH</v>
      </c>
      <c r="O3004" s="4" t="str">
        <f t="shared" si="139"/>
        <v>OTHERS</v>
      </c>
      <c r="P3004" s="4" t="str">
        <f t="shared" si="140"/>
        <v>PREMINUM MORNING</v>
      </c>
    </row>
    <row r="3005" spans="1:16" x14ac:dyDescent="0.3">
      <c r="A3005" s="4">
        <v>15</v>
      </c>
      <c r="B3005" t="s">
        <v>11</v>
      </c>
      <c r="C3005" s="4">
        <v>35.76</v>
      </c>
      <c r="D3005" t="s">
        <v>16</v>
      </c>
      <c r="E3005" t="s">
        <v>17</v>
      </c>
      <c r="F3005" s="4" t="s">
        <v>14</v>
      </c>
      <c r="G3005" s="4" t="s">
        <v>41</v>
      </c>
      <c r="H3005" s="4">
        <v>5</v>
      </c>
      <c r="I3005" s="4">
        <v>2</v>
      </c>
      <c r="J3005" s="1">
        <v>45702</v>
      </c>
      <c r="K3005" s="2">
        <v>3.7459490740740738E-2</v>
      </c>
      <c r="M3005" s="4" t="str">
        <f t="shared" si="138"/>
        <v>HIGH</v>
      </c>
      <c r="N3005" s="4" t="str" cm="1">
        <f t="array" ref="N3005">_xlfn.IFS(C3005&gt;35,"HIGH",C3005&gt;25,"MIDDLE",TRUE,"LOW")</f>
        <v>HIGH</v>
      </c>
      <c r="O3005" s="4" t="str">
        <f t="shared" si="139"/>
        <v>OTHERS</v>
      </c>
      <c r="P3005" s="4" t="str">
        <f t="shared" si="140"/>
        <v>PREMINUM MORNING</v>
      </c>
    </row>
    <row r="3006" spans="1:16" x14ac:dyDescent="0.3">
      <c r="A3006" s="4">
        <v>15</v>
      </c>
      <c r="B3006" t="s">
        <v>11</v>
      </c>
      <c r="C3006" s="4">
        <v>35.76</v>
      </c>
      <c r="D3006" t="s">
        <v>29</v>
      </c>
      <c r="E3006" t="s">
        <v>17</v>
      </c>
      <c r="F3006" s="4" t="s">
        <v>14</v>
      </c>
      <c r="G3006" s="4" t="s">
        <v>41</v>
      </c>
      <c r="H3006" s="4">
        <v>5</v>
      </c>
      <c r="I3006" s="4">
        <v>2</v>
      </c>
      <c r="J3006" s="1">
        <v>45702</v>
      </c>
      <c r="K3006" s="2">
        <v>3.8162037037037036E-2</v>
      </c>
      <c r="M3006" s="4" t="str">
        <f t="shared" si="138"/>
        <v>HIGH</v>
      </c>
      <c r="N3006" s="4" t="str" cm="1">
        <f t="array" ref="N3006">_xlfn.IFS(C3006&gt;35,"HIGH",C3006&gt;25,"MIDDLE",TRUE,"LOW")</f>
        <v>HIGH</v>
      </c>
      <c r="O3006" s="4" t="str">
        <f t="shared" si="139"/>
        <v>OTHERS</v>
      </c>
      <c r="P3006" s="4" t="str">
        <f t="shared" si="140"/>
        <v>PREMINUM MORNING</v>
      </c>
    </row>
    <row r="3007" spans="1:16" x14ac:dyDescent="0.3">
      <c r="A3007" s="4">
        <v>17</v>
      </c>
      <c r="B3007" t="s">
        <v>11</v>
      </c>
      <c r="C3007" s="4">
        <v>25.96</v>
      </c>
      <c r="D3007" t="s">
        <v>18</v>
      </c>
      <c r="E3007" t="s">
        <v>20</v>
      </c>
      <c r="F3007" s="4" t="s">
        <v>14</v>
      </c>
      <c r="G3007" s="4" t="s">
        <v>41</v>
      </c>
      <c r="H3007" s="4">
        <v>5</v>
      </c>
      <c r="I3007" s="4">
        <v>2</v>
      </c>
      <c r="J3007" s="1">
        <v>45702</v>
      </c>
      <c r="K3007" s="2">
        <v>2.2696759259259259E-3</v>
      </c>
      <c r="M3007" s="4" t="str">
        <f t="shared" si="138"/>
        <v>LOW</v>
      </c>
      <c r="N3007" s="4" t="str" cm="1">
        <f t="array" ref="N3007">_xlfn.IFS(C3007&gt;35,"HIGH",C3007&gt;25,"MIDDLE",TRUE,"LOW")</f>
        <v>MIDDLE</v>
      </c>
      <c r="O3007" s="4" t="str">
        <f t="shared" si="139"/>
        <v>OTHERS</v>
      </c>
      <c r="P3007" s="4" t="str">
        <f t="shared" si="140"/>
        <v>OTHERS</v>
      </c>
    </row>
    <row r="3008" spans="1:16" x14ac:dyDescent="0.3">
      <c r="A3008" s="4">
        <v>17</v>
      </c>
      <c r="B3008" t="s">
        <v>11</v>
      </c>
      <c r="C3008" s="4">
        <v>35.76</v>
      </c>
      <c r="D3008" t="s">
        <v>21</v>
      </c>
      <c r="E3008" t="s">
        <v>20</v>
      </c>
      <c r="F3008" s="4" t="s">
        <v>14</v>
      </c>
      <c r="G3008" s="4" t="s">
        <v>41</v>
      </c>
      <c r="H3008" s="4">
        <v>5</v>
      </c>
      <c r="I3008" s="4">
        <v>2</v>
      </c>
      <c r="J3008" s="1">
        <v>45702</v>
      </c>
      <c r="K3008" s="2">
        <v>3.119212962962963E-3</v>
      </c>
      <c r="M3008" s="4" t="str">
        <f t="shared" si="138"/>
        <v>HIGH</v>
      </c>
      <c r="N3008" s="4" t="str" cm="1">
        <f t="array" ref="N3008">_xlfn.IFS(C3008&gt;35,"HIGH",C3008&gt;25,"MIDDLE",TRUE,"LOW")</f>
        <v>HIGH</v>
      </c>
      <c r="O3008" s="4" t="str">
        <f t="shared" si="139"/>
        <v>OTHERS</v>
      </c>
      <c r="P3008" s="4" t="str">
        <f t="shared" si="140"/>
        <v>PREMINUM MORNING</v>
      </c>
    </row>
    <row r="3009" spans="1:16" x14ac:dyDescent="0.3">
      <c r="A3009" s="4">
        <v>17</v>
      </c>
      <c r="B3009" t="s">
        <v>11</v>
      </c>
      <c r="C3009" s="4">
        <v>21.06</v>
      </c>
      <c r="D3009" t="s">
        <v>26</v>
      </c>
      <c r="E3009" t="s">
        <v>20</v>
      </c>
      <c r="F3009" s="4" t="s">
        <v>14</v>
      </c>
      <c r="G3009" s="4" t="s">
        <v>41</v>
      </c>
      <c r="H3009" s="4">
        <v>5</v>
      </c>
      <c r="I3009" s="4">
        <v>2</v>
      </c>
      <c r="J3009" s="1">
        <v>45702</v>
      </c>
      <c r="K3009" s="2">
        <v>6.3379629629629636E-3</v>
      </c>
      <c r="M3009" s="4" t="str">
        <f t="shared" si="138"/>
        <v>LOW</v>
      </c>
      <c r="N3009" s="4" t="str" cm="1">
        <f t="array" ref="N3009">_xlfn.IFS(C3009&gt;35,"HIGH",C3009&gt;25,"MIDDLE",TRUE,"LOW")</f>
        <v>LOW</v>
      </c>
      <c r="O3009" s="4" t="str">
        <f t="shared" si="139"/>
        <v>OTHERS</v>
      </c>
      <c r="P3009" s="4" t="str">
        <f t="shared" si="140"/>
        <v>OTHERS</v>
      </c>
    </row>
    <row r="3010" spans="1:16" x14ac:dyDescent="0.3">
      <c r="A3010" s="4">
        <v>17</v>
      </c>
      <c r="B3010" t="s">
        <v>11</v>
      </c>
      <c r="C3010" s="4">
        <v>30.86</v>
      </c>
      <c r="D3010" t="s">
        <v>19</v>
      </c>
      <c r="E3010" t="s">
        <v>20</v>
      </c>
      <c r="F3010" s="4" t="s">
        <v>14</v>
      </c>
      <c r="G3010" s="4" t="s">
        <v>41</v>
      </c>
      <c r="H3010" s="4">
        <v>5</v>
      </c>
      <c r="I3010" s="4">
        <v>2</v>
      </c>
      <c r="J3010" s="1">
        <v>45702</v>
      </c>
      <c r="K3010" s="2">
        <v>1.7649305555555557E-2</v>
      </c>
      <c r="M3010" s="4" t="str">
        <f t="shared" si="138"/>
        <v>LOW</v>
      </c>
      <c r="N3010" s="4" t="str" cm="1">
        <f t="array" ref="N3010">_xlfn.IFS(C3010&gt;35,"HIGH",C3010&gt;25,"MIDDLE",TRUE,"LOW")</f>
        <v>MIDDLE</v>
      </c>
      <c r="O3010" s="4" t="str">
        <f t="shared" si="139"/>
        <v>OTHERS</v>
      </c>
      <c r="P3010" s="4" t="str">
        <f t="shared" si="140"/>
        <v>OTHERS</v>
      </c>
    </row>
    <row r="3011" spans="1:16" x14ac:dyDescent="0.3">
      <c r="A3011" s="4">
        <v>21</v>
      </c>
      <c r="B3011" t="s">
        <v>11</v>
      </c>
      <c r="C3011" s="4">
        <v>25.96</v>
      </c>
      <c r="D3011" t="s">
        <v>18</v>
      </c>
      <c r="E3011" t="s">
        <v>20</v>
      </c>
      <c r="F3011" s="4" t="s">
        <v>14</v>
      </c>
      <c r="G3011" s="4" t="s">
        <v>41</v>
      </c>
      <c r="H3011" s="4">
        <v>5</v>
      </c>
      <c r="I3011" s="4">
        <v>2</v>
      </c>
      <c r="J3011" s="1">
        <v>45702</v>
      </c>
      <c r="K3011" s="2">
        <v>1.2847222222222222E-2</v>
      </c>
      <c r="M3011" s="4" t="str">
        <f t="shared" ref="M3011:M3074" si="141">IF(C3011&gt;35,"HIGH","LOW")</f>
        <v>LOW</v>
      </c>
      <c r="N3011" s="4" t="str" cm="1">
        <f t="array" ref="N3011">_xlfn.IFS(C3011&gt;35,"HIGH",C3011&gt;25,"MIDDLE",TRUE,"LOW")</f>
        <v>MIDDLE</v>
      </c>
      <c r="O3011" s="4" t="str">
        <f t="shared" ref="O3011:O3074" si="142">IF(AND(C3011&gt;35,E3011="MORNING"),"PREMINUM MORNING","OTHERS")</f>
        <v>OTHERS</v>
      </c>
      <c r="P3011" s="4" t="str">
        <f t="shared" ref="P3011:P3074" si="143">IF(OR(C3011&gt;35,E3011="MORNING"),"PREMINUM MORNING","OTHERS")</f>
        <v>OTHERS</v>
      </c>
    </row>
    <row r="3012" spans="1:16" x14ac:dyDescent="0.3">
      <c r="A3012" s="4">
        <v>9</v>
      </c>
      <c r="B3012" t="s">
        <v>11</v>
      </c>
      <c r="C3012" s="4">
        <v>35.76</v>
      </c>
      <c r="D3012" t="s">
        <v>29</v>
      </c>
      <c r="E3012" t="s">
        <v>13</v>
      </c>
      <c r="F3012" s="4" t="s">
        <v>22</v>
      </c>
      <c r="G3012" s="4" t="s">
        <v>41</v>
      </c>
      <c r="H3012" s="4">
        <v>6</v>
      </c>
      <c r="I3012" s="4">
        <v>2</v>
      </c>
      <c r="J3012" s="1">
        <v>45703</v>
      </c>
      <c r="K3012" s="2">
        <v>1.5878472222222224E-2</v>
      </c>
      <c r="M3012" s="4" t="str">
        <f t="shared" si="141"/>
        <v>HIGH</v>
      </c>
      <c r="N3012" s="4" t="str" cm="1">
        <f t="array" ref="N3012">_xlfn.IFS(C3012&gt;35,"HIGH",C3012&gt;25,"MIDDLE",TRUE,"LOW")</f>
        <v>HIGH</v>
      </c>
      <c r="O3012" s="4" t="str">
        <f t="shared" si="142"/>
        <v>PREMINUM MORNING</v>
      </c>
      <c r="P3012" s="4" t="str">
        <f t="shared" si="143"/>
        <v>PREMINUM MORNING</v>
      </c>
    </row>
    <row r="3013" spans="1:16" x14ac:dyDescent="0.3">
      <c r="A3013" s="4">
        <v>12</v>
      </c>
      <c r="B3013" t="s">
        <v>11</v>
      </c>
      <c r="C3013" s="4">
        <v>35.76</v>
      </c>
      <c r="D3013" t="s">
        <v>29</v>
      </c>
      <c r="E3013" t="s">
        <v>17</v>
      </c>
      <c r="F3013" s="4" t="s">
        <v>22</v>
      </c>
      <c r="G3013" s="4" t="s">
        <v>41</v>
      </c>
      <c r="H3013" s="4">
        <v>6</v>
      </c>
      <c r="I3013" s="4">
        <v>2</v>
      </c>
      <c r="J3013" s="1">
        <v>45703</v>
      </c>
      <c r="K3013" s="2">
        <v>2.909490740740741E-2</v>
      </c>
      <c r="M3013" s="4" t="str">
        <f t="shared" si="141"/>
        <v>HIGH</v>
      </c>
      <c r="N3013" s="4" t="str" cm="1">
        <f t="array" ref="N3013">_xlfn.IFS(C3013&gt;35,"HIGH",C3013&gt;25,"MIDDLE",TRUE,"LOW")</f>
        <v>HIGH</v>
      </c>
      <c r="O3013" s="4" t="str">
        <f t="shared" si="142"/>
        <v>OTHERS</v>
      </c>
      <c r="P3013" s="4" t="str">
        <f t="shared" si="143"/>
        <v>PREMINUM MORNING</v>
      </c>
    </row>
    <row r="3014" spans="1:16" x14ac:dyDescent="0.3">
      <c r="A3014" s="4">
        <v>12</v>
      </c>
      <c r="B3014" t="s">
        <v>11</v>
      </c>
      <c r="C3014" s="4">
        <v>25.96</v>
      </c>
      <c r="D3014" t="s">
        <v>18</v>
      </c>
      <c r="E3014" t="s">
        <v>17</v>
      </c>
      <c r="F3014" s="4" t="s">
        <v>22</v>
      </c>
      <c r="G3014" s="4" t="s">
        <v>41</v>
      </c>
      <c r="H3014" s="4">
        <v>6</v>
      </c>
      <c r="I3014" s="4">
        <v>2</v>
      </c>
      <c r="J3014" s="1">
        <v>45703</v>
      </c>
      <c r="K3014" s="2">
        <v>3.0863425925925926E-2</v>
      </c>
      <c r="M3014" s="4" t="str">
        <f t="shared" si="141"/>
        <v>LOW</v>
      </c>
      <c r="N3014" s="4" t="str" cm="1">
        <f t="array" ref="N3014">_xlfn.IFS(C3014&gt;35,"HIGH",C3014&gt;25,"MIDDLE",TRUE,"LOW")</f>
        <v>MIDDLE</v>
      </c>
      <c r="O3014" s="4" t="str">
        <f t="shared" si="142"/>
        <v>OTHERS</v>
      </c>
      <c r="P3014" s="4" t="str">
        <f t="shared" si="143"/>
        <v>OTHERS</v>
      </c>
    </row>
    <row r="3015" spans="1:16" x14ac:dyDescent="0.3">
      <c r="A3015" s="4">
        <v>13</v>
      </c>
      <c r="B3015" t="s">
        <v>11</v>
      </c>
      <c r="C3015" s="4">
        <v>30.86</v>
      </c>
      <c r="D3015" t="s">
        <v>19</v>
      </c>
      <c r="E3015" t="s">
        <v>17</v>
      </c>
      <c r="F3015" s="4" t="s">
        <v>22</v>
      </c>
      <c r="G3015" s="4" t="s">
        <v>41</v>
      </c>
      <c r="H3015" s="4">
        <v>6</v>
      </c>
      <c r="I3015" s="4">
        <v>2</v>
      </c>
      <c r="J3015" s="1">
        <v>45703</v>
      </c>
      <c r="K3015" s="2">
        <v>1.6192129629629629E-3</v>
      </c>
      <c r="M3015" s="4" t="str">
        <f t="shared" si="141"/>
        <v>LOW</v>
      </c>
      <c r="N3015" s="4" t="str" cm="1">
        <f t="array" ref="N3015">_xlfn.IFS(C3015&gt;35,"HIGH",C3015&gt;25,"MIDDLE",TRUE,"LOW")</f>
        <v>MIDDLE</v>
      </c>
      <c r="O3015" s="4" t="str">
        <f t="shared" si="142"/>
        <v>OTHERS</v>
      </c>
      <c r="P3015" s="4" t="str">
        <f t="shared" si="143"/>
        <v>OTHERS</v>
      </c>
    </row>
    <row r="3016" spans="1:16" x14ac:dyDescent="0.3">
      <c r="A3016" s="4">
        <v>13</v>
      </c>
      <c r="B3016" t="s">
        <v>11</v>
      </c>
      <c r="C3016" s="4">
        <v>30.86</v>
      </c>
      <c r="D3016" t="s">
        <v>19</v>
      </c>
      <c r="E3016" t="s">
        <v>17</v>
      </c>
      <c r="F3016" s="4" t="s">
        <v>22</v>
      </c>
      <c r="G3016" s="4" t="s">
        <v>41</v>
      </c>
      <c r="H3016" s="4">
        <v>6</v>
      </c>
      <c r="I3016" s="4">
        <v>2</v>
      </c>
      <c r="J3016" s="1">
        <v>45703</v>
      </c>
      <c r="K3016" s="2">
        <v>2.2288194444444444E-2</v>
      </c>
      <c r="M3016" s="4" t="str">
        <f t="shared" si="141"/>
        <v>LOW</v>
      </c>
      <c r="N3016" s="4" t="str" cm="1">
        <f t="array" ref="N3016">_xlfn.IFS(C3016&gt;35,"HIGH",C3016&gt;25,"MIDDLE",TRUE,"LOW")</f>
        <v>MIDDLE</v>
      </c>
      <c r="O3016" s="4" t="str">
        <f t="shared" si="142"/>
        <v>OTHERS</v>
      </c>
      <c r="P3016" s="4" t="str">
        <f t="shared" si="143"/>
        <v>OTHERS</v>
      </c>
    </row>
    <row r="3017" spans="1:16" x14ac:dyDescent="0.3">
      <c r="A3017" s="4">
        <v>14</v>
      </c>
      <c r="B3017" t="s">
        <v>11</v>
      </c>
      <c r="C3017" s="4">
        <v>35.76</v>
      </c>
      <c r="D3017" t="s">
        <v>29</v>
      </c>
      <c r="E3017" t="s">
        <v>17</v>
      </c>
      <c r="F3017" s="4" t="s">
        <v>22</v>
      </c>
      <c r="G3017" s="4" t="s">
        <v>41</v>
      </c>
      <c r="H3017" s="4">
        <v>6</v>
      </c>
      <c r="I3017" s="4">
        <v>2</v>
      </c>
      <c r="J3017" s="1">
        <v>45703</v>
      </c>
      <c r="K3017" s="2">
        <v>1.2870370370370371E-3</v>
      </c>
      <c r="M3017" s="4" t="str">
        <f t="shared" si="141"/>
        <v>HIGH</v>
      </c>
      <c r="N3017" s="4" t="str" cm="1">
        <f t="array" ref="N3017">_xlfn.IFS(C3017&gt;35,"HIGH",C3017&gt;25,"MIDDLE",TRUE,"LOW")</f>
        <v>HIGH</v>
      </c>
      <c r="O3017" s="4" t="str">
        <f t="shared" si="142"/>
        <v>OTHERS</v>
      </c>
      <c r="P3017" s="4" t="str">
        <f t="shared" si="143"/>
        <v>PREMINUM MORNING</v>
      </c>
    </row>
    <row r="3018" spans="1:16" x14ac:dyDescent="0.3">
      <c r="A3018" s="4">
        <v>14</v>
      </c>
      <c r="B3018" t="s">
        <v>11</v>
      </c>
      <c r="C3018" s="4">
        <v>25.96</v>
      </c>
      <c r="D3018" t="s">
        <v>18</v>
      </c>
      <c r="E3018" t="s">
        <v>17</v>
      </c>
      <c r="F3018" s="4" t="s">
        <v>22</v>
      </c>
      <c r="G3018" s="4" t="s">
        <v>41</v>
      </c>
      <c r="H3018" s="4">
        <v>6</v>
      </c>
      <c r="I3018" s="4">
        <v>2</v>
      </c>
      <c r="J3018" s="1">
        <v>45703</v>
      </c>
      <c r="K3018" s="2">
        <v>8.262731481481482E-3</v>
      </c>
      <c r="M3018" s="4" t="str">
        <f t="shared" si="141"/>
        <v>LOW</v>
      </c>
      <c r="N3018" s="4" t="str" cm="1">
        <f t="array" ref="N3018">_xlfn.IFS(C3018&gt;35,"HIGH",C3018&gt;25,"MIDDLE",TRUE,"LOW")</f>
        <v>MIDDLE</v>
      </c>
      <c r="O3018" s="4" t="str">
        <f t="shared" si="142"/>
        <v>OTHERS</v>
      </c>
      <c r="P3018" s="4" t="str">
        <f t="shared" si="143"/>
        <v>OTHERS</v>
      </c>
    </row>
    <row r="3019" spans="1:16" x14ac:dyDescent="0.3">
      <c r="A3019" s="4">
        <v>15</v>
      </c>
      <c r="B3019" t="s">
        <v>11</v>
      </c>
      <c r="C3019" s="4">
        <v>35.76</v>
      </c>
      <c r="D3019" t="s">
        <v>16</v>
      </c>
      <c r="E3019" t="s">
        <v>17</v>
      </c>
      <c r="F3019" s="4" t="s">
        <v>22</v>
      </c>
      <c r="G3019" s="4" t="s">
        <v>41</v>
      </c>
      <c r="H3019" s="4">
        <v>6</v>
      </c>
      <c r="I3019" s="4">
        <v>2</v>
      </c>
      <c r="J3019" s="1">
        <v>45703</v>
      </c>
      <c r="K3019" s="2">
        <v>2.7866898148148148E-2</v>
      </c>
      <c r="M3019" s="4" t="str">
        <f t="shared" si="141"/>
        <v>HIGH</v>
      </c>
      <c r="N3019" s="4" t="str" cm="1">
        <f t="array" ref="N3019">_xlfn.IFS(C3019&gt;35,"HIGH",C3019&gt;25,"MIDDLE",TRUE,"LOW")</f>
        <v>HIGH</v>
      </c>
      <c r="O3019" s="4" t="str">
        <f t="shared" si="142"/>
        <v>OTHERS</v>
      </c>
      <c r="P3019" s="4" t="str">
        <f t="shared" si="143"/>
        <v>PREMINUM MORNING</v>
      </c>
    </row>
    <row r="3020" spans="1:16" x14ac:dyDescent="0.3">
      <c r="A3020" s="4">
        <v>15</v>
      </c>
      <c r="B3020" t="s">
        <v>11</v>
      </c>
      <c r="C3020" s="4">
        <v>35.76</v>
      </c>
      <c r="D3020" t="s">
        <v>16</v>
      </c>
      <c r="E3020" t="s">
        <v>17</v>
      </c>
      <c r="F3020" s="4" t="s">
        <v>22</v>
      </c>
      <c r="G3020" s="4" t="s">
        <v>41</v>
      </c>
      <c r="H3020" s="4">
        <v>6</v>
      </c>
      <c r="I3020" s="4">
        <v>2</v>
      </c>
      <c r="J3020" s="1">
        <v>45703</v>
      </c>
      <c r="K3020" s="2">
        <v>2.846527777777778E-2</v>
      </c>
      <c r="M3020" s="4" t="str">
        <f t="shared" si="141"/>
        <v>HIGH</v>
      </c>
      <c r="N3020" s="4" t="str" cm="1">
        <f t="array" ref="N3020">_xlfn.IFS(C3020&gt;35,"HIGH",C3020&gt;25,"MIDDLE",TRUE,"LOW")</f>
        <v>HIGH</v>
      </c>
      <c r="O3020" s="4" t="str">
        <f t="shared" si="142"/>
        <v>OTHERS</v>
      </c>
      <c r="P3020" s="4" t="str">
        <f t="shared" si="143"/>
        <v>PREMINUM MORNING</v>
      </c>
    </row>
    <row r="3021" spans="1:16" x14ac:dyDescent="0.3">
      <c r="A3021" s="4">
        <v>10</v>
      </c>
      <c r="B3021" t="s">
        <v>11</v>
      </c>
      <c r="C3021" s="4">
        <v>25.96</v>
      </c>
      <c r="D3021" t="s">
        <v>18</v>
      </c>
      <c r="E3021" t="s">
        <v>13</v>
      </c>
      <c r="F3021" s="4" t="s">
        <v>23</v>
      </c>
      <c r="G3021" s="4" t="s">
        <v>41</v>
      </c>
      <c r="H3021" s="4">
        <v>7</v>
      </c>
      <c r="I3021" s="4">
        <v>2</v>
      </c>
      <c r="J3021" s="1">
        <v>45704</v>
      </c>
      <c r="K3021" s="2">
        <v>3.2444444444444442E-2</v>
      </c>
      <c r="M3021" s="4" t="str">
        <f t="shared" si="141"/>
        <v>LOW</v>
      </c>
      <c r="N3021" s="4" t="str" cm="1">
        <f t="array" ref="N3021">_xlfn.IFS(C3021&gt;35,"HIGH",C3021&gt;25,"MIDDLE",TRUE,"LOW")</f>
        <v>MIDDLE</v>
      </c>
      <c r="O3021" s="4" t="str">
        <f t="shared" si="142"/>
        <v>OTHERS</v>
      </c>
      <c r="P3021" s="4" t="str">
        <f t="shared" si="143"/>
        <v>PREMINUM MORNING</v>
      </c>
    </row>
    <row r="3022" spans="1:16" x14ac:dyDescent="0.3">
      <c r="A3022" s="4">
        <v>10</v>
      </c>
      <c r="B3022" t="s">
        <v>11</v>
      </c>
      <c r="C3022" s="4">
        <v>25.96</v>
      </c>
      <c r="D3022" t="s">
        <v>18</v>
      </c>
      <c r="E3022" t="s">
        <v>13</v>
      </c>
      <c r="F3022" s="4" t="s">
        <v>23</v>
      </c>
      <c r="G3022" s="4" t="s">
        <v>41</v>
      </c>
      <c r="H3022" s="4">
        <v>7</v>
      </c>
      <c r="I3022" s="4">
        <v>2</v>
      </c>
      <c r="J3022" s="1">
        <v>45704</v>
      </c>
      <c r="K3022" s="2">
        <v>3.4729166666666665E-2</v>
      </c>
      <c r="M3022" s="4" t="str">
        <f t="shared" si="141"/>
        <v>LOW</v>
      </c>
      <c r="N3022" s="4" t="str" cm="1">
        <f t="array" ref="N3022">_xlfn.IFS(C3022&gt;35,"HIGH",C3022&gt;25,"MIDDLE",TRUE,"LOW")</f>
        <v>MIDDLE</v>
      </c>
      <c r="O3022" s="4" t="str">
        <f t="shared" si="142"/>
        <v>OTHERS</v>
      </c>
      <c r="P3022" s="4" t="str">
        <f t="shared" si="143"/>
        <v>PREMINUM MORNING</v>
      </c>
    </row>
    <row r="3023" spans="1:16" x14ac:dyDescent="0.3">
      <c r="A3023" s="4">
        <v>10</v>
      </c>
      <c r="B3023" t="s">
        <v>11</v>
      </c>
      <c r="C3023" s="4">
        <v>30.86</v>
      </c>
      <c r="D3023" t="s">
        <v>19</v>
      </c>
      <c r="E3023" t="s">
        <v>13</v>
      </c>
      <c r="F3023" s="4" t="s">
        <v>23</v>
      </c>
      <c r="G3023" s="4" t="s">
        <v>41</v>
      </c>
      <c r="H3023" s="4">
        <v>7</v>
      </c>
      <c r="I3023" s="4">
        <v>2</v>
      </c>
      <c r="J3023" s="1">
        <v>45704</v>
      </c>
      <c r="K3023" s="2">
        <v>3.546296296296296E-2</v>
      </c>
      <c r="M3023" s="4" t="str">
        <f t="shared" si="141"/>
        <v>LOW</v>
      </c>
      <c r="N3023" s="4" t="str" cm="1">
        <f t="array" ref="N3023">_xlfn.IFS(C3023&gt;35,"HIGH",C3023&gt;25,"MIDDLE",TRUE,"LOW")</f>
        <v>MIDDLE</v>
      </c>
      <c r="O3023" s="4" t="str">
        <f t="shared" si="142"/>
        <v>OTHERS</v>
      </c>
      <c r="P3023" s="4" t="str">
        <f t="shared" si="143"/>
        <v>PREMINUM MORNING</v>
      </c>
    </row>
    <row r="3024" spans="1:16" x14ac:dyDescent="0.3">
      <c r="A3024" s="4">
        <v>11</v>
      </c>
      <c r="B3024" t="s">
        <v>11</v>
      </c>
      <c r="C3024" s="4">
        <v>35.76</v>
      </c>
      <c r="D3024" t="s">
        <v>16</v>
      </c>
      <c r="E3024" t="s">
        <v>13</v>
      </c>
      <c r="F3024" s="4" t="s">
        <v>23</v>
      </c>
      <c r="G3024" s="4" t="s">
        <v>41</v>
      </c>
      <c r="H3024" s="4">
        <v>7</v>
      </c>
      <c r="I3024" s="4">
        <v>2</v>
      </c>
      <c r="J3024" s="1">
        <v>45704</v>
      </c>
      <c r="K3024" s="2">
        <v>3.3321759259259255E-3</v>
      </c>
      <c r="M3024" s="4" t="str">
        <f t="shared" si="141"/>
        <v>HIGH</v>
      </c>
      <c r="N3024" s="4" t="str" cm="1">
        <f t="array" ref="N3024">_xlfn.IFS(C3024&gt;35,"HIGH",C3024&gt;25,"MIDDLE",TRUE,"LOW")</f>
        <v>HIGH</v>
      </c>
      <c r="O3024" s="4" t="str">
        <f t="shared" si="142"/>
        <v>PREMINUM MORNING</v>
      </c>
      <c r="P3024" s="4" t="str">
        <f t="shared" si="143"/>
        <v>PREMINUM MORNING</v>
      </c>
    </row>
    <row r="3025" spans="1:16" x14ac:dyDescent="0.3">
      <c r="A3025" s="4">
        <v>11</v>
      </c>
      <c r="B3025" t="s">
        <v>11</v>
      </c>
      <c r="C3025" s="4">
        <v>25.96</v>
      </c>
      <c r="D3025" t="s">
        <v>18</v>
      </c>
      <c r="E3025" t="s">
        <v>13</v>
      </c>
      <c r="F3025" s="4" t="s">
        <v>23</v>
      </c>
      <c r="G3025" s="4" t="s">
        <v>41</v>
      </c>
      <c r="H3025" s="4">
        <v>7</v>
      </c>
      <c r="I3025" s="4">
        <v>2</v>
      </c>
      <c r="J3025" s="1">
        <v>45704</v>
      </c>
      <c r="K3025" s="2">
        <v>2.2559027777777775E-2</v>
      </c>
      <c r="M3025" s="4" t="str">
        <f t="shared" si="141"/>
        <v>LOW</v>
      </c>
      <c r="N3025" s="4" t="str" cm="1">
        <f t="array" ref="N3025">_xlfn.IFS(C3025&gt;35,"HIGH",C3025&gt;25,"MIDDLE",TRUE,"LOW")</f>
        <v>MIDDLE</v>
      </c>
      <c r="O3025" s="4" t="str">
        <f t="shared" si="142"/>
        <v>OTHERS</v>
      </c>
      <c r="P3025" s="4" t="str">
        <f t="shared" si="143"/>
        <v>PREMINUM MORNING</v>
      </c>
    </row>
    <row r="3026" spans="1:16" x14ac:dyDescent="0.3">
      <c r="A3026" s="4">
        <v>14</v>
      </c>
      <c r="B3026" t="s">
        <v>11</v>
      </c>
      <c r="C3026" s="4">
        <v>35.76</v>
      </c>
      <c r="D3026" t="s">
        <v>16</v>
      </c>
      <c r="E3026" t="s">
        <v>17</v>
      </c>
      <c r="F3026" s="4" t="s">
        <v>23</v>
      </c>
      <c r="G3026" s="4" t="s">
        <v>41</v>
      </c>
      <c r="H3026" s="4">
        <v>7</v>
      </c>
      <c r="I3026" s="4">
        <v>2</v>
      </c>
      <c r="J3026" s="1">
        <v>45704</v>
      </c>
      <c r="K3026" s="2">
        <v>1.0844907407407407E-2</v>
      </c>
      <c r="M3026" s="4" t="str">
        <f t="shared" si="141"/>
        <v>HIGH</v>
      </c>
      <c r="N3026" s="4" t="str" cm="1">
        <f t="array" ref="N3026">_xlfn.IFS(C3026&gt;35,"HIGH",C3026&gt;25,"MIDDLE",TRUE,"LOW")</f>
        <v>HIGH</v>
      </c>
      <c r="O3026" s="4" t="str">
        <f t="shared" si="142"/>
        <v>OTHERS</v>
      </c>
      <c r="P3026" s="4" t="str">
        <f t="shared" si="143"/>
        <v>PREMINUM MORNING</v>
      </c>
    </row>
    <row r="3027" spans="1:16" x14ac:dyDescent="0.3">
      <c r="A3027" s="4">
        <v>14</v>
      </c>
      <c r="B3027" t="s">
        <v>11</v>
      </c>
      <c r="C3027" s="4">
        <v>35.76</v>
      </c>
      <c r="D3027" t="s">
        <v>12</v>
      </c>
      <c r="E3027" t="s">
        <v>17</v>
      </c>
      <c r="F3027" s="4" t="s">
        <v>23</v>
      </c>
      <c r="G3027" s="4" t="s">
        <v>41</v>
      </c>
      <c r="H3027" s="4">
        <v>7</v>
      </c>
      <c r="I3027" s="4">
        <v>2</v>
      </c>
      <c r="J3027" s="1">
        <v>45704</v>
      </c>
      <c r="K3027" s="2">
        <v>1.1586805555555555E-2</v>
      </c>
      <c r="M3027" s="4" t="str">
        <f t="shared" si="141"/>
        <v>HIGH</v>
      </c>
      <c r="N3027" s="4" t="str" cm="1">
        <f t="array" ref="N3027">_xlfn.IFS(C3027&gt;35,"HIGH",C3027&gt;25,"MIDDLE",TRUE,"LOW")</f>
        <v>HIGH</v>
      </c>
      <c r="O3027" s="4" t="str">
        <f t="shared" si="142"/>
        <v>OTHERS</v>
      </c>
      <c r="P3027" s="4" t="str">
        <f t="shared" si="143"/>
        <v>PREMINUM MORNING</v>
      </c>
    </row>
    <row r="3028" spans="1:16" x14ac:dyDescent="0.3">
      <c r="A3028" s="4">
        <v>17</v>
      </c>
      <c r="B3028" t="s">
        <v>11</v>
      </c>
      <c r="C3028" s="4">
        <v>35.76</v>
      </c>
      <c r="D3028" t="s">
        <v>16</v>
      </c>
      <c r="E3028" t="s">
        <v>20</v>
      </c>
      <c r="F3028" s="4" t="s">
        <v>23</v>
      </c>
      <c r="G3028" s="4" t="s">
        <v>41</v>
      </c>
      <c r="H3028" s="4">
        <v>7</v>
      </c>
      <c r="I3028" s="4">
        <v>2</v>
      </c>
      <c r="J3028" s="1">
        <v>45704</v>
      </c>
      <c r="K3028" s="2">
        <v>8.6504629629629622E-3</v>
      </c>
      <c r="M3028" s="4" t="str">
        <f t="shared" si="141"/>
        <v>HIGH</v>
      </c>
      <c r="N3028" s="4" t="str" cm="1">
        <f t="array" ref="N3028">_xlfn.IFS(C3028&gt;35,"HIGH",C3028&gt;25,"MIDDLE",TRUE,"LOW")</f>
        <v>HIGH</v>
      </c>
      <c r="O3028" s="4" t="str">
        <f t="shared" si="142"/>
        <v>OTHERS</v>
      </c>
      <c r="P3028" s="4" t="str">
        <f t="shared" si="143"/>
        <v>PREMINUM MORNING</v>
      </c>
    </row>
    <row r="3029" spans="1:16" x14ac:dyDescent="0.3">
      <c r="A3029" s="4">
        <v>17</v>
      </c>
      <c r="B3029" t="s">
        <v>11</v>
      </c>
      <c r="C3029" s="4">
        <v>30.86</v>
      </c>
      <c r="D3029" t="s">
        <v>19</v>
      </c>
      <c r="E3029" t="s">
        <v>20</v>
      </c>
      <c r="F3029" s="4" t="s">
        <v>23</v>
      </c>
      <c r="G3029" s="4" t="s">
        <v>41</v>
      </c>
      <c r="H3029" s="4">
        <v>7</v>
      </c>
      <c r="I3029" s="4">
        <v>2</v>
      </c>
      <c r="J3029" s="1">
        <v>45704</v>
      </c>
      <c r="K3029" s="2">
        <v>9.4097222222222221E-3</v>
      </c>
      <c r="M3029" s="4" t="str">
        <f t="shared" si="141"/>
        <v>LOW</v>
      </c>
      <c r="N3029" s="4" t="str" cm="1">
        <f t="array" ref="N3029">_xlfn.IFS(C3029&gt;35,"HIGH",C3029&gt;25,"MIDDLE",TRUE,"LOW")</f>
        <v>MIDDLE</v>
      </c>
      <c r="O3029" s="4" t="str">
        <f t="shared" si="142"/>
        <v>OTHERS</v>
      </c>
      <c r="P3029" s="4" t="str">
        <f t="shared" si="143"/>
        <v>OTHERS</v>
      </c>
    </row>
    <row r="3030" spans="1:16" x14ac:dyDescent="0.3">
      <c r="A3030" s="4">
        <v>17</v>
      </c>
      <c r="B3030" t="s">
        <v>11</v>
      </c>
      <c r="C3030" s="4">
        <v>30.86</v>
      </c>
      <c r="D3030" t="s">
        <v>19</v>
      </c>
      <c r="E3030" t="s">
        <v>20</v>
      </c>
      <c r="F3030" s="4" t="s">
        <v>23</v>
      </c>
      <c r="G3030" s="4" t="s">
        <v>41</v>
      </c>
      <c r="H3030" s="4">
        <v>7</v>
      </c>
      <c r="I3030" s="4">
        <v>2</v>
      </c>
      <c r="J3030" s="1">
        <v>45704</v>
      </c>
      <c r="K3030" s="2">
        <v>3.0935185185185187E-2</v>
      </c>
      <c r="M3030" s="4" t="str">
        <f t="shared" si="141"/>
        <v>LOW</v>
      </c>
      <c r="N3030" s="4" t="str" cm="1">
        <f t="array" ref="N3030">_xlfn.IFS(C3030&gt;35,"HIGH",C3030&gt;25,"MIDDLE",TRUE,"LOW")</f>
        <v>MIDDLE</v>
      </c>
      <c r="O3030" s="4" t="str">
        <f t="shared" si="142"/>
        <v>OTHERS</v>
      </c>
      <c r="P3030" s="4" t="str">
        <f t="shared" si="143"/>
        <v>OTHERS</v>
      </c>
    </row>
    <row r="3031" spans="1:16" x14ac:dyDescent="0.3">
      <c r="A3031" s="4">
        <v>6</v>
      </c>
      <c r="B3031" t="s">
        <v>11</v>
      </c>
      <c r="C3031" s="4">
        <v>35.76</v>
      </c>
      <c r="D3031" t="s">
        <v>29</v>
      </c>
      <c r="E3031" t="s">
        <v>13</v>
      </c>
      <c r="F3031" s="4" t="s">
        <v>25</v>
      </c>
      <c r="G3031" s="4" t="s">
        <v>41</v>
      </c>
      <c r="H3031" s="4">
        <v>1</v>
      </c>
      <c r="I3031" s="4">
        <v>2</v>
      </c>
      <c r="J3031" s="1">
        <v>45705</v>
      </c>
      <c r="K3031" s="2">
        <v>3.4774305555555558E-2</v>
      </c>
      <c r="M3031" s="4" t="str">
        <f t="shared" si="141"/>
        <v>HIGH</v>
      </c>
      <c r="N3031" s="4" t="str" cm="1">
        <f t="array" ref="N3031">_xlfn.IFS(C3031&gt;35,"HIGH",C3031&gt;25,"MIDDLE",TRUE,"LOW")</f>
        <v>HIGH</v>
      </c>
      <c r="O3031" s="4" t="str">
        <f t="shared" si="142"/>
        <v>PREMINUM MORNING</v>
      </c>
      <c r="P3031" s="4" t="str">
        <f t="shared" si="143"/>
        <v>PREMINUM MORNING</v>
      </c>
    </row>
    <row r="3032" spans="1:16" x14ac:dyDescent="0.3">
      <c r="A3032" s="4">
        <v>8</v>
      </c>
      <c r="B3032" t="s">
        <v>11</v>
      </c>
      <c r="C3032" s="4">
        <v>25.96</v>
      </c>
      <c r="D3032" t="s">
        <v>18</v>
      </c>
      <c r="E3032" t="s">
        <v>13</v>
      </c>
      <c r="F3032" s="4" t="s">
        <v>25</v>
      </c>
      <c r="G3032" s="4" t="s">
        <v>41</v>
      </c>
      <c r="H3032" s="4">
        <v>1</v>
      </c>
      <c r="I3032" s="4">
        <v>2</v>
      </c>
      <c r="J3032" s="1">
        <v>45705</v>
      </c>
      <c r="K3032" s="2">
        <v>3.6965277777777777E-2</v>
      </c>
      <c r="M3032" s="4" t="str">
        <f t="shared" si="141"/>
        <v>LOW</v>
      </c>
      <c r="N3032" s="4" t="str" cm="1">
        <f t="array" ref="N3032">_xlfn.IFS(C3032&gt;35,"HIGH",C3032&gt;25,"MIDDLE",TRUE,"LOW")</f>
        <v>MIDDLE</v>
      </c>
      <c r="O3032" s="4" t="str">
        <f t="shared" si="142"/>
        <v>OTHERS</v>
      </c>
      <c r="P3032" s="4" t="str">
        <f t="shared" si="143"/>
        <v>PREMINUM MORNING</v>
      </c>
    </row>
    <row r="3033" spans="1:16" x14ac:dyDescent="0.3">
      <c r="A3033" s="4">
        <v>9</v>
      </c>
      <c r="B3033" t="s">
        <v>11</v>
      </c>
      <c r="C3033" s="4">
        <v>25.96</v>
      </c>
      <c r="D3033" t="s">
        <v>18</v>
      </c>
      <c r="E3033" t="s">
        <v>13</v>
      </c>
      <c r="F3033" s="4" t="s">
        <v>25</v>
      </c>
      <c r="G3033" s="4" t="s">
        <v>41</v>
      </c>
      <c r="H3033" s="4">
        <v>1</v>
      </c>
      <c r="I3033" s="4">
        <v>2</v>
      </c>
      <c r="J3033" s="1">
        <v>45705</v>
      </c>
      <c r="K3033" s="2">
        <v>6.3773148148148153E-4</v>
      </c>
      <c r="M3033" s="4" t="str">
        <f t="shared" si="141"/>
        <v>LOW</v>
      </c>
      <c r="N3033" s="4" t="str" cm="1">
        <f t="array" ref="N3033">_xlfn.IFS(C3033&gt;35,"HIGH",C3033&gt;25,"MIDDLE",TRUE,"LOW")</f>
        <v>MIDDLE</v>
      </c>
      <c r="O3033" s="4" t="str">
        <f t="shared" si="142"/>
        <v>OTHERS</v>
      </c>
      <c r="P3033" s="4" t="str">
        <f t="shared" si="143"/>
        <v>PREMINUM MORNING</v>
      </c>
    </row>
    <row r="3034" spans="1:16" x14ac:dyDescent="0.3">
      <c r="A3034" s="4">
        <v>9</v>
      </c>
      <c r="B3034" t="s">
        <v>11</v>
      </c>
      <c r="C3034" s="4">
        <v>30.86</v>
      </c>
      <c r="D3034" t="s">
        <v>19</v>
      </c>
      <c r="E3034" t="s">
        <v>13</v>
      </c>
      <c r="F3034" s="4" t="s">
        <v>25</v>
      </c>
      <c r="G3034" s="4" t="s">
        <v>41</v>
      </c>
      <c r="H3034" s="4">
        <v>1</v>
      </c>
      <c r="I3034" s="4">
        <v>2</v>
      </c>
      <c r="J3034" s="1">
        <v>45705</v>
      </c>
      <c r="K3034" s="2">
        <v>1.9520833333333331E-2</v>
      </c>
      <c r="M3034" s="4" t="str">
        <f t="shared" si="141"/>
        <v>LOW</v>
      </c>
      <c r="N3034" s="4" t="str" cm="1">
        <f t="array" ref="N3034">_xlfn.IFS(C3034&gt;35,"HIGH",C3034&gt;25,"MIDDLE",TRUE,"LOW")</f>
        <v>MIDDLE</v>
      </c>
      <c r="O3034" s="4" t="str">
        <f t="shared" si="142"/>
        <v>OTHERS</v>
      </c>
      <c r="P3034" s="4" t="str">
        <f t="shared" si="143"/>
        <v>PREMINUM MORNING</v>
      </c>
    </row>
    <row r="3035" spans="1:16" x14ac:dyDescent="0.3">
      <c r="A3035" s="4">
        <v>9</v>
      </c>
      <c r="B3035" t="s">
        <v>11</v>
      </c>
      <c r="C3035" s="4">
        <v>35.76</v>
      </c>
      <c r="D3035" t="s">
        <v>16</v>
      </c>
      <c r="E3035" t="s">
        <v>13</v>
      </c>
      <c r="F3035" s="4" t="s">
        <v>25</v>
      </c>
      <c r="G3035" s="4" t="s">
        <v>41</v>
      </c>
      <c r="H3035" s="4">
        <v>1</v>
      </c>
      <c r="I3035" s="4">
        <v>2</v>
      </c>
      <c r="J3035" s="1">
        <v>45705</v>
      </c>
      <c r="K3035" s="2">
        <v>3.9574074074074074E-2</v>
      </c>
      <c r="M3035" s="4" t="str">
        <f t="shared" si="141"/>
        <v>HIGH</v>
      </c>
      <c r="N3035" s="4" t="str" cm="1">
        <f t="array" ref="N3035">_xlfn.IFS(C3035&gt;35,"HIGH",C3035&gt;25,"MIDDLE",TRUE,"LOW")</f>
        <v>HIGH</v>
      </c>
      <c r="O3035" s="4" t="str">
        <f t="shared" si="142"/>
        <v>PREMINUM MORNING</v>
      </c>
      <c r="P3035" s="4" t="str">
        <f t="shared" si="143"/>
        <v>PREMINUM MORNING</v>
      </c>
    </row>
    <row r="3036" spans="1:16" x14ac:dyDescent="0.3">
      <c r="A3036" s="4">
        <v>10</v>
      </c>
      <c r="B3036" t="s">
        <v>11</v>
      </c>
      <c r="C3036" s="4">
        <v>30.86</v>
      </c>
      <c r="D3036" t="s">
        <v>19</v>
      </c>
      <c r="E3036" t="s">
        <v>13</v>
      </c>
      <c r="F3036" s="4" t="s">
        <v>25</v>
      </c>
      <c r="G3036" s="4" t="s">
        <v>41</v>
      </c>
      <c r="H3036" s="4">
        <v>1</v>
      </c>
      <c r="I3036" s="4">
        <v>2</v>
      </c>
      <c r="J3036" s="1">
        <v>45705</v>
      </c>
      <c r="K3036" s="2">
        <v>1.4028935185185184E-2</v>
      </c>
      <c r="M3036" s="4" t="str">
        <f t="shared" si="141"/>
        <v>LOW</v>
      </c>
      <c r="N3036" s="4" t="str" cm="1">
        <f t="array" ref="N3036">_xlfn.IFS(C3036&gt;35,"HIGH",C3036&gt;25,"MIDDLE",TRUE,"LOW")</f>
        <v>MIDDLE</v>
      </c>
      <c r="O3036" s="4" t="str">
        <f t="shared" si="142"/>
        <v>OTHERS</v>
      </c>
      <c r="P3036" s="4" t="str">
        <f t="shared" si="143"/>
        <v>PREMINUM MORNING</v>
      </c>
    </row>
    <row r="3037" spans="1:16" x14ac:dyDescent="0.3">
      <c r="A3037" s="4">
        <v>10</v>
      </c>
      <c r="B3037" t="s">
        <v>11</v>
      </c>
      <c r="C3037" s="4">
        <v>25.96</v>
      </c>
      <c r="D3037" t="s">
        <v>18</v>
      </c>
      <c r="E3037" t="s">
        <v>13</v>
      </c>
      <c r="F3037" s="4" t="s">
        <v>25</v>
      </c>
      <c r="G3037" s="4" t="s">
        <v>41</v>
      </c>
      <c r="H3037" s="4">
        <v>1</v>
      </c>
      <c r="I3037" s="4">
        <v>2</v>
      </c>
      <c r="J3037" s="1">
        <v>45705</v>
      </c>
      <c r="K3037" s="2">
        <v>3.111111111111111E-2</v>
      </c>
      <c r="M3037" s="4" t="str">
        <f t="shared" si="141"/>
        <v>LOW</v>
      </c>
      <c r="N3037" s="4" t="str" cm="1">
        <f t="array" ref="N3037">_xlfn.IFS(C3037&gt;35,"HIGH",C3037&gt;25,"MIDDLE",TRUE,"LOW")</f>
        <v>MIDDLE</v>
      </c>
      <c r="O3037" s="4" t="str">
        <f t="shared" si="142"/>
        <v>OTHERS</v>
      </c>
      <c r="P3037" s="4" t="str">
        <f t="shared" si="143"/>
        <v>PREMINUM MORNING</v>
      </c>
    </row>
    <row r="3038" spans="1:16" x14ac:dyDescent="0.3">
      <c r="A3038" s="4">
        <v>11</v>
      </c>
      <c r="B3038" t="s">
        <v>11</v>
      </c>
      <c r="C3038" s="4">
        <v>30.86</v>
      </c>
      <c r="D3038" t="s">
        <v>19</v>
      </c>
      <c r="E3038" t="s">
        <v>13</v>
      </c>
      <c r="F3038" s="4" t="s">
        <v>25</v>
      </c>
      <c r="G3038" s="4" t="s">
        <v>41</v>
      </c>
      <c r="H3038" s="4">
        <v>1</v>
      </c>
      <c r="I3038" s="4">
        <v>2</v>
      </c>
      <c r="J3038" s="1">
        <v>45705</v>
      </c>
      <c r="K3038" s="2">
        <v>3.7483796296296293E-2</v>
      </c>
      <c r="M3038" s="4" t="str">
        <f t="shared" si="141"/>
        <v>LOW</v>
      </c>
      <c r="N3038" s="4" t="str" cm="1">
        <f t="array" ref="N3038">_xlfn.IFS(C3038&gt;35,"HIGH",C3038&gt;25,"MIDDLE",TRUE,"LOW")</f>
        <v>MIDDLE</v>
      </c>
      <c r="O3038" s="4" t="str">
        <f t="shared" si="142"/>
        <v>OTHERS</v>
      </c>
      <c r="P3038" s="4" t="str">
        <f t="shared" si="143"/>
        <v>PREMINUM MORNING</v>
      </c>
    </row>
    <row r="3039" spans="1:16" x14ac:dyDescent="0.3">
      <c r="A3039" s="4">
        <v>11</v>
      </c>
      <c r="B3039" t="s">
        <v>11</v>
      </c>
      <c r="C3039" s="4">
        <v>21.06</v>
      </c>
      <c r="D3039" t="s">
        <v>26</v>
      </c>
      <c r="E3039" t="s">
        <v>13</v>
      </c>
      <c r="F3039" s="4" t="s">
        <v>25</v>
      </c>
      <c r="G3039" s="4" t="s">
        <v>41</v>
      </c>
      <c r="H3039" s="4">
        <v>1</v>
      </c>
      <c r="I3039" s="4">
        <v>2</v>
      </c>
      <c r="J3039" s="1">
        <v>45705</v>
      </c>
      <c r="K3039" s="2">
        <v>3.8219907407407404E-2</v>
      </c>
      <c r="M3039" s="4" t="str">
        <f t="shared" si="141"/>
        <v>LOW</v>
      </c>
      <c r="N3039" s="4" t="str" cm="1">
        <f t="array" ref="N3039">_xlfn.IFS(C3039&gt;35,"HIGH",C3039&gt;25,"MIDDLE",TRUE,"LOW")</f>
        <v>LOW</v>
      </c>
      <c r="O3039" s="4" t="str">
        <f t="shared" si="142"/>
        <v>OTHERS</v>
      </c>
      <c r="P3039" s="4" t="str">
        <f t="shared" si="143"/>
        <v>PREMINUM MORNING</v>
      </c>
    </row>
    <row r="3040" spans="1:16" x14ac:dyDescent="0.3">
      <c r="A3040" s="4">
        <v>12</v>
      </c>
      <c r="B3040" t="s">
        <v>11</v>
      </c>
      <c r="C3040" s="4">
        <v>35.76</v>
      </c>
      <c r="D3040" t="s">
        <v>29</v>
      </c>
      <c r="E3040" t="s">
        <v>17</v>
      </c>
      <c r="F3040" s="4" t="s">
        <v>25</v>
      </c>
      <c r="G3040" s="4" t="s">
        <v>41</v>
      </c>
      <c r="H3040" s="4">
        <v>1</v>
      </c>
      <c r="I3040" s="4">
        <v>2</v>
      </c>
      <c r="J3040" s="1">
        <v>45705</v>
      </c>
      <c r="K3040" s="2">
        <v>3.4008101851851852E-2</v>
      </c>
      <c r="M3040" s="4" t="str">
        <f t="shared" si="141"/>
        <v>HIGH</v>
      </c>
      <c r="N3040" s="4" t="str" cm="1">
        <f t="array" ref="N3040">_xlfn.IFS(C3040&gt;35,"HIGH",C3040&gt;25,"MIDDLE",TRUE,"LOW")</f>
        <v>HIGH</v>
      </c>
      <c r="O3040" s="4" t="str">
        <f t="shared" si="142"/>
        <v>OTHERS</v>
      </c>
      <c r="P3040" s="4" t="str">
        <f t="shared" si="143"/>
        <v>PREMINUM MORNING</v>
      </c>
    </row>
    <row r="3041" spans="1:16" x14ac:dyDescent="0.3">
      <c r="A3041" s="4">
        <v>14</v>
      </c>
      <c r="B3041" t="s">
        <v>11</v>
      </c>
      <c r="C3041" s="4">
        <v>35.76</v>
      </c>
      <c r="D3041" t="s">
        <v>12</v>
      </c>
      <c r="E3041" t="s">
        <v>17</v>
      </c>
      <c r="F3041" s="4" t="s">
        <v>25</v>
      </c>
      <c r="G3041" s="4" t="s">
        <v>41</v>
      </c>
      <c r="H3041" s="4">
        <v>1</v>
      </c>
      <c r="I3041" s="4">
        <v>2</v>
      </c>
      <c r="J3041" s="1">
        <v>45705</v>
      </c>
      <c r="K3041" s="2">
        <v>1.5994212962962964E-2</v>
      </c>
      <c r="M3041" s="4" t="str">
        <f t="shared" si="141"/>
        <v>HIGH</v>
      </c>
      <c r="N3041" s="4" t="str" cm="1">
        <f t="array" ref="N3041">_xlfn.IFS(C3041&gt;35,"HIGH",C3041&gt;25,"MIDDLE",TRUE,"LOW")</f>
        <v>HIGH</v>
      </c>
      <c r="O3041" s="4" t="str">
        <f t="shared" si="142"/>
        <v>OTHERS</v>
      </c>
      <c r="P3041" s="4" t="str">
        <f t="shared" si="143"/>
        <v>PREMINUM MORNING</v>
      </c>
    </row>
    <row r="3042" spans="1:16" x14ac:dyDescent="0.3">
      <c r="A3042" s="4">
        <v>15</v>
      </c>
      <c r="B3042" t="s">
        <v>11</v>
      </c>
      <c r="C3042" s="4">
        <v>30.86</v>
      </c>
      <c r="D3042" t="s">
        <v>19</v>
      </c>
      <c r="E3042" t="s">
        <v>17</v>
      </c>
      <c r="F3042" s="4" t="s">
        <v>25</v>
      </c>
      <c r="G3042" s="4" t="s">
        <v>41</v>
      </c>
      <c r="H3042" s="4">
        <v>1</v>
      </c>
      <c r="I3042" s="4">
        <v>2</v>
      </c>
      <c r="J3042" s="1">
        <v>45705</v>
      </c>
      <c r="K3042" s="2">
        <v>3.9548611111111113E-3</v>
      </c>
      <c r="M3042" s="4" t="str">
        <f t="shared" si="141"/>
        <v>LOW</v>
      </c>
      <c r="N3042" s="4" t="str" cm="1">
        <f t="array" ref="N3042">_xlfn.IFS(C3042&gt;35,"HIGH",C3042&gt;25,"MIDDLE",TRUE,"LOW")</f>
        <v>MIDDLE</v>
      </c>
      <c r="O3042" s="4" t="str">
        <f t="shared" si="142"/>
        <v>OTHERS</v>
      </c>
      <c r="P3042" s="4" t="str">
        <f t="shared" si="143"/>
        <v>OTHERS</v>
      </c>
    </row>
    <row r="3043" spans="1:16" x14ac:dyDescent="0.3">
      <c r="A3043" s="4">
        <v>15</v>
      </c>
      <c r="B3043" t="s">
        <v>11</v>
      </c>
      <c r="C3043" s="4">
        <v>35.76</v>
      </c>
      <c r="D3043" t="s">
        <v>12</v>
      </c>
      <c r="E3043" t="s">
        <v>17</v>
      </c>
      <c r="F3043" s="4" t="s">
        <v>25</v>
      </c>
      <c r="G3043" s="4" t="s">
        <v>41</v>
      </c>
      <c r="H3043" s="4">
        <v>1</v>
      </c>
      <c r="I3043" s="4">
        <v>2</v>
      </c>
      <c r="J3043" s="1">
        <v>45705</v>
      </c>
      <c r="K3043" s="2">
        <v>2.3143518518518518E-2</v>
      </c>
      <c r="M3043" s="4" t="str">
        <f t="shared" si="141"/>
        <v>HIGH</v>
      </c>
      <c r="N3043" s="4" t="str" cm="1">
        <f t="array" ref="N3043">_xlfn.IFS(C3043&gt;35,"HIGH",C3043&gt;25,"MIDDLE",TRUE,"LOW")</f>
        <v>HIGH</v>
      </c>
      <c r="O3043" s="4" t="str">
        <f t="shared" si="142"/>
        <v>OTHERS</v>
      </c>
      <c r="P3043" s="4" t="str">
        <f t="shared" si="143"/>
        <v>PREMINUM MORNING</v>
      </c>
    </row>
    <row r="3044" spans="1:16" x14ac:dyDescent="0.3">
      <c r="A3044" s="4">
        <v>16</v>
      </c>
      <c r="B3044" t="s">
        <v>11</v>
      </c>
      <c r="C3044" s="4">
        <v>21.06</v>
      </c>
      <c r="D3044" t="s">
        <v>26</v>
      </c>
      <c r="E3044" t="s">
        <v>17</v>
      </c>
      <c r="F3044" s="4" t="s">
        <v>25</v>
      </c>
      <c r="G3044" s="4" t="s">
        <v>41</v>
      </c>
      <c r="H3044" s="4">
        <v>1</v>
      </c>
      <c r="I3044" s="4">
        <v>2</v>
      </c>
      <c r="J3044" s="1">
        <v>45705</v>
      </c>
      <c r="K3044" s="2">
        <v>1.326851851851852E-2</v>
      </c>
      <c r="M3044" s="4" t="str">
        <f t="shared" si="141"/>
        <v>LOW</v>
      </c>
      <c r="N3044" s="4" t="str" cm="1">
        <f t="array" ref="N3044">_xlfn.IFS(C3044&gt;35,"HIGH",C3044&gt;25,"MIDDLE",TRUE,"LOW")</f>
        <v>LOW</v>
      </c>
      <c r="O3044" s="4" t="str">
        <f t="shared" si="142"/>
        <v>OTHERS</v>
      </c>
      <c r="P3044" s="4" t="str">
        <f t="shared" si="143"/>
        <v>OTHERS</v>
      </c>
    </row>
    <row r="3045" spans="1:16" x14ac:dyDescent="0.3">
      <c r="A3045" s="4">
        <v>16</v>
      </c>
      <c r="B3045" t="s">
        <v>11</v>
      </c>
      <c r="C3045" s="4">
        <v>25.96</v>
      </c>
      <c r="D3045" t="s">
        <v>18</v>
      </c>
      <c r="E3045" t="s">
        <v>17</v>
      </c>
      <c r="F3045" s="4" t="s">
        <v>25</v>
      </c>
      <c r="G3045" s="4" t="s">
        <v>41</v>
      </c>
      <c r="H3045" s="4">
        <v>1</v>
      </c>
      <c r="I3045" s="4">
        <v>2</v>
      </c>
      <c r="J3045" s="1">
        <v>45705</v>
      </c>
      <c r="K3045" s="2">
        <v>1.576388888888889E-2</v>
      </c>
      <c r="M3045" s="4" t="str">
        <f t="shared" si="141"/>
        <v>LOW</v>
      </c>
      <c r="N3045" s="4" t="str" cm="1">
        <f t="array" ref="N3045">_xlfn.IFS(C3045&gt;35,"HIGH",C3045&gt;25,"MIDDLE",TRUE,"LOW")</f>
        <v>MIDDLE</v>
      </c>
      <c r="O3045" s="4" t="str">
        <f t="shared" si="142"/>
        <v>OTHERS</v>
      </c>
      <c r="P3045" s="4" t="str">
        <f t="shared" si="143"/>
        <v>OTHERS</v>
      </c>
    </row>
    <row r="3046" spans="1:16" x14ac:dyDescent="0.3">
      <c r="A3046" s="4">
        <v>17</v>
      </c>
      <c r="B3046" t="s">
        <v>11</v>
      </c>
      <c r="C3046" s="4">
        <v>30.86</v>
      </c>
      <c r="D3046" t="s">
        <v>19</v>
      </c>
      <c r="E3046" t="s">
        <v>20</v>
      </c>
      <c r="F3046" s="4" t="s">
        <v>25</v>
      </c>
      <c r="G3046" s="4" t="s">
        <v>41</v>
      </c>
      <c r="H3046" s="4">
        <v>1</v>
      </c>
      <c r="I3046" s="4">
        <v>2</v>
      </c>
      <c r="J3046" s="1">
        <v>45705</v>
      </c>
      <c r="K3046" s="2">
        <v>2.1690972222222223E-2</v>
      </c>
      <c r="M3046" s="4" t="str">
        <f t="shared" si="141"/>
        <v>LOW</v>
      </c>
      <c r="N3046" s="4" t="str" cm="1">
        <f t="array" ref="N3046">_xlfn.IFS(C3046&gt;35,"HIGH",C3046&gt;25,"MIDDLE",TRUE,"LOW")</f>
        <v>MIDDLE</v>
      </c>
      <c r="O3046" s="4" t="str">
        <f t="shared" si="142"/>
        <v>OTHERS</v>
      </c>
      <c r="P3046" s="4" t="str">
        <f t="shared" si="143"/>
        <v>OTHERS</v>
      </c>
    </row>
    <row r="3047" spans="1:16" x14ac:dyDescent="0.3">
      <c r="A3047" s="4">
        <v>18</v>
      </c>
      <c r="B3047" t="s">
        <v>11</v>
      </c>
      <c r="C3047" s="4">
        <v>25.96</v>
      </c>
      <c r="D3047" t="s">
        <v>18</v>
      </c>
      <c r="E3047" t="s">
        <v>20</v>
      </c>
      <c r="F3047" s="4" t="s">
        <v>25</v>
      </c>
      <c r="G3047" s="4" t="s">
        <v>41</v>
      </c>
      <c r="H3047" s="4">
        <v>1</v>
      </c>
      <c r="I3047" s="4">
        <v>2</v>
      </c>
      <c r="J3047" s="1">
        <v>45705</v>
      </c>
      <c r="K3047" s="2">
        <v>1.6581018518518516E-2</v>
      </c>
      <c r="M3047" s="4" t="str">
        <f t="shared" si="141"/>
        <v>LOW</v>
      </c>
      <c r="N3047" s="4" t="str" cm="1">
        <f t="array" ref="N3047">_xlfn.IFS(C3047&gt;35,"HIGH",C3047&gt;25,"MIDDLE",TRUE,"LOW")</f>
        <v>MIDDLE</v>
      </c>
      <c r="O3047" s="4" t="str">
        <f t="shared" si="142"/>
        <v>OTHERS</v>
      </c>
      <c r="P3047" s="4" t="str">
        <f t="shared" si="143"/>
        <v>OTHERS</v>
      </c>
    </row>
    <row r="3048" spans="1:16" x14ac:dyDescent="0.3">
      <c r="A3048" s="4">
        <v>19</v>
      </c>
      <c r="B3048" t="s">
        <v>11</v>
      </c>
      <c r="C3048" s="4">
        <v>25.96</v>
      </c>
      <c r="D3048" t="s">
        <v>18</v>
      </c>
      <c r="E3048" t="s">
        <v>20</v>
      </c>
      <c r="F3048" s="4" t="s">
        <v>25</v>
      </c>
      <c r="G3048" s="4" t="s">
        <v>41</v>
      </c>
      <c r="H3048" s="4">
        <v>1</v>
      </c>
      <c r="I3048" s="4">
        <v>2</v>
      </c>
      <c r="J3048" s="1">
        <v>45705</v>
      </c>
      <c r="K3048" s="2">
        <v>9.6273148148148142E-3</v>
      </c>
      <c r="M3048" s="4" t="str">
        <f t="shared" si="141"/>
        <v>LOW</v>
      </c>
      <c r="N3048" s="4" t="str" cm="1">
        <f t="array" ref="N3048">_xlfn.IFS(C3048&gt;35,"HIGH",C3048&gt;25,"MIDDLE",TRUE,"LOW")</f>
        <v>MIDDLE</v>
      </c>
      <c r="O3048" s="4" t="str">
        <f t="shared" si="142"/>
        <v>OTHERS</v>
      </c>
      <c r="P3048" s="4" t="str">
        <f t="shared" si="143"/>
        <v>OTHERS</v>
      </c>
    </row>
    <row r="3049" spans="1:16" x14ac:dyDescent="0.3">
      <c r="A3049" s="4">
        <v>19</v>
      </c>
      <c r="B3049" t="s">
        <v>11</v>
      </c>
      <c r="C3049" s="4">
        <v>25.96</v>
      </c>
      <c r="D3049" t="s">
        <v>18</v>
      </c>
      <c r="E3049" t="s">
        <v>20</v>
      </c>
      <c r="F3049" s="4" t="s">
        <v>25</v>
      </c>
      <c r="G3049" s="4" t="s">
        <v>41</v>
      </c>
      <c r="H3049" s="4">
        <v>1</v>
      </c>
      <c r="I3049" s="4">
        <v>2</v>
      </c>
      <c r="J3049" s="1">
        <v>45705</v>
      </c>
      <c r="K3049" s="2">
        <v>1.0427083333333333E-2</v>
      </c>
      <c r="M3049" s="4" t="str">
        <f t="shared" si="141"/>
        <v>LOW</v>
      </c>
      <c r="N3049" s="4" t="str" cm="1">
        <f t="array" ref="N3049">_xlfn.IFS(C3049&gt;35,"HIGH",C3049&gt;25,"MIDDLE",TRUE,"LOW")</f>
        <v>MIDDLE</v>
      </c>
      <c r="O3049" s="4" t="str">
        <f t="shared" si="142"/>
        <v>OTHERS</v>
      </c>
      <c r="P3049" s="4" t="str">
        <f t="shared" si="143"/>
        <v>OTHERS</v>
      </c>
    </row>
    <row r="3050" spans="1:16" x14ac:dyDescent="0.3">
      <c r="A3050" s="4">
        <v>20</v>
      </c>
      <c r="B3050" t="s">
        <v>11</v>
      </c>
      <c r="C3050" s="4">
        <v>35.76</v>
      </c>
      <c r="D3050" t="s">
        <v>12</v>
      </c>
      <c r="E3050" t="s">
        <v>20</v>
      </c>
      <c r="F3050" s="4" t="s">
        <v>25</v>
      </c>
      <c r="G3050" s="4" t="s">
        <v>41</v>
      </c>
      <c r="H3050" s="4">
        <v>1</v>
      </c>
      <c r="I3050" s="4">
        <v>2</v>
      </c>
      <c r="J3050" s="1">
        <v>45705</v>
      </c>
      <c r="K3050" s="2">
        <v>1.2702546296296297E-2</v>
      </c>
      <c r="M3050" s="4" t="str">
        <f t="shared" si="141"/>
        <v>HIGH</v>
      </c>
      <c r="N3050" s="4" t="str" cm="1">
        <f t="array" ref="N3050">_xlfn.IFS(C3050&gt;35,"HIGH",C3050&gt;25,"MIDDLE",TRUE,"LOW")</f>
        <v>HIGH</v>
      </c>
      <c r="O3050" s="4" t="str">
        <f t="shared" si="142"/>
        <v>OTHERS</v>
      </c>
      <c r="P3050" s="4" t="str">
        <f t="shared" si="143"/>
        <v>PREMINUM MORNING</v>
      </c>
    </row>
    <row r="3051" spans="1:16" x14ac:dyDescent="0.3">
      <c r="A3051" s="4">
        <v>8</v>
      </c>
      <c r="B3051" t="s">
        <v>11</v>
      </c>
      <c r="C3051" s="4">
        <v>25.96</v>
      </c>
      <c r="D3051" t="s">
        <v>18</v>
      </c>
      <c r="E3051" t="s">
        <v>13</v>
      </c>
      <c r="F3051" s="4" t="s">
        <v>27</v>
      </c>
      <c r="G3051" s="4" t="s">
        <v>41</v>
      </c>
      <c r="H3051" s="4">
        <v>2</v>
      </c>
      <c r="I3051" s="4">
        <v>2</v>
      </c>
      <c r="J3051" s="1">
        <v>45706</v>
      </c>
      <c r="K3051" s="2">
        <v>3.6906249999999995E-2</v>
      </c>
      <c r="M3051" s="4" t="str">
        <f t="shared" si="141"/>
        <v>LOW</v>
      </c>
      <c r="N3051" s="4" t="str" cm="1">
        <f t="array" ref="N3051">_xlfn.IFS(C3051&gt;35,"HIGH",C3051&gt;25,"MIDDLE",TRUE,"LOW")</f>
        <v>MIDDLE</v>
      </c>
      <c r="O3051" s="4" t="str">
        <f t="shared" si="142"/>
        <v>OTHERS</v>
      </c>
      <c r="P3051" s="4" t="str">
        <f t="shared" si="143"/>
        <v>PREMINUM MORNING</v>
      </c>
    </row>
    <row r="3052" spans="1:16" x14ac:dyDescent="0.3">
      <c r="A3052" s="4">
        <v>8</v>
      </c>
      <c r="B3052" t="s">
        <v>11</v>
      </c>
      <c r="C3052" s="4">
        <v>25.96</v>
      </c>
      <c r="D3052" t="s">
        <v>18</v>
      </c>
      <c r="E3052" t="s">
        <v>13</v>
      </c>
      <c r="F3052" s="4" t="s">
        <v>27</v>
      </c>
      <c r="G3052" s="4" t="s">
        <v>41</v>
      </c>
      <c r="H3052" s="4">
        <v>2</v>
      </c>
      <c r="I3052" s="4">
        <v>2</v>
      </c>
      <c r="J3052" s="1">
        <v>45706</v>
      </c>
      <c r="K3052" s="2">
        <v>3.7667824074074076E-2</v>
      </c>
      <c r="M3052" s="4" t="str">
        <f t="shared" si="141"/>
        <v>LOW</v>
      </c>
      <c r="N3052" s="4" t="str" cm="1">
        <f t="array" ref="N3052">_xlfn.IFS(C3052&gt;35,"HIGH",C3052&gt;25,"MIDDLE",TRUE,"LOW")</f>
        <v>MIDDLE</v>
      </c>
      <c r="O3052" s="4" t="str">
        <f t="shared" si="142"/>
        <v>OTHERS</v>
      </c>
      <c r="P3052" s="4" t="str">
        <f t="shared" si="143"/>
        <v>PREMINUM MORNING</v>
      </c>
    </row>
    <row r="3053" spans="1:16" x14ac:dyDescent="0.3">
      <c r="A3053" s="4">
        <v>11</v>
      </c>
      <c r="B3053" t="s">
        <v>11</v>
      </c>
      <c r="C3053" s="4">
        <v>25.96</v>
      </c>
      <c r="D3053" t="s">
        <v>18</v>
      </c>
      <c r="E3053" t="s">
        <v>13</v>
      </c>
      <c r="F3053" s="4" t="s">
        <v>27</v>
      </c>
      <c r="G3053" s="4" t="s">
        <v>41</v>
      </c>
      <c r="H3053" s="4">
        <v>2</v>
      </c>
      <c r="I3053" s="4">
        <v>2</v>
      </c>
      <c r="J3053" s="1">
        <v>45706</v>
      </c>
      <c r="K3053" s="2">
        <v>5.2696759259259259E-3</v>
      </c>
      <c r="M3053" s="4" t="str">
        <f t="shared" si="141"/>
        <v>LOW</v>
      </c>
      <c r="N3053" s="4" t="str" cm="1">
        <f t="array" ref="N3053">_xlfn.IFS(C3053&gt;35,"HIGH",C3053&gt;25,"MIDDLE",TRUE,"LOW")</f>
        <v>MIDDLE</v>
      </c>
      <c r="O3053" s="4" t="str">
        <f t="shared" si="142"/>
        <v>OTHERS</v>
      </c>
      <c r="P3053" s="4" t="str">
        <f t="shared" si="143"/>
        <v>PREMINUM MORNING</v>
      </c>
    </row>
    <row r="3054" spans="1:16" x14ac:dyDescent="0.3">
      <c r="A3054" s="4">
        <v>11</v>
      </c>
      <c r="B3054" t="s">
        <v>11</v>
      </c>
      <c r="C3054" s="4">
        <v>25.96</v>
      </c>
      <c r="D3054" t="s">
        <v>18</v>
      </c>
      <c r="E3054" t="s">
        <v>13</v>
      </c>
      <c r="F3054" s="4" t="s">
        <v>27</v>
      </c>
      <c r="G3054" s="4" t="s">
        <v>41</v>
      </c>
      <c r="H3054" s="4">
        <v>2</v>
      </c>
      <c r="I3054" s="4">
        <v>2</v>
      </c>
      <c r="J3054" s="1">
        <v>45706</v>
      </c>
      <c r="K3054" s="2">
        <v>2.0905092592592593E-2</v>
      </c>
      <c r="M3054" s="4" t="str">
        <f t="shared" si="141"/>
        <v>LOW</v>
      </c>
      <c r="N3054" s="4" t="str" cm="1">
        <f t="array" ref="N3054">_xlfn.IFS(C3054&gt;35,"HIGH",C3054&gt;25,"MIDDLE",TRUE,"LOW")</f>
        <v>MIDDLE</v>
      </c>
      <c r="O3054" s="4" t="str">
        <f t="shared" si="142"/>
        <v>OTHERS</v>
      </c>
      <c r="P3054" s="4" t="str">
        <f t="shared" si="143"/>
        <v>PREMINUM MORNING</v>
      </c>
    </row>
    <row r="3055" spans="1:16" x14ac:dyDescent="0.3">
      <c r="A3055" s="4">
        <v>11</v>
      </c>
      <c r="B3055" t="s">
        <v>11</v>
      </c>
      <c r="C3055" s="4">
        <v>30.86</v>
      </c>
      <c r="D3055" t="s">
        <v>19</v>
      </c>
      <c r="E3055" t="s">
        <v>13</v>
      </c>
      <c r="F3055" s="4" t="s">
        <v>27</v>
      </c>
      <c r="G3055" s="4" t="s">
        <v>41</v>
      </c>
      <c r="H3055" s="4">
        <v>2</v>
      </c>
      <c r="I3055" s="4">
        <v>2</v>
      </c>
      <c r="J3055" s="1">
        <v>45706</v>
      </c>
      <c r="K3055" s="2">
        <v>2.6660879629629628E-2</v>
      </c>
      <c r="M3055" s="4" t="str">
        <f t="shared" si="141"/>
        <v>LOW</v>
      </c>
      <c r="N3055" s="4" t="str" cm="1">
        <f t="array" ref="N3055">_xlfn.IFS(C3055&gt;35,"HIGH",C3055&gt;25,"MIDDLE",TRUE,"LOW")</f>
        <v>MIDDLE</v>
      </c>
      <c r="O3055" s="4" t="str">
        <f t="shared" si="142"/>
        <v>OTHERS</v>
      </c>
      <c r="P3055" s="4" t="str">
        <f t="shared" si="143"/>
        <v>PREMINUM MORNING</v>
      </c>
    </row>
    <row r="3056" spans="1:16" x14ac:dyDescent="0.3">
      <c r="A3056" s="4">
        <v>12</v>
      </c>
      <c r="B3056" t="s">
        <v>11</v>
      </c>
      <c r="C3056" s="4">
        <v>30.86</v>
      </c>
      <c r="D3056" t="s">
        <v>19</v>
      </c>
      <c r="E3056" t="s">
        <v>17</v>
      </c>
      <c r="F3056" s="4" t="s">
        <v>27</v>
      </c>
      <c r="G3056" s="4" t="s">
        <v>41</v>
      </c>
      <c r="H3056" s="4">
        <v>2</v>
      </c>
      <c r="I3056" s="4">
        <v>2</v>
      </c>
      <c r="J3056" s="1">
        <v>45706</v>
      </c>
      <c r="K3056" s="2">
        <v>1.0724537037037038E-2</v>
      </c>
      <c r="M3056" s="4" t="str">
        <f t="shared" si="141"/>
        <v>LOW</v>
      </c>
      <c r="N3056" s="4" t="str" cm="1">
        <f t="array" ref="N3056">_xlfn.IFS(C3056&gt;35,"HIGH",C3056&gt;25,"MIDDLE",TRUE,"LOW")</f>
        <v>MIDDLE</v>
      </c>
      <c r="O3056" s="4" t="str">
        <f t="shared" si="142"/>
        <v>OTHERS</v>
      </c>
      <c r="P3056" s="4" t="str">
        <f t="shared" si="143"/>
        <v>OTHERS</v>
      </c>
    </row>
    <row r="3057" spans="1:16" x14ac:dyDescent="0.3">
      <c r="A3057" s="4">
        <v>13</v>
      </c>
      <c r="B3057" t="s">
        <v>11</v>
      </c>
      <c r="C3057" s="4">
        <v>35.76</v>
      </c>
      <c r="D3057" t="s">
        <v>21</v>
      </c>
      <c r="E3057" t="s">
        <v>17</v>
      </c>
      <c r="F3057" s="4" t="s">
        <v>27</v>
      </c>
      <c r="G3057" s="4" t="s">
        <v>41</v>
      </c>
      <c r="H3057" s="4">
        <v>2</v>
      </c>
      <c r="I3057" s="4">
        <v>2</v>
      </c>
      <c r="J3057" s="1">
        <v>45706</v>
      </c>
      <c r="K3057" s="2">
        <v>3.0925925925925925E-3</v>
      </c>
      <c r="M3057" s="4" t="str">
        <f t="shared" si="141"/>
        <v>HIGH</v>
      </c>
      <c r="N3057" s="4" t="str" cm="1">
        <f t="array" ref="N3057">_xlfn.IFS(C3057&gt;35,"HIGH",C3057&gt;25,"MIDDLE",TRUE,"LOW")</f>
        <v>HIGH</v>
      </c>
      <c r="O3057" s="4" t="str">
        <f t="shared" si="142"/>
        <v>OTHERS</v>
      </c>
      <c r="P3057" s="4" t="str">
        <f t="shared" si="143"/>
        <v>PREMINUM MORNING</v>
      </c>
    </row>
    <row r="3058" spans="1:16" x14ac:dyDescent="0.3">
      <c r="A3058" s="4">
        <v>13</v>
      </c>
      <c r="B3058" t="s">
        <v>11</v>
      </c>
      <c r="C3058" s="4">
        <v>25.96</v>
      </c>
      <c r="D3058" t="s">
        <v>18</v>
      </c>
      <c r="E3058" t="s">
        <v>17</v>
      </c>
      <c r="F3058" s="4" t="s">
        <v>27</v>
      </c>
      <c r="G3058" s="4" t="s">
        <v>41</v>
      </c>
      <c r="H3058" s="4">
        <v>2</v>
      </c>
      <c r="I3058" s="4">
        <v>2</v>
      </c>
      <c r="J3058" s="1">
        <v>45706</v>
      </c>
      <c r="K3058" s="2">
        <v>1.7883101851851851E-2</v>
      </c>
      <c r="M3058" s="4" t="str">
        <f t="shared" si="141"/>
        <v>LOW</v>
      </c>
      <c r="N3058" s="4" t="str" cm="1">
        <f t="array" ref="N3058">_xlfn.IFS(C3058&gt;35,"HIGH",C3058&gt;25,"MIDDLE",TRUE,"LOW")</f>
        <v>MIDDLE</v>
      </c>
      <c r="O3058" s="4" t="str">
        <f t="shared" si="142"/>
        <v>OTHERS</v>
      </c>
      <c r="P3058" s="4" t="str">
        <f t="shared" si="143"/>
        <v>OTHERS</v>
      </c>
    </row>
    <row r="3059" spans="1:16" x14ac:dyDescent="0.3">
      <c r="A3059" s="4">
        <v>13</v>
      </c>
      <c r="B3059" t="s">
        <v>11</v>
      </c>
      <c r="C3059" s="4">
        <v>30.86</v>
      </c>
      <c r="D3059" t="s">
        <v>19</v>
      </c>
      <c r="E3059" t="s">
        <v>17</v>
      </c>
      <c r="F3059" s="4" t="s">
        <v>27</v>
      </c>
      <c r="G3059" s="4" t="s">
        <v>41</v>
      </c>
      <c r="H3059" s="4">
        <v>2</v>
      </c>
      <c r="I3059" s="4">
        <v>2</v>
      </c>
      <c r="J3059" s="1">
        <v>45706</v>
      </c>
      <c r="K3059" s="2">
        <v>1.8811342592592591E-2</v>
      </c>
      <c r="M3059" s="4" t="str">
        <f t="shared" si="141"/>
        <v>LOW</v>
      </c>
      <c r="N3059" s="4" t="str" cm="1">
        <f t="array" ref="N3059">_xlfn.IFS(C3059&gt;35,"HIGH",C3059&gt;25,"MIDDLE",TRUE,"LOW")</f>
        <v>MIDDLE</v>
      </c>
      <c r="O3059" s="4" t="str">
        <f t="shared" si="142"/>
        <v>OTHERS</v>
      </c>
      <c r="P3059" s="4" t="str">
        <f t="shared" si="143"/>
        <v>OTHERS</v>
      </c>
    </row>
    <row r="3060" spans="1:16" x14ac:dyDescent="0.3">
      <c r="A3060" s="4">
        <v>17</v>
      </c>
      <c r="B3060" t="s">
        <v>11</v>
      </c>
      <c r="C3060" s="4">
        <v>35.76</v>
      </c>
      <c r="D3060" t="s">
        <v>16</v>
      </c>
      <c r="E3060" t="s">
        <v>20</v>
      </c>
      <c r="F3060" s="4" t="s">
        <v>27</v>
      </c>
      <c r="G3060" s="4" t="s">
        <v>41</v>
      </c>
      <c r="H3060" s="4">
        <v>2</v>
      </c>
      <c r="I3060" s="4">
        <v>2</v>
      </c>
      <c r="J3060" s="1">
        <v>45706</v>
      </c>
      <c r="K3060" s="2">
        <v>3.7962962962962963E-3</v>
      </c>
      <c r="M3060" s="4" t="str">
        <f t="shared" si="141"/>
        <v>HIGH</v>
      </c>
      <c r="N3060" s="4" t="str" cm="1">
        <f t="array" ref="N3060">_xlfn.IFS(C3060&gt;35,"HIGH",C3060&gt;25,"MIDDLE",TRUE,"LOW")</f>
        <v>HIGH</v>
      </c>
      <c r="O3060" s="4" t="str">
        <f t="shared" si="142"/>
        <v>OTHERS</v>
      </c>
      <c r="P3060" s="4" t="str">
        <f t="shared" si="143"/>
        <v>PREMINUM MORNING</v>
      </c>
    </row>
    <row r="3061" spans="1:16" x14ac:dyDescent="0.3">
      <c r="A3061" s="4">
        <v>17</v>
      </c>
      <c r="B3061" t="s">
        <v>11</v>
      </c>
      <c r="C3061" s="4">
        <v>30.86</v>
      </c>
      <c r="D3061" t="s">
        <v>19</v>
      </c>
      <c r="E3061" t="s">
        <v>20</v>
      </c>
      <c r="F3061" s="4" t="s">
        <v>27</v>
      </c>
      <c r="G3061" s="4" t="s">
        <v>41</v>
      </c>
      <c r="H3061" s="4">
        <v>2</v>
      </c>
      <c r="I3061" s="4">
        <v>2</v>
      </c>
      <c r="J3061" s="1">
        <v>45706</v>
      </c>
      <c r="K3061" s="2">
        <v>5.7789351851851856E-3</v>
      </c>
      <c r="M3061" s="4" t="str">
        <f t="shared" si="141"/>
        <v>LOW</v>
      </c>
      <c r="N3061" s="4" t="str" cm="1">
        <f t="array" ref="N3061">_xlfn.IFS(C3061&gt;35,"HIGH",C3061&gt;25,"MIDDLE",TRUE,"LOW")</f>
        <v>MIDDLE</v>
      </c>
      <c r="O3061" s="4" t="str">
        <f t="shared" si="142"/>
        <v>OTHERS</v>
      </c>
      <c r="P3061" s="4" t="str">
        <f t="shared" si="143"/>
        <v>OTHERS</v>
      </c>
    </row>
    <row r="3062" spans="1:16" x14ac:dyDescent="0.3">
      <c r="A3062" s="4">
        <v>17</v>
      </c>
      <c r="B3062" t="s">
        <v>11</v>
      </c>
      <c r="C3062" s="4">
        <v>21.06</v>
      </c>
      <c r="D3062" t="s">
        <v>26</v>
      </c>
      <c r="E3062" t="s">
        <v>20</v>
      </c>
      <c r="F3062" s="4" t="s">
        <v>27</v>
      </c>
      <c r="G3062" s="4" t="s">
        <v>41</v>
      </c>
      <c r="H3062" s="4">
        <v>2</v>
      </c>
      <c r="I3062" s="4">
        <v>2</v>
      </c>
      <c r="J3062" s="1">
        <v>45706</v>
      </c>
      <c r="K3062" s="2">
        <v>6.4502314814814813E-3</v>
      </c>
      <c r="M3062" s="4" t="str">
        <f t="shared" si="141"/>
        <v>LOW</v>
      </c>
      <c r="N3062" s="4" t="str" cm="1">
        <f t="array" ref="N3062">_xlfn.IFS(C3062&gt;35,"HIGH",C3062&gt;25,"MIDDLE",TRUE,"LOW")</f>
        <v>LOW</v>
      </c>
      <c r="O3062" s="4" t="str">
        <f t="shared" si="142"/>
        <v>OTHERS</v>
      </c>
      <c r="P3062" s="4" t="str">
        <f t="shared" si="143"/>
        <v>OTHERS</v>
      </c>
    </row>
    <row r="3063" spans="1:16" x14ac:dyDescent="0.3">
      <c r="A3063" s="4">
        <v>17</v>
      </c>
      <c r="B3063" t="s">
        <v>11</v>
      </c>
      <c r="C3063" s="4">
        <v>35.76</v>
      </c>
      <c r="D3063" t="s">
        <v>21</v>
      </c>
      <c r="E3063" t="s">
        <v>20</v>
      </c>
      <c r="F3063" s="4" t="s">
        <v>27</v>
      </c>
      <c r="G3063" s="4" t="s">
        <v>41</v>
      </c>
      <c r="H3063" s="4">
        <v>2</v>
      </c>
      <c r="I3063" s="4">
        <v>2</v>
      </c>
      <c r="J3063" s="1">
        <v>45706</v>
      </c>
      <c r="K3063" s="2">
        <v>7.2094907407407403E-3</v>
      </c>
      <c r="M3063" s="4" t="str">
        <f t="shared" si="141"/>
        <v>HIGH</v>
      </c>
      <c r="N3063" s="4" t="str" cm="1">
        <f t="array" ref="N3063">_xlfn.IFS(C3063&gt;35,"HIGH",C3063&gt;25,"MIDDLE",TRUE,"LOW")</f>
        <v>HIGH</v>
      </c>
      <c r="O3063" s="4" t="str">
        <f t="shared" si="142"/>
        <v>OTHERS</v>
      </c>
      <c r="P3063" s="4" t="str">
        <f t="shared" si="143"/>
        <v>PREMINUM MORNING</v>
      </c>
    </row>
    <row r="3064" spans="1:16" x14ac:dyDescent="0.3">
      <c r="A3064" s="4">
        <v>17</v>
      </c>
      <c r="B3064" t="s">
        <v>11</v>
      </c>
      <c r="C3064" s="4">
        <v>35.76</v>
      </c>
      <c r="D3064" t="s">
        <v>21</v>
      </c>
      <c r="E3064" t="s">
        <v>20</v>
      </c>
      <c r="F3064" s="4" t="s">
        <v>27</v>
      </c>
      <c r="G3064" s="4" t="s">
        <v>41</v>
      </c>
      <c r="H3064" s="4">
        <v>2</v>
      </c>
      <c r="I3064" s="4">
        <v>2</v>
      </c>
      <c r="J3064" s="1">
        <v>45706</v>
      </c>
      <c r="K3064" s="2">
        <v>8.0520833333333347E-3</v>
      </c>
      <c r="M3064" s="4" t="str">
        <f t="shared" si="141"/>
        <v>HIGH</v>
      </c>
      <c r="N3064" s="4" t="str" cm="1">
        <f t="array" ref="N3064">_xlfn.IFS(C3064&gt;35,"HIGH",C3064&gt;25,"MIDDLE",TRUE,"LOW")</f>
        <v>HIGH</v>
      </c>
      <c r="O3064" s="4" t="str">
        <f t="shared" si="142"/>
        <v>OTHERS</v>
      </c>
      <c r="P3064" s="4" t="str">
        <f t="shared" si="143"/>
        <v>PREMINUM MORNING</v>
      </c>
    </row>
    <row r="3065" spans="1:16" x14ac:dyDescent="0.3">
      <c r="A3065" s="4">
        <v>19</v>
      </c>
      <c r="B3065" t="s">
        <v>11</v>
      </c>
      <c r="C3065" s="4">
        <v>35.76</v>
      </c>
      <c r="D3065" t="s">
        <v>21</v>
      </c>
      <c r="E3065" t="s">
        <v>20</v>
      </c>
      <c r="F3065" s="4" t="s">
        <v>27</v>
      </c>
      <c r="G3065" s="4" t="s">
        <v>41</v>
      </c>
      <c r="H3065" s="4">
        <v>2</v>
      </c>
      <c r="I3065" s="4">
        <v>2</v>
      </c>
      <c r="J3065" s="1">
        <v>45706</v>
      </c>
      <c r="K3065" s="2">
        <v>2.5315972222222226E-2</v>
      </c>
      <c r="M3065" s="4" t="str">
        <f t="shared" si="141"/>
        <v>HIGH</v>
      </c>
      <c r="N3065" s="4" t="str" cm="1">
        <f t="array" ref="N3065">_xlfn.IFS(C3065&gt;35,"HIGH",C3065&gt;25,"MIDDLE",TRUE,"LOW")</f>
        <v>HIGH</v>
      </c>
      <c r="O3065" s="4" t="str">
        <f t="shared" si="142"/>
        <v>OTHERS</v>
      </c>
      <c r="P3065" s="4" t="str">
        <f t="shared" si="143"/>
        <v>PREMINUM MORNING</v>
      </c>
    </row>
    <row r="3066" spans="1:16" x14ac:dyDescent="0.3">
      <c r="A3066" s="4">
        <v>20</v>
      </c>
      <c r="B3066" t="s">
        <v>11</v>
      </c>
      <c r="C3066" s="4">
        <v>35.76</v>
      </c>
      <c r="D3066" t="s">
        <v>21</v>
      </c>
      <c r="E3066" t="s">
        <v>20</v>
      </c>
      <c r="F3066" s="4" t="s">
        <v>27</v>
      </c>
      <c r="G3066" s="4" t="s">
        <v>41</v>
      </c>
      <c r="H3066" s="4">
        <v>2</v>
      </c>
      <c r="I3066" s="4">
        <v>2</v>
      </c>
      <c r="J3066" s="1">
        <v>45706</v>
      </c>
      <c r="K3066" s="2">
        <v>4.8171296296296295E-3</v>
      </c>
      <c r="M3066" s="4" t="str">
        <f t="shared" si="141"/>
        <v>HIGH</v>
      </c>
      <c r="N3066" s="4" t="str" cm="1">
        <f t="array" ref="N3066">_xlfn.IFS(C3066&gt;35,"HIGH",C3066&gt;25,"MIDDLE",TRUE,"LOW")</f>
        <v>HIGH</v>
      </c>
      <c r="O3066" s="4" t="str">
        <f t="shared" si="142"/>
        <v>OTHERS</v>
      </c>
      <c r="P3066" s="4" t="str">
        <f t="shared" si="143"/>
        <v>PREMINUM MORNING</v>
      </c>
    </row>
    <row r="3067" spans="1:16" x14ac:dyDescent="0.3">
      <c r="A3067" s="4">
        <v>20</v>
      </c>
      <c r="B3067" t="s">
        <v>11</v>
      </c>
      <c r="C3067" s="4">
        <v>35.76</v>
      </c>
      <c r="D3067" t="s">
        <v>16</v>
      </c>
      <c r="E3067" t="s">
        <v>20</v>
      </c>
      <c r="F3067" s="4" t="s">
        <v>27</v>
      </c>
      <c r="G3067" s="4" t="s">
        <v>41</v>
      </c>
      <c r="H3067" s="4">
        <v>2</v>
      </c>
      <c r="I3067" s="4">
        <v>2</v>
      </c>
      <c r="J3067" s="1">
        <v>45706</v>
      </c>
      <c r="K3067" s="2">
        <v>4.0423611111111112E-2</v>
      </c>
      <c r="M3067" s="4" t="str">
        <f t="shared" si="141"/>
        <v>HIGH</v>
      </c>
      <c r="N3067" s="4" t="str" cm="1">
        <f t="array" ref="N3067">_xlfn.IFS(C3067&gt;35,"HIGH",C3067&gt;25,"MIDDLE",TRUE,"LOW")</f>
        <v>HIGH</v>
      </c>
      <c r="O3067" s="4" t="str">
        <f t="shared" si="142"/>
        <v>OTHERS</v>
      </c>
      <c r="P3067" s="4" t="str">
        <f t="shared" si="143"/>
        <v>PREMINUM MORNING</v>
      </c>
    </row>
    <row r="3068" spans="1:16" x14ac:dyDescent="0.3">
      <c r="A3068" s="4">
        <v>21</v>
      </c>
      <c r="B3068" t="s">
        <v>11</v>
      </c>
      <c r="C3068" s="4">
        <v>30.86</v>
      </c>
      <c r="D3068" t="s">
        <v>19</v>
      </c>
      <c r="E3068" t="s">
        <v>20</v>
      </c>
      <c r="F3068" s="4" t="s">
        <v>27</v>
      </c>
      <c r="G3068" s="4" t="s">
        <v>41</v>
      </c>
      <c r="H3068" s="4">
        <v>2</v>
      </c>
      <c r="I3068" s="4">
        <v>2</v>
      </c>
      <c r="J3068" s="1">
        <v>45706</v>
      </c>
      <c r="K3068" s="2">
        <v>1.3842592592592591E-3</v>
      </c>
      <c r="M3068" s="4" t="str">
        <f t="shared" si="141"/>
        <v>LOW</v>
      </c>
      <c r="N3068" s="4" t="str" cm="1">
        <f t="array" ref="N3068">_xlfn.IFS(C3068&gt;35,"HIGH",C3068&gt;25,"MIDDLE",TRUE,"LOW")</f>
        <v>MIDDLE</v>
      </c>
      <c r="O3068" s="4" t="str">
        <f t="shared" si="142"/>
        <v>OTHERS</v>
      </c>
      <c r="P3068" s="4" t="str">
        <f t="shared" si="143"/>
        <v>OTHERS</v>
      </c>
    </row>
    <row r="3069" spans="1:16" x14ac:dyDescent="0.3">
      <c r="A3069" s="4">
        <v>8</v>
      </c>
      <c r="B3069" t="s">
        <v>11</v>
      </c>
      <c r="C3069" s="4">
        <v>35.76</v>
      </c>
      <c r="D3069" t="s">
        <v>29</v>
      </c>
      <c r="E3069" t="s">
        <v>13</v>
      </c>
      <c r="F3069" s="4" t="s">
        <v>28</v>
      </c>
      <c r="G3069" s="4" t="s">
        <v>41</v>
      </c>
      <c r="H3069" s="4">
        <v>3</v>
      </c>
      <c r="I3069" s="4">
        <v>2</v>
      </c>
      <c r="J3069" s="1">
        <v>45707</v>
      </c>
      <c r="K3069" s="2">
        <v>6.1689814814814819E-3</v>
      </c>
      <c r="M3069" s="4" t="str">
        <f t="shared" si="141"/>
        <v>HIGH</v>
      </c>
      <c r="N3069" s="4" t="str" cm="1">
        <f t="array" ref="N3069">_xlfn.IFS(C3069&gt;35,"HIGH",C3069&gt;25,"MIDDLE",TRUE,"LOW")</f>
        <v>HIGH</v>
      </c>
      <c r="O3069" s="4" t="str">
        <f t="shared" si="142"/>
        <v>PREMINUM MORNING</v>
      </c>
      <c r="P3069" s="4" t="str">
        <f t="shared" si="143"/>
        <v>PREMINUM MORNING</v>
      </c>
    </row>
    <row r="3070" spans="1:16" x14ac:dyDescent="0.3">
      <c r="A3070" s="4">
        <v>8</v>
      </c>
      <c r="B3070" t="s">
        <v>11</v>
      </c>
      <c r="C3070" s="4">
        <v>25.96</v>
      </c>
      <c r="D3070" t="s">
        <v>18</v>
      </c>
      <c r="E3070" t="s">
        <v>13</v>
      </c>
      <c r="F3070" s="4" t="s">
        <v>28</v>
      </c>
      <c r="G3070" s="4" t="s">
        <v>41</v>
      </c>
      <c r="H3070" s="4">
        <v>3</v>
      </c>
      <c r="I3070" s="4">
        <v>2</v>
      </c>
      <c r="J3070" s="1">
        <v>45707</v>
      </c>
      <c r="K3070" s="2">
        <v>6.8761574074074081E-3</v>
      </c>
      <c r="M3070" s="4" t="str">
        <f t="shared" si="141"/>
        <v>LOW</v>
      </c>
      <c r="N3070" s="4" t="str" cm="1">
        <f t="array" ref="N3070">_xlfn.IFS(C3070&gt;35,"HIGH",C3070&gt;25,"MIDDLE",TRUE,"LOW")</f>
        <v>MIDDLE</v>
      </c>
      <c r="O3070" s="4" t="str">
        <f t="shared" si="142"/>
        <v>OTHERS</v>
      </c>
      <c r="P3070" s="4" t="str">
        <f t="shared" si="143"/>
        <v>PREMINUM MORNING</v>
      </c>
    </row>
    <row r="3071" spans="1:16" x14ac:dyDescent="0.3">
      <c r="A3071" s="4">
        <v>8</v>
      </c>
      <c r="B3071" t="s">
        <v>11</v>
      </c>
      <c r="C3071" s="4">
        <v>25.96</v>
      </c>
      <c r="D3071" t="s">
        <v>18</v>
      </c>
      <c r="E3071" t="s">
        <v>13</v>
      </c>
      <c r="F3071" s="4" t="s">
        <v>28</v>
      </c>
      <c r="G3071" s="4" t="s">
        <v>41</v>
      </c>
      <c r="H3071" s="4">
        <v>3</v>
      </c>
      <c r="I3071" s="4">
        <v>2</v>
      </c>
      <c r="J3071" s="1">
        <v>45707</v>
      </c>
      <c r="K3071" s="2">
        <v>3.3018518518518523E-2</v>
      </c>
      <c r="M3071" s="4" t="str">
        <f t="shared" si="141"/>
        <v>LOW</v>
      </c>
      <c r="N3071" s="4" t="str" cm="1">
        <f t="array" ref="N3071">_xlfn.IFS(C3071&gt;35,"HIGH",C3071&gt;25,"MIDDLE",TRUE,"LOW")</f>
        <v>MIDDLE</v>
      </c>
      <c r="O3071" s="4" t="str">
        <f t="shared" si="142"/>
        <v>OTHERS</v>
      </c>
      <c r="P3071" s="4" t="str">
        <f t="shared" si="143"/>
        <v>PREMINUM MORNING</v>
      </c>
    </row>
    <row r="3072" spans="1:16" x14ac:dyDescent="0.3">
      <c r="A3072" s="4">
        <v>9</v>
      </c>
      <c r="B3072" t="s">
        <v>11</v>
      </c>
      <c r="C3072" s="4">
        <v>35.76</v>
      </c>
      <c r="D3072" t="s">
        <v>29</v>
      </c>
      <c r="E3072" t="s">
        <v>13</v>
      </c>
      <c r="F3072" s="4" t="s">
        <v>28</v>
      </c>
      <c r="G3072" s="4" t="s">
        <v>41</v>
      </c>
      <c r="H3072" s="4">
        <v>3</v>
      </c>
      <c r="I3072" s="4">
        <v>2</v>
      </c>
      <c r="J3072" s="1">
        <v>45707</v>
      </c>
      <c r="K3072" s="2">
        <v>1.7037037037037038E-2</v>
      </c>
      <c r="M3072" s="4" t="str">
        <f t="shared" si="141"/>
        <v>HIGH</v>
      </c>
      <c r="N3072" s="4" t="str" cm="1">
        <f t="array" ref="N3072">_xlfn.IFS(C3072&gt;35,"HIGH",C3072&gt;25,"MIDDLE",TRUE,"LOW")</f>
        <v>HIGH</v>
      </c>
      <c r="O3072" s="4" t="str">
        <f t="shared" si="142"/>
        <v>PREMINUM MORNING</v>
      </c>
      <c r="P3072" s="4" t="str">
        <f t="shared" si="143"/>
        <v>PREMINUM MORNING</v>
      </c>
    </row>
    <row r="3073" spans="1:16" x14ac:dyDescent="0.3">
      <c r="A3073" s="4">
        <v>10</v>
      </c>
      <c r="B3073" t="s">
        <v>11</v>
      </c>
      <c r="C3073" s="4">
        <v>25.96</v>
      </c>
      <c r="D3073" t="s">
        <v>18</v>
      </c>
      <c r="E3073" t="s">
        <v>13</v>
      </c>
      <c r="F3073" s="4" t="s">
        <v>28</v>
      </c>
      <c r="G3073" s="4" t="s">
        <v>41</v>
      </c>
      <c r="H3073" s="4">
        <v>3</v>
      </c>
      <c r="I3073" s="4">
        <v>2</v>
      </c>
      <c r="J3073" s="1">
        <v>45707</v>
      </c>
      <c r="K3073" s="2">
        <v>6.8402777777777776E-3</v>
      </c>
      <c r="M3073" s="4" t="str">
        <f t="shared" si="141"/>
        <v>LOW</v>
      </c>
      <c r="N3073" s="4" t="str" cm="1">
        <f t="array" ref="N3073">_xlfn.IFS(C3073&gt;35,"HIGH",C3073&gt;25,"MIDDLE",TRUE,"LOW")</f>
        <v>MIDDLE</v>
      </c>
      <c r="O3073" s="4" t="str">
        <f t="shared" si="142"/>
        <v>OTHERS</v>
      </c>
      <c r="P3073" s="4" t="str">
        <f t="shared" si="143"/>
        <v>PREMINUM MORNING</v>
      </c>
    </row>
    <row r="3074" spans="1:16" x14ac:dyDescent="0.3">
      <c r="A3074" s="4">
        <v>10</v>
      </c>
      <c r="B3074" t="s">
        <v>11</v>
      </c>
      <c r="C3074" s="4">
        <v>35.76</v>
      </c>
      <c r="D3074" t="s">
        <v>16</v>
      </c>
      <c r="E3074" t="s">
        <v>13</v>
      </c>
      <c r="F3074" s="4" t="s">
        <v>28</v>
      </c>
      <c r="G3074" s="4" t="s">
        <v>41</v>
      </c>
      <c r="H3074" s="4">
        <v>3</v>
      </c>
      <c r="I3074" s="4">
        <v>2</v>
      </c>
      <c r="J3074" s="1">
        <v>45707</v>
      </c>
      <c r="K3074" s="2">
        <v>1.320949074074074E-2</v>
      </c>
      <c r="M3074" s="4" t="str">
        <f t="shared" si="141"/>
        <v>HIGH</v>
      </c>
      <c r="N3074" s="4" t="str" cm="1">
        <f t="array" ref="N3074">_xlfn.IFS(C3074&gt;35,"HIGH",C3074&gt;25,"MIDDLE",TRUE,"LOW")</f>
        <v>HIGH</v>
      </c>
      <c r="O3074" s="4" t="str">
        <f t="shared" si="142"/>
        <v>PREMINUM MORNING</v>
      </c>
      <c r="P3074" s="4" t="str">
        <f t="shared" si="143"/>
        <v>PREMINUM MORNING</v>
      </c>
    </row>
    <row r="3075" spans="1:16" x14ac:dyDescent="0.3">
      <c r="A3075" s="4">
        <v>10</v>
      </c>
      <c r="B3075" t="s">
        <v>11</v>
      </c>
      <c r="C3075" s="4">
        <v>30.86</v>
      </c>
      <c r="D3075" t="s">
        <v>19</v>
      </c>
      <c r="E3075" t="s">
        <v>13</v>
      </c>
      <c r="F3075" s="4" t="s">
        <v>28</v>
      </c>
      <c r="G3075" s="4" t="s">
        <v>41</v>
      </c>
      <c r="H3075" s="4">
        <v>3</v>
      </c>
      <c r="I3075" s="4">
        <v>2</v>
      </c>
      <c r="J3075" s="1">
        <v>45707</v>
      </c>
      <c r="K3075" s="2">
        <v>2.8374999999999997E-2</v>
      </c>
      <c r="M3075" s="4" t="str">
        <f t="shared" ref="M3075:M3138" si="144">IF(C3075&gt;35,"HIGH","LOW")</f>
        <v>LOW</v>
      </c>
      <c r="N3075" s="4" t="str" cm="1">
        <f t="array" ref="N3075">_xlfn.IFS(C3075&gt;35,"HIGH",C3075&gt;25,"MIDDLE",TRUE,"LOW")</f>
        <v>MIDDLE</v>
      </c>
      <c r="O3075" s="4" t="str">
        <f t="shared" ref="O3075:O3138" si="145">IF(AND(C3075&gt;35,E3075="MORNING"),"PREMINUM MORNING","OTHERS")</f>
        <v>OTHERS</v>
      </c>
      <c r="P3075" s="4" t="str">
        <f t="shared" ref="P3075:P3138" si="146">IF(OR(C3075&gt;35,E3075="MORNING"),"PREMINUM MORNING","OTHERS")</f>
        <v>PREMINUM MORNING</v>
      </c>
    </row>
    <row r="3076" spans="1:16" x14ac:dyDescent="0.3">
      <c r="A3076" s="4">
        <v>12</v>
      </c>
      <c r="B3076" t="s">
        <v>11</v>
      </c>
      <c r="C3076" s="4">
        <v>25.96</v>
      </c>
      <c r="D3076" t="s">
        <v>18</v>
      </c>
      <c r="E3076" t="s">
        <v>17</v>
      </c>
      <c r="F3076" s="4" t="s">
        <v>28</v>
      </c>
      <c r="G3076" s="4" t="s">
        <v>41</v>
      </c>
      <c r="H3076" s="4">
        <v>3</v>
      </c>
      <c r="I3076" s="4">
        <v>2</v>
      </c>
      <c r="J3076" s="1">
        <v>45707</v>
      </c>
      <c r="K3076" s="2">
        <v>3.1320601851851849E-2</v>
      </c>
      <c r="M3076" s="4" t="str">
        <f t="shared" si="144"/>
        <v>LOW</v>
      </c>
      <c r="N3076" s="4" t="str" cm="1">
        <f t="array" ref="N3076">_xlfn.IFS(C3076&gt;35,"HIGH",C3076&gt;25,"MIDDLE",TRUE,"LOW")</f>
        <v>MIDDLE</v>
      </c>
      <c r="O3076" s="4" t="str">
        <f t="shared" si="145"/>
        <v>OTHERS</v>
      </c>
      <c r="P3076" s="4" t="str">
        <f t="shared" si="146"/>
        <v>OTHERS</v>
      </c>
    </row>
    <row r="3077" spans="1:16" x14ac:dyDescent="0.3">
      <c r="A3077" s="4">
        <v>12</v>
      </c>
      <c r="B3077" t="s">
        <v>11</v>
      </c>
      <c r="C3077" s="4">
        <v>35.76</v>
      </c>
      <c r="D3077" t="s">
        <v>21</v>
      </c>
      <c r="E3077" t="s">
        <v>17</v>
      </c>
      <c r="F3077" s="4" t="s">
        <v>28</v>
      </c>
      <c r="G3077" s="4" t="s">
        <v>41</v>
      </c>
      <c r="H3077" s="4">
        <v>3</v>
      </c>
      <c r="I3077" s="4">
        <v>2</v>
      </c>
      <c r="J3077" s="1">
        <v>45707</v>
      </c>
      <c r="K3077" s="2">
        <v>3.1990740740740743E-2</v>
      </c>
      <c r="M3077" s="4" t="str">
        <f t="shared" si="144"/>
        <v>HIGH</v>
      </c>
      <c r="N3077" s="4" t="str" cm="1">
        <f t="array" ref="N3077">_xlfn.IFS(C3077&gt;35,"HIGH",C3077&gt;25,"MIDDLE",TRUE,"LOW")</f>
        <v>HIGH</v>
      </c>
      <c r="O3077" s="4" t="str">
        <f t="shared" si="145"/>
        <v>OTHERS</v>
      </c>
      <c r="P3077" s="4" t="str">
        <f t="shared" si="146"/>
        <v>PREMINUM MORNING</v>
      </c>
    </row>
    <row r="3078" spans="1:16" x14ac:dyDescent="0.3">
      <c r="A3078" s="4">
        <v>13</v>
      </c>
      <c r="B3078" t="s">
        <v>11</v>
      </c>
      <c r="C3078" s="4">
        <v>25.96</v>
      </c>
      <c r="D3078" t="s">
        <v>18</v>
      </c>
      <c r="E3078" t="s">
        <v>17</v>
      </c>
      <c r="F3078" s="4" t="s">
        <v>28</v>
      </c>
      <c r="G3078" s="4" t="s">
        <v>41</v>
      </c>
      <c r="H3078" s="4">
        <v>3</v>
      </c>
      <c r="I3078" s="4">
        <v>2</v>
      </c>
      <c r="J3078" s="1">
        <v>45707</v>
      </c>
      <c r="K3078" s="2">
        <v>4.7962962962962959E-3</v>
      </c>
      <c r="M3078" s="4" t="str">
        <f t="shared" si="144"/>
        <v>LOW</v>
      </c>
      <c r="N3078" s="4" t="str" cm="1">
        <f t="array" ref="N3078">_xlfn.IFS(C3078&gt;35,"HIGH",C3078&gt;25,"MIDDLE",TRUE,"LOW")</f>
        <v>MIDDLE</v>
      </c>
      <c r="O3078" s="4" t="str">
        <f t="shared" si="145"/>
        <v>OTHERS</v>
      </c>
      <c r="P3078" s="4" t="str">
        <f t="shared" si="146"/>
        <v>OTHERS</v>
      </c>
    </row>
    <row r="3079" spans="1:16" x14ac:dyDescent="0.3">
      <c r="A3079" s="4">
        <v>15</v>
      </c>
      <c r="B3079" t="s">
        <v>11</v>
      </c>
      <c r="C3079" s="4">
        <v>35.76</v>
      </c>
      <c r="D3079" t="s">
        <v>29</v>
      </c>
      <c r="E3079" t="s">
        <v>17</v>
      </c>
      <c r="F3079" s="4" t="s">
        <v>28</v>
      </c>
      <c r="G3079" s="4" t="s">
        <v>41</v>
      </c>
      <c r="H3079" s="4">
        <v>3</v>
      </c>
      <c r="I3079" s="4">
        <v>2</v>
      </c>
      <c r="J3079" s="1">
        <v>45707</v>
      </c>
      <c r="K3079" s="2">
        <v>3.5217592592592592E-2</v>
      </c>
      <c r="M3079" s="4" t="str">
        <f t="shared" si="144"/>
        <v>HIGH</v>
      </c>
      <c r="N3079" s="4" t="str" cm="1">
        <f t="array" ref="N3079">_xlfn.IFS(C3079&gt;35,"HIGH",C3079&gt;25,"MIDDLE",TRUE,"LOW")</f>
        <v>HIGH</v>
      </c>
      <c r="O3079" s="4" t="str">
        <f t="shared" si="145"/>
        <v>OTHERS</v>
      </c>
      <c r="P3079" s="4" t="str">
        <f t="shared" si="146"/>
        <v>PREMINUM MORNING</v>
      </c>
    </row>
    <row r="3080" spans="1:16" x14ac:dyDescent="0.3">
      <c r="A3080" s="4">
        <v>17</v>
      </c>
      <c r="B3080" t="s">
        <v>11</v>
      </c>
      <c r="C3080" s="4">
        <v>25.96</v>
      </c>
      <c r="D3080" t="s">
        <v>18</v>
      </c>
      <c r="E3080" t="s">
        <v>20</v>
      </c>
      <c r="F3080" s="4" t="s">
        <v>28</v>
      </c>
      <c r="G3080" s="4" t="s">
        <v>41</v>
      </c>
      <c r="H3080" s="4">
        <v>3</v>
      </c>
      <c r="I3080" s="4">
        <v>2</v>
      </c>
      <c r="J3080" s="1">
        <v>45707</v>
      </c>
      <c r="K3080" s="2">
        <v>2.7812500000000003E-3</v>
      </c>
      <c r="M3080" s="4" t="str">
        <f t="shared" si="144"/>
        <v>LOW</v>
      </c>
      <c r="N3080" s="4" t="str" cm="1">
        <f t="array" ref="N3080">_xlfn.IFS(C3080&gt;35,"HIGH",C3080&gt;25,"MIDDLE",TRUE,"LOW")</f>
        <v>MIDDLE</v>
      </c>
      <c r="O3080" s="4" t="str">
        <f t="shared" si="145"/>
        <v>OTHERS</v>
      </c>
      <c r="P3080" s="4" t="str">
        <f t="shared" si="146"/>
        <v>OTHERS</v>
      </c>
    </row>
    <row r="3081" spans="1:16" x14ac:dyDescent="0.3">
      <c r="A3081" s="4">
        <v>17</v>
      </c>
      <c r="B3081" t="s">
        <v>11</v>
      </c>
      <c r="C3081" s="4">
        <v>35.76</v>
      </c>
      <c r="D3081" t="s">
        <v>29</v>
      </c>
      <c r="E3081" t="s">
        <v>20</v>
      </c>
      <c r="F3081" s="4" t="s">
        <v>28</v>
      </c>
      <c r="G3081" s="4" t="s">
        <v>41</v>
      </c>
      <c r="H3081" s="4">
        <v>3</v>
      </c>
      <c r="I3081" s="4">
        <v>2</v>
      </c>
      <c r="J3081" s="1">
        <v>45707</v>
      </c>
      <c r="K3081" s="2">
        <v>2.4179398148148148E-2</v>
      </c>
      <c r="M3081" s="4" t="str">
        <f t="shared" si="144"/>
        <v>HIGH</v>
      </c>
      <c r="N3081" s="4" t="str" cm="1">
        <f t="array" ref="N3081">_xlfn.IFS(C3081&gt;35,"HIGH",C3081&gt;25,"MIDDLE",TRUE,"LOW")</f>
        <v>HIGH</v>
      </c>
      <c r="O3081" s="4" t="str">
        <f t="shared" si="145"/>
        <v>OTHERS</v>
      </c>
      <c r="P3081" s="4" t="str">
        <f t="shared" si="146"/>
        <v>PREMINUM MORNING</v>
      </c>
    </row>
    <row r="3082" spans="1:16" x14ac:dyDescent="0.3">
      <c r="A3082" s="4">
        <v>17</v>
      </c>
      <c r="B3082" t="s">
        <v>11</v>
      </c>
      <c r="C3082" s="4">
        <v>30.86</v>
      </c>
      <c r="D3082" t="s">
        <v>19</v>
      </c>
      <c r="E3082" t="s">
        <v>20</v>
      </c>
      <c r="F3082" s="4" t="s">
        <v>28</v>
      </c>
      <c r="G3082" s="4" t="s">
        <v>41</v>
      </c>
      <c r="H3082" s="4">
        <v>3</v>
      </c>
      <c r="I3082" s="4">
        <v>2</v>
      </c>
      <c r="J3082" s="1">
        <v>45707</v>
      </c>
      <c r="K3082" s="2">
        <v>4.0185185185185185E-2</v>
      </c>
      <c r="M3082" s="4" t="str">
        <f t="shared" si="144"/>
        <v>LOW</v>
      </c>
      <c r="N3082" s="4" t="str" cm="1">
        <f t="array" ref="N3082">_xlfn.IFS(C3082&gt;35,"HIGH",C3082&gt;25,"MIDDLE",TRUE,"LOW")</f>
        <v>MIDDLE</v>
      </c>
      <c r="O3082" s="4" t="str">
        <f t="shared" si="145"/>
        <v>OTHERS</v>
      </c>
      <c r="P3082" s="4" t="str">
        <f t="shared" si="146"/>
        <v>OTHERS</v>
      </c>
    </row>
    <row r="3083" spans="1:16" x14ac:dyDescent="0.3">
      <c r="A3083" s="4">
        <v>18</v>
      </c>
      <c r="B3083" t="s">
        <v>11</v>
      </c>
      <c r="C3083" s="4">
        <v>35.76</v>
      </c>
      <c r="D3083" t="s">
        <v>29</v>
      </c>
      <c r="E3083" t="s">
        <v>20</v>
      </c>
      <c r="F3083" s="4" t="s">
        <v>28</v>
      </c>
      <c r="G3083" s="4" t="s">
        <v>41</v>
      </c>
      <c r="H3083" s="4">
        <v>3</v>
      </c>
      <c r="I3083" s="4">
        <v>2</v>
      </c>
      <c r="J3083" s="1">
        <v>45707</v>
      </c>
      <c r="K3083" s="2">
        <v>2.4754629629629633E-2</v>
      </c>
      <c r="M3083" s="4" t="str">
        <f t="shared" si="144"/>
        <v>HIGH</v>
      </c>
      <c r="N3083" s="4" t="str" cm="1">
        <f t="array" ref="N3083">_xlfn.IFS(C3083&gt;35,"HIGH",C3083&gt;25,"MIDDLE",TRUE,"LOW")</f>
        <v>HIGH</v>
      </c>
      <c r="O3083" s="4" t="str">
        <f t="shared" si="145"/>
        <v>OTHERS</v>
      </c>
      <c r="P3083" s="4" t="str">
        <f t="shared" si="146"/>
        <v>PREMINUM MORNING</v>
      </c>
    </row>
    <row r="3084" spans="1:16" x14ac:dyDescent="0.3">
      <c r="A3084" s="4">
        <v>19</v>
      </c>
      <c r="B3084" t="s">
        <v>11</v>
      </c>
      <c r="C3084" s="4">
        <v>35.76</v>
      </c>
      <c r="D3084" t="s">
        <v>12</v>
      </c>
      <c r="E3084" t="s">
        <v>20</v>
      </c>
      <c r="F3084" s="4" t="s">
        <v>28</v>
      </c>
      <c r="G3084" s="4" t="s">
        <v>41</v>
      </c>
      <c r="H3084" s="4">
        <v>3</v>
      </c>
      <c r="I3084" s="4">
        <v>2</v>
      </c>
      <c r="J3084" s="1">
        <v>45707</v>
      </c>
      <c r="K3084" s="2">
        <v>1.0775462962962963E-3</v>
      </c>
      <c r="M3084" s="4" t="str">
        <f t="shared" si="144"/>
        <v>HIGH</v>
      </c>
      <c r="N3084" s="4" t="str" cm="1">
        <f t="array" ref="N3084">_xlfn.IFS(C3084&gt;35,"HIGH",C3084&gt;25,"MIDDLE",TRUE,"LOW")</f>
        <v>HIGH</v>
      </c>
      <c r="O3084" s="4" t="str">
        <f t="shared" si="145"/>
        <v>OTHERS</v>
      </c>
      <c r="P3084" s="4" t="str">
        <f t="shared" si="146"/>
        <v>PREMINUM MORNING</v>
      </c>
    </row>
    <row r="3085" spans="1:16" x14ac:dyDescent="0.3">
      <c r="A3085" s="4">
        <v>19</v>
      </c>
      <c r="B3085" t="s">
        <v>11</v>
      </c>
      <c r="C3085" s="4">
        <v>35.76</v>
      </c>
      <c r="D3085" t="s">
        <v>21</v>
      </c>
      <c r="E3085" t="s">
        <v>20</v>
      </c>
      <c r="F3085" s="4" t="s">
        <v>28</v>
      </c>
      <c r="G3085" s="4" t="s">
        <v>41</v>
      </c>
      <c r="H3085" s="4">
        <v>3</v>
      </c>
      <c r="I3085" s="4">
        <v>2</v>
      </c>
      <c r="J3085" s="1">
        <v>45707</v>
      </c>
      <c r="K3085" s="2">
        <v>8.2175925925925923E-3</v>
      </c>
      <c r="M3085" s="4" t="str">
        <f t="shared" si="144"/>
        <v>HIGH</v>
      </c>
      <c r="N3085" s="4" t="str" cm="1">
        <f t="array" ref="N3085">_xlfn.IFS(C3085&gt;35,"HIGH",C3085&gt;25,"MIDDLE",TRUE,"LOW")</f>
        <v>HIGH</v>
      </c>
      <c r="O3085" s="4" t="str">
        <f t="shared" si="145"/>
        <v>OTHERS</v>
      </c>
      <c r="P3085" s="4" t="str">
        <f t="shared" si="146"/>
        <v>PREMINUM MORNING</v>
      </c>
    </row>
    <row r="3086" spans="1:16" x14ac:dyDescent="0.3">
      <c r="A3086" s="4">
        <v>19</v>
      </c>
      <c r="B3086" t="s">
        <v>11</v>
      </c>
      <c r="C3086" s="4">
        <v>35.76</v>
      </c>
      <c r="D3086" t="s">
        <v>16</v>
      </c>
      <c r="E3086" t="s">
        <v>20</v>
      </c>
      <c r="F3086" s="4" t="s">
        <v>28</v>
      </c>
      <c r="G3086" s="4" t="s">
        <v>41</v>
      </c>
      <c r="H3086" s="4">
        <v>3</v>
      </c>
      <c r="I3086" s="4">
        <v>2</v>
      </c>
      <c r="J3086" s="1">
        <v>45707</v>
      </c>
      <c r="K3086" s="2">
        <v>8.8287037037037032E-3</v>
      </c>
      <c r="M3086" s="4" t="str">
        <f t="shared" si="144"/>
        <v>HIGH</v>
      </c>
      <c r="N3086" s="4" t="str" cm="1">
        <f t="array" ref="N3086">_xlfn.IFS(C3086&gt;35,"HIGH",C3086&gt;25,"MIDDLE",TRUE,"LOW")</f>
        <v>HIGH</v>
      </c>
      <c r="O3086" s="4" t="str">
        <f t="shared" si="145"/>
        <v>OTHERS</v>
      </c>
      <c r="P3086" s="4" t="str">
        <f t="shared" si="146"/>
        <v>PREMINUM MORNING</v>
      </c>
    </row>
    <row r="3087" spans="1:16" x14ac:dyDescent="0.3">
      <c r="A3087" s="4">
        <v>19</v>
      </c>
      <c r="B3087" t="s">
        <v>11</v>
      </c>
      <c r="C3087" s="4">
        <v>35.76</v>
      </c>
      <c r="D3087" t="s">
        <v>12</v>
      </c>
      <c r="E3087" t="s">
        <v>20</v>
      </c>
      <c r="F3087" s="4" t="s">
        <v>28</v>
      </c>
      <c r="G3087" s="4" t="s">
        <v>41</v>
      </c>
      <c r="H3087" s="4">
        <v>3</v>
      </c>
      <c r="I3087" s="4">
        <v>2</v>
      </c>
      <c r="J3087" s="1">
        <v>45707</v>
      </c>
      <c r="K3087" s="2">
        <v>1.832175925925926E-2</v>
      </c>
      <c r="M3087" s="4" t="str">
        <f t="shared" si="144"/>
        <v>HIGH</v>
      </c>
      <c r="N3087" s="4" t="str" cm="1">
        <f t="array" ref="N3087">_xlfn.IFS(C3087&gt;35,"HIGH",C3087&gt;25,"MIDDLE",TRUE,"LOW")</f>
        <v>HIGH</v>
      </c>
      <c r="O3087" s="4" t="str">
        <f t="shared" si="145"/>
        <v>OTHERS</v>
      </c>
      <c r="P3087" s="4" t="str">
        <f t="shared" si="146"/>
        <v>PREMINUM MORNING</v>
      </c>
    </row>
    <row r="3088" spans="1:16" x14ac:dyDescent="0.3">
      <c r="A3088" s="4">
        <v>20</v>
      </c>
      <c r="B3088" t="s">
        <v>11</v>
      </c>
      <c r="C3088" s="4">
        <v>35.76</v>
      </c>
      <c r="D3088" t="s">
        <v>21</v>
      </c>
      <c r="E3088" t="s">
        <v>20</v>
      </c>
      <c r="F3088" s="4" t="s">
        <v>28</v>
      </c>
      <c r="G3088" s="4" t="s">
        <v>41</v>
      </c>
      <c r="H3088" s="4">
        <v>3</v>
      </c>
      <c r="I3088" s="4">
        <v>2</v>
      </c>
      <c r="J3088" s="1">
        <v>45707</v>
      </c>
      <c r="K3088" s="2">
        <v>3.8009259259259255E-3</v>
      </c>
      <c r="M3088" s="4" t="str">
        <f t="shared" si="144"/>
        <v>HIGH</v>
      </c>
      <c r="N3088" s="4" t="str" cm="1">
        <f t="array" ref="N3088">_xlfn.IFS(C3088&gt;35,"HIGH",C3088&gt;25,"MIDDLE",TRUE,"LOW")</f>
        <v>HIGH</v>
      </c>
      <c r="O3088" s="4" t="str">
        <f t="shared" si="145"/>
        <v>OTHERS</v>
      </c>
      <c r="P3088" s="4" t="str">
        <f t="shared" si="146"/>
        <v>PREMINUM MORNING</v>
      </c>
    </row>
    <row r="3089" spans="1:16" x14ac:dyDescent="0.3">
      <c r="A3089" s="4">
        <v>7</v>
      </c>
      <c r="B3089" t="s">
        <v>11</v>
      </c>
      <c r="C3089" s="4">
        <v>35.76</v>
      </c>
      <c r="D3089" t="s">
        <v>29</v>
      </c>
      <c r="E3089" t="s">
        <v>13</v>
      </c>
      <c r="F3089" s="4" t="s">
        <v>30</v>
      </c>
      <c r="G3089" s="4" t="s">
        <v>41</v>
      </c>
      <c r="H3089" s="4">
        <v>4</v>
      </c>
      <c r="I3089" s="4">
        <v>2</v>
      </c>
      <c r="J3089" s="1">
        <v>45708</v>
      </c>
      <c r="K3089" s="2">
        <v>3.917361111111111E-2</v>
      </c>
      <c r="M3089" s="4" t="str">
        <f t="shared" si="144"/>
        <v>HIGH</v>
      </c>
      <c r="N3089" s="4" t="str" cm="1">
        <f t="array" ref="N3089">_xlfn.IFS(C3089&gt;35,"HIGH",C3089&gt;25,"MIDDLE",TRUE,"LOW")</f>
        <v>HIGH</v>
      </c>
      <c r="O3089" s="4" t="str">
        <f t="shared" si="145"/>
        <v>PREMINUM MORNING</v>
      </c>
      <c r="P3089" s="4" t="str">
        <f t="shared" si="146"/>
        <v>PREMINUM MORNING</v>
      </c>
    </row>
    <row r="3090" spans="1:16" x14ac:dyDescent="0.3">
      <c r="A3090" s="4">
        <v>9</v>
      </c>
      <c r="B3090" t="s">
        <v>11</v>
      </c>
      <c r="C3090" s="4">
        <v>25.96</v>
      </c>
      <c r="D3090" t="s">
        <v>18</v>
      </c>
      <c r="E3090" t="s">
        <v>13</v>
      </c>
      <c r="F3090" s="4" t="s">
        <v>30</v>
      </c>
      <c r="G3090" s="4" t="s">
        <v>41</v>
      </c>
      <c r="H3090" s="4">
        <v>4</v>
      </c>
      <c r="I3090" s="4">
        <v>2</v>
      </c>
      <c r="J3090" s="1">
        <v>45708</v>
      </c>
      <c r="K3090" s="2">
        <v>1.2422453703703703E-2</v>
      </c>
      <c r="M3090" s="4" t="str">
        <f t="shared" si="144"/>
        <v>LOW</v>
      </c>
      <c r="N3090" s="4" t="str" cm="1">
        <f t="array" ref="N3090">_xlfn.IFS(C3090&gt;35,"HIGH",C3090&gt;25,"MIDDLE",TRUE,"LOW")</f>
        <v>MIDDLE</v>
      </c>
      <c r="O3090" s="4" t="str">
        <f t="shared" si="145"/>
        <v>OTHERS</v>
      </c>
      <c r="P3090" s="4" t="str">
        <f t="shared" si="146"/>
        <v>PREMINUM MORNING</v>
      </c>
    </row>
    <row r="3091" spans="1:16" x14ac:dyDescent="0.3">
      <c r="A3091" s="4">
        <v>10</v>
      </c>
      <c r="B3091" t="s">
        <v>11</v>
      </c>
      <c r="C3091" s="4">
        <v>35.76</v>
      </c>
      <c r="D3091" t="s">
        <v>29</v>
      </c>
      <c r="E3091" t="s">
        <v>13</v>
      </c>
      <c r="F3091" s="4" t="s">
        <v>30</v>
      </c>
      <c r="G3091" s="4" t="s">
        <v>41</v>
      </c>
      <c r="H3091" s="4">
        <v>4</v>
      </c>
      <c r="I3091" s="4">
        <v>2</v>
      </c>
      <c r="J3091" s="1">
        <v>45708</v>
      </c>
      <c r="K3091" s="2">
        <v>1.1578703703703704E-2</v>
      </c>
      <c r="M3091" s="4" t="str">
        <f t="shared" si="144"/>
        <v>HIGH</v>
      </c>
      <c r="N3091" s="4" t="str" cm="1">
        <f t="array" ref="N3091">_xlfn.IFS(C3091&gt;35,"HIGH",C3091&gt;25,"MIDDLE",TRUE,"LOW")</f>
        <v>HIGH</v>
      </c>
      <c r="O3091" s="4" t="str">
        <f t="shared" si="145"/>
        <v>PREMINUM MORNING</v>
      </c>
      <c r="P3091" s="4" t="str">
        <f t="shared" si="146"/>
        <v>PREMINUM MORNING</v>
      </c>
    </row>
    <row r="3092" spans="1:16" x14ac:dyDescent="0.3">
      <c r="A3092" s="4">
        <v>10</v>
      </c>
      <c r="B3092" t="s">
        <v>11</v>
      </c>
      <c r="C3092" s="4">
        <v>25.96</v>
      </c>
      <c r="D3092" t="s">
        <v>18</v>
      </c>
      <c r="E3092" t="s">
        <v>13</v>
      </c>
      <c r="F3092" s="4" t="s">
        <v>30</v>
      </c>
      <c r="G3092" s="4" t="s">
        <v>41</v>
      </c>
      <c r="H3092" s="4">
        <v>4</v>
      </c>
      <c r="I3092" s="4">
        <v>2</v>
      </c>
      <c r="J3092" s="1">
        <v>45708</v>
      </c>
      <c r="K3092" s="2">
        <v>1.2253472222222223E-2</v>
      </c>
      <c r="M3092" s="4" t="str">
        <f t="shared" si="144"/>
        <v>LOW</v>
      </c>
      <c r="N3092" s="4" t="str" cm="1">
        <f t="array" ref="N3092">_xlfn.IFS(C3092&gt;35,"HIGH",C3092&gt;25,"MIDDLE",TRUE,"LOW")</f>
        <v>MIDDLE</v>
      </c>
      <c r="O3092" s="4" t="str">
        <f t="shared" si="145"/>
        <v>OTHERS</v>
      </c>
      <c r="P3092" s="4" t="str">
        <f t="shared" si="146"/>
        <v>PREMINUM MORNING</v>
      </c>
    </row>
    <row r="3093" spans="1:16" x14ac:dyDescent="0.3">
      <c r="A3093" s="4">
        <v>10</v>
      </c>
      <c r="B3093" t="s">
        <v>11</v>
      </c>
      <c r="C3093" s="4">
        <v>25.96</v>
      </c>
      <c r="D3093" t="s">
        <v>18</v>
      </c>
      <c r="E3093" t="s">
        <v>13</v>
      </c>
      <c r="F3093" s="4" t="s">
        <v>30</v>
      </c>
      <c r="G3093" s="4" t="s">
        <v>41</v>
      </c>
      <c r="H3093" s="4">
        <v>4</v>
      </c>
      <c r="I3093" s="4">
        <v>2</v>
      </c>
      <c r="J3093" s="1">
        <v>45708</v>
      </c>
      <c r="K3093" s="2">
        <v>1.4177083333333335E-2</v>
      </c>
      <c r="M3093" s="4" t="str">
        <f t="shared" si="144"/>
        <v>LOW</v>
      </c>
      <c r="N3093" s="4" t="str" cm="1">
        <f t="array" ref="N3093">_xlfn.IFS(C3093&gt;35,"HIGH",C3093&gt;25,"MIDDLE",TRUE,"LOW")</f>
        <v>MIDDLE</v>
      </c>
      <c r="O3093" s="4" t="str">
        <f t="shared" si="145"/>
        <v>OTHERS</v>
      </c>
      <c r="P3093" s="4" t="str">
        <f t="shared" si="146"/>
        <v>PREMINUM MORNING</v>
      </c>
    </row>
    <row r="3094" spans="1:16" x14ac:dyDescent="0.3">
      <c r="A3094" s="4">
        <v>10</v>
      </c>
      <c r="B3094" t="s">
        <v>11</v>
      </c>
      <c r="C3094" s="4">
        <v>25.96</v>
      </c>
      <c r="D3094" t="s">
        <v>18</v>
      </c>
      <c r="E3094" t="s">
        <v>13</v>
      </c>
      <c r="F3094" s="4" t="s">
        <v>30</v>
      </c>
      <c r="G3094" s="4" t="s">
        <v>41</v>
      </c>
      <c r="H3094" s="4">
        <v>4</v>
      </c>
      <c r="I3094" s="4">
        <v>2</v>
      </c>
      <c r="J3094" s="1">
        <v>45708</v>
      </c>
      <c r="K3094" s="2">
        <v>1.6938657407407406E-2</v>
      </c>
      <c r="M3094" s="4" t="str">
        <f t="shared" si="144"/>
        <v>LOW</v>
      </c>
      <c r="N3094" s="4" t="str" cm="1">
        <f t="array" ref="N3094">_xlfn.IFS(C3094&gt;35,"HIGH",C3094&gt;25,"MIDDLE",TRUE,"LOW")</f>
        <v>MIDDLE</v>
      </c>
      <c r="O3094" s="4" t="str">
        <f t="shared" si="145"/>
        <v>OTHERS</v>
      </c>
      <c r="P3094" s="4" t="str">
        <f t="shared" si="146"/>
        <v>PREMINUM MORNING</v>
      </c>
    </row>
    <row r="3095" spans="1:16" x14ac:dyDescent="0.3">
      <c r="A3095" s="4">
        <v>13</v>
      </c>
      <c r="B3095" t="s">
        <v>11</v>
      </c>
      <c r="C3095" s="4">
        <v>30.86</v>
      </c>
      <c r="D3095" t="s">
        <v>19</v>
      </c>
      <c r="E3095" t="s">
        <v>17</v>
      </c>
      <c r="F3095" s="4" t="s">
        <v>30</v>
      </c>
      <c r="G3095" s="4" t="s">
        <v>41</v>
      </c>
      <c r="H3095" s="4">
        <v>4</v>
      </c>
      <c r="I3095" s="4">
        <v>2</v>
      </c>
      <c r="J3095" s="1">
        <v>45708</v>
      </c>
      <c r="K3095" s="2">
        <v>1.6180555555555557E-3</v>
      </c>
      <c r="M3095" s="4" t="str">
        <f t="shared" si="144"/>
        <v>LOW</v>
      </c>
      <c r="N3095" s="4" t="str" cm="1">
        <f t="array" ref="N3095">_xlfn.IFS(C3095&gt;35,"HIGH",C3095&gt;25,"MIDDLE",TRUE,"LOW")</f>
        <v>MIDDLE</v>
      </c>
      <c r="O3095" s="4" t="str">
        <f t="shared" si="145"/>
        <v>OTHERS</v>
      </c>
      <c r="P3095" s="4" t="str">
        <f t="shared" si="146"/>
        <v>OTHERS</v>
      </c>
    </row>
    <row r="3096" spans="1:16" x14ac:dyDescent="0.3">
      <c r="A3096" s="4">
        <v>14</v>
      </c>
      <c r="B3096" t="s">
        <v>11</v>
      </c>
      <c r="C3096" s="4">
        <v>35.76</v>
      </c>
      <c r="D3096" t="s">
        <v>12</v>
      </c>
      <c r="E3096" t="s">
        <v>17</v>
      </c>
      <c r="F3096" s="4" t="s">
        <v>30</v>
      </c>
      <c r="G3096" s="4" t="s">
        <v>41</v>
      </c>
      <c r="H3096" s="4">
        <v>4</v>
      </c>
      <c r="I3096" s="4">
        <v>2</v>
      </c>
      <c r="J3096" s="1">
        <v>45708</v>
      </c>
      <c r="K3096" s="2">
        <v>1.427199074074074E-2</v>
      </c>
      <c r="M3096" s="4" t="str">
        <f t="shared" si="144"/>
        <v>HIGH</v>
      </c>
      <c r="N3096" s="4" t="str" cm="1">
        <f t="array" ref="N3096">_xlfn.IFS(C3096&gt;35,"HIGH",C3096&gt;25,"MIDDLE",TRUE,"LOW")</f>
        <v>HIGH</v>
      </c>
      <c r="O3096" s="4" t="str">
        <f t="shared" si="145"/>
        <v>OTHERS</v>
      </c>
      <c r="P3096" s="4" t="str">
        <f t="shared" si="146"/>
        <v>PREMINUM MORNING</v>
      </c>
    </row>
    <row r="3097" spans="1:16" x14ac:dyDescent="0.3">
      <c r="A3097" s="4">
        <v>14</v>
      </c>
      <c r="B3097" t="s">
        <v>11</v>
      </c>
      <c r="C3097" s="4">
        <v>25.96</v>
      </c>
      <c r="D3097" t="s">
        <v>18</v>
      </c>
      <c r="E3097" t="s">
        <v>17</v>
      </c>
      <c r="F3097" s="4" t="s">
        <v>30</v>
      </c>
      <c r="G3097" s="4" t="s">
        <v>41</v>
      </c>
      <c r="H3097" s="4">
        <v>4</v>
      </c>
      <c r="I3097" s="4">
        <v>2</v>
      </c>
      <c r="J3097" s="1">
        <v>45708</v>
      </c>
      <c r="K3097" s="2">
        <v>2.6386574074074076E-2</v>
      </c>
      <c r="M3097" s="4" t="str">
        <f t="shared" si="144"/>
        <v>LOW</v>
      </c>
      <c r="N3097" s="4" t="str" cm="1">
        <f t="array" ref="N3097">_xlfn.IFS(C3097&gt;35,"HIGH",C3097&gt;25,"MIDDLE",TRUE,"LOW")</f>
        <v>MIDDLE</v>
      </c>
      <c r="O3097" s="4" t="str">
        <f t="shared" si="145"/>
        <v>OTHERS</v>
      </c>
      <c r="P3097" s="4" t="str">
        <f t="shared" si="146"/>
        <v>OTHERS</v>
      </c>
    </row>
    <row r="3098" spans="1:16" x14ac:dyDescent="0.3">
      <c r="A3098" s="4">
        <v>14</v>
      </c>
      <c r="B3098" t="s">
        <v>11</v>
      </c>
      <c r="C3098" s="4">
        <v>25.96</v>
      </c>
      <c r="D3098" t="s">
        <v>18</v>
      </c>
      <c r="E3098" t="s">
        <v>17</v>
      </c>
      <c r="F3098" s="4" t="s">
        <v>30</v>
      </c>
      <c r="G3098" s="4" t="s">
        <v>41</v>
      </c>
      <c r="H3098" s="4">
        <v>4</v>
      </c>
      <c r="I3098" s="4">
        <v>2</v>
      </c>
      <c r="J3098" s="1">
        <v>45708</v>
      </c>
      <c r="K3098" s="2">
        <v>2.6959490740740742E-2</v>
      </c>
      <c r="M3098" s="4" t="str">
        <f t="shared" si="144"/>
        <v>LOW</v>
      </c>
      <c r="N3098" s="4" t="str" cm="1">
        <f t="array" ref="N3098">_xlfn.IFS(C3098&gt;35,"HIGH",C3098&gt;25,"MIDDLE",TRUE,"LOW")</f>
        <v>MIDDLE</v>
      </c>
      <c r="O3098" s="4" t="str">
        <f t="shared" si="145"/>
        <v>OTHERS</v>
      </c>
      <c r="P3098" s="4" t="str">
        <f t="shared" si="146"/>
        <v>OTHERS</v>
      </c>
    </row>
    <row r="3099" spans="1:16" x14ac:dyDescent="0.3">
      <c r="A3099" s="4">
        <v>15</v>
      </c>
      <c r="B3099" t="s">
        <v>11</v>
      </c>
      <c r="C3099" s="4">
        <v>21.06</v>
      </c>
      <c r="D3099" t="s">
        <v>26</v>
      </c>
      <c r="E3099" t="s">
        <v>17</v>
      </c>
      <c r="F3099" s="4" t="s">
        <v>30</v>
      </c>
      <c r="G3099" s="4" t="s">
        <v>41</v>
      </c>
      <c r="H3099" s="4">
        <v>4</v>
      </c>
      <c r="I3099" s="4">
        <v>2</v>
      </c>
      <c r="J3099" s="1">
        <v>45708</v>
      </c>
      <c r="K3099" s="2">
        <v>1.3722222222222221E-2</v>
      </c>
      <c r="M3099" s="4" t="str">
        <f t="shared" si="144"/>
        <v>LOW</v>
      </c>
      <c r="N3099" s="4" t="str" cm="1">
        <f t="array" ref="N3099">_xlfn.IFS(C3099&gt;35,"HIGH",C3099&gt;25,"MIDDLE",TRUE,"LOW")</f>
        <v>LOW</v>
      </c>
      <c r="O3099" s="4" t="str">
        <f t="shared" si="145"/>
        <v>OTHERS</v>
      </c>
      <c r="P3099" s="4" t="str">
        <f t="shared" si="146"/>
        <v>OTHERS</v>
      </c>
    </row>
    <row r="3100" spans="1:16" x14ac:dyDescent="0.3">
      <c r="A3100" s="4">
        <v>16</v>
      </c>
      <c r="B3100" t="s">
        <v>11</v>
      </c>
      <c r="C3100" s="4">
        <v>35.76</v>
      </c>
      <c r="D3100" t="s">
        <v>29</v>
      </c>
      <c r="E3100" t="s">
        <v>17</v>
      </c>
      <c r="F3100" s="4" t="s">
        <v>30</v>
      </c>
      <c r="G3100" s="4" t="s">
        <v>41</v>
      </c>
      <c r="H3100" s="4">
        <v>4</v>
      </c>
      <c r="I3100" s="4">
        <v>2</v>
      </c>
      <c r="J3100" s="1">
        <v>45708</v>
      </c>
      <c r="K3100" s="2">
        <v>4.0451388888888889E-3</v>
      </c>
      <c r="M3100" s="4" t="str">
        <f t="shared" si="144"/>
        <v>HIGH</v>
      </c>
      <c r="N3100" s="4" t="str" cm="1">
        <f t="array" ref="N3100">_xlfn.IFS(C3100&gt;35,"HIGH",C3100&gt;25,"MIDDLE",TRUE,"LOW")</f>
        <v>HIGH</v>
      </c>
      <c r="O3100" s="4" t="str">
        <f t="shared" si="145"/>
        <v>OTHERS</v>
      </c>
      <c r="P3100" s="4" t="str">
        <f t="shared" si="146"/>
        <v>PREMINUM MORNING</v>
      </c>
    </row>
    <row r="3101" spans="1:16" x14ac:dyDescent="0.3">
      <c r="A3101" s="4">
        <v>16</v>
      </c>
      <c r="B3101" t="s">
        <v>11</v>
      </c>
      <c r="C3101" s="4">
        <v>35.76</v>
      </c>
      <c r="D3101" t="s">
        <v>29</v>
      </c>
      <c r="E3101" t="s">
        <v>17</v>
      </c>
      <c r="F3101" s="4" t="s">
        <v>30</v>
      </c>
      <c r="G3101" s="4" t="s">
        <v>41</v>
      </c>
      <c r="H3101" s="4">
        <v>4</v>
      </c>
      <c r="I3101" s="4">
        <v>2</v>
      </c>
      <c r="J3101" s="1">
        <v>45708</v>
      </c>
      <c r="K3101" s="2">
        <v>4.1048611111111112E-2</v>
      </c>
      <c r="M3101" s="4" t="str">
        <f t="shared" si="144"/>
        <v>HIGH</v>
      </c>
      <c r="N3101" s="4" t="str" cm="1">
        <f t="array" ref="N3101">_xlfn.IFS(C3101&gt;35,"HIGH",C3101&gt;25,"MIDDLE",TRUE,"LOW")</f>
        <v>HIGH</v>
      </c>
      <c r="O3101" s="4" t="str">
        <f t="shared" si="145"/>
        <v>OTHERS</v>
      </c>
      <c r="P3101" s="4" t="str">
        <f t="shared" si="146"/>
        <v>PREMINUM MORNING</v>
      </c>
    </row>
    <row r="3102" spans="1:16" x14ac:dyDescent="0.3">
      <c r="A3102" s="4">
        <v>17</v>
      </c>
      <c r="B3102" t="s">
        <v>11</v>
      </c>
      <c r="C3102" s="4">
        <v>35.76</v>
      </c>
      <c r="D3102" t="s">
        <v>16</v>
      </c>
      <c r="E3102" t="s">
        <v>20</v>
      </c>
      <c r="F3102" s="4" t="s">
        <v>30</v>
      </c>
      <c r="G3102" s="4" t="s">
        <v>41</v>
      </c>
      <c r="H3102" s="4">
        <v>4</v>
      </c>
      <c r="I3102" s="4">
        <v>2</v>
      </c>
      <c r="J3102" s="1">
        <v>45708</v>
      </c>
      <c r="K3102" s="2">
        <v>4.270833333333333E-4</v>
      </c>
      <c r="M3102" s="4" t="str">
        <f t="shared" si="144"/>
        <v>HIGH</v>
      </c>
      <c r="N3102" s="4" t="str" cm="1">
        <f t="array" ref="N3102">_xlfn.IFS(C3102&gt;35,"HIGH",C3102&gt;25,"MIDDLE",TRUE,"LOW")</f>
        <v>HIGH</v>
      </c>
      <c r="O3102" s="4" t="str">
        <f t="shared" si="145"/>
        <v>OTHERS</v>
      </c>
      <c r="P3102" s="4" t="str">
        <f t="shared" si="146"/>
        <v>PREMINUM MORNING</v>
      </c>
    </row>
    <row r="3103" spans="1:16" x14ac:dyDescent="0.3">
      <c r="A3103" s="4">
        <v>17</v>
      </c>
      <c r="B3103" t="s">
        <v>11</v>
      </c>
      <c r="C3103" s="4">
        <v>25.96</v>
      </c>
      <c r="D3103" t="s">
        <v>18</v>
      </c>
      <c r="E3103" t="s">
        <v>20</v>
      </c>
      <c r="F3103" s="4" t="s">
        <v>30</v>
      </c>
      <c r="G3103" s="4" t="s">
        <v>41</v>
      </c>
      <c r="H3103" s="4">
        <v>4</v>
      </c>
      <c r="I3103" s="4">
        <v>2</v>
      </c>
      <c r="J3103" s="1">
        <v>45708</v>
      </c>
      <c r="K3103" s="2">
        <v>5.185185185185185E-3</v>
      </c>
      <c r="M3103" s="4" t="str">
        <f t="shared" si="144"/>
        <v>LOW</v>
      </c>
      <c r="N3103" s="4" t="str" cm="1">
        <f t="array" ref="N3103">_xlfn.IFS(C3103&gt;35,"HIGH",C3103&gt;25,"MIDDLE",TRUE,"LOW")</f>
        <v>MIDDLE</v>
      </c>
      <c r="O3103" s="4" t="str">
        <f t="shared" si="145"/>
        <v>OTHERS</v>
      </c>
      <c r="P3103" s="4" t="str">
        <f t="shared" si="146"/>
        <v>OTHERS</v>
      </c>
    </row>
    <row r="3104" spans="1:16" x14ac:dyDescent="0.3">
      <c r="A3104" s="4">
        <v>18</v>
      </c>
      <c r="B3104" t="s">
        <v>11</v>
      </c>
      <c r="C3104" s="4">
        <v>25.96</v>
      </c>
      <c r="D3104" t="s">
        <v>18</v>
      </c>
      <c r="E3104" t="s">
        <v>20</v>
      </c>
      <c r="F3104" s="4" t="s">
        <v>30</v>
      </c>
      <c r="G3104" s="4" t="s">
        <v>41</v>
      </c>
      <c r="H3104" s="4">
        <v>4</v>
      </c>
      <c r="I3104" s="4">
        <v>2</v>
      </c>
      <c r="J3104" s="1">
        <v>45708</v>
      </c>
      <c r="K3104" s="2">
        <v>3.9983796296296295E-2</v>
      </c>
      <c r="M3104" s="4" t="str">
        <f t="shared" si="144"/>
        <v>LOW</v>
      </c>
      <c r="N3104" s="4" t="str" cm="1">
        <f t="array" ref="N3104">_xlfn.IFS(C3104&gt;35,"HIGH",C3104&gt;25,"MIDDLE",TRUE,"LOW")</f>
        <v>MIDDLE</v>
      </c>
      <c r="O3104" s="4" t="str">
        <f t="shared" si="145"/>
        <v>OTHERS</v>
      </c>
      <c r="P3104" s="4" t="str">
        <f t="shared" si="146"/>
        <v>OTHERS</v>
      </c>
    </row>
    <row r="3105" spans="1:16" x14ac:dyDescent="0.3">
      <c r="A3105" s="4">
        <v>19</v>
      </c>
      <c r="B3105" t="s">
        <v>11</v>
      </c>
      <c r="C3105" s="4">
        <v>35.76</v>
      </c>
      <c r="D3105" t="s">
        <v>16</v>
      </c>
      <c r="E3105" t="s">
        <v>20</v>
      </c>
      <c r="F3105" s="4" t="s">
        <v>30</v>
      </c>
      <c r="G3105" s="4" t="s">
        <v>41</v>
      </c>
      <c r="H3105" s="4">
        <v>4</v>
      </c>
      <c r="I3105" s="4">
        <v>2</v>
      </c>
      <c r="J3105" s="1">
        <v>45708</v>
      </c>
      <c r="K3105" s="2">
        <v>1.2881944444444445E-3</v>
      </c>
      <c r="M3105" s="4" t="str">
        <f t="shared" si="144"/>
        <v>HIGH</v>
      </c>
      <c r="N3105" s="4" t="str" cm="1">
        <f t="array" ref="N3105">_xlfn.IFS(C3105&gt;35,"HIGH",C3105&gt;25,"MIDDLE",TRUE,"LOW")</f>
        <v>HIGH</v>
      </c>
      <c r="O3105" s="4" t="str">
        <f t="shared" si="145"/>
        <v>OTHERS</v>
      </c>
      <c r="P3105" s="4" t="str">
        <f t="shared" si="146"/>
        <v>PREMINUM MORNING</v>
      </c>
    </row>
    <row r="3106" spans="1:16" x14ac:dyDescent="0.3">
      <c r="A3106" s="4">
        <v>19</v>
      </c>
      <c r="B3106" t="s">
        <v>11</v>
      </c>
      <c r="C3106" s="4">
        <v>35.76</v>
      </c>
      <c r="D3106" t="s">
        <v>21</v>
      </c>
      <c r="E3106" t="s">
        <v>20</v>
      </c>
      <c r="F3106" s="4" t="s">
        <v>30</v>
      </c>
      <c r="G3106" s="4" t="s">
        <v>41</v>
      </c>
      <c r="H3106" s="4">
        <v>4</v>
      </c>
      <c r="I3106" s="4">
        <v>2</v>
      </c>
      <c r="J3106" s="1">
        <v>45708</v>
      </c>
      <c r="K3106" s="2">
        <v>5.1574074074074074E-3</v>
      </c>
      <c r="M3106" s="4" t="str">
        <f t="shared" si="144"/>
        <v>HIGH</v>
      </c>
      <c r="N3106" s="4" t="str" cm="1">
        <f t="array" ref="N3106">_xlfn.IFS(C3106&gt;35,"HIGH",C3106&gt;25,"MIDDLE",TRUE,"LOW")</f>
        <v>HIGH</v>
      </c>
      <c r="O3106" s="4" t="str">
        <f t="shared" si="145"/>
        <v>OTHERS</v>
      </c>
      <c r="P3106" s="4" t="str">
        <f t="shared" si="146"/>
        <v>PREMINUM MORNING</v>
      </c>
    </row>
    <row r="3107" spans="1:16" x14ac:dyDescent="0.3">
      <c r="A3107" s="4">
        <v>20</v>
      </c>
      <c r="B3107" t="s">
        <v>11</v>
      </c>
      <c r="C3107" s="4">
        <v>35.76</v>
      </c>
      <c r="D3107" t="s">
        <v>12</v>
      </c>
      <c r="E3107" t="s">
        <v>20</v>
      </c>
      <c r="F3107" s="4" t="s">
        <v>30</v>
      </c>
      <c r="G3107" s="4" t="s">
        <v>41</v>
      </c>
      <c r="H3107" s="4">
        <v>4</v>
      </c>
      <c r="I3107" s="4">
        <v>2</v>
      </c>
      <c r="J3107" s="1">
        <v>45708</v>
      </c>
      <c r="K3107" s="2">
        <v>4.9027777777777785E-3</v>
      </c>
      <c r="M3107" s="4" t="str">
        <f t="shared" si="144"/>
        <v>HIGH</v>
      </c>
      <c r="N3107" s="4" t="str" cm="1">
        <f t="array" ref="N3107">_xlfn.IFS(C3107&gt;35,"HIGH",C3107&gt;25,"MIDDLE",TRUE,"LOW")</f>
        <v>HIGH</v>
      </c>
      <c r="O3107" s="4" t="str">
        <f t="shared" si="145"/>
        <v>OTHERS</v>
      </c>
      <c r="P3107" s="4" t="str">
        <f t="shared" si="146"/>
        <v>PREMINUM MORNING</v>
      </c>
    </row>
    <row r="3108" spans="1:16" x14ac:dyDescent="0.3">
      <c r="A3108" s="4">
        <v>6</v>
      </c>
      <c r="B3108" t="s">
        <v>11</v>
      </c>
      <c r="C3108" s="4">
        <v>25.96</v>
      </c>
      <c r="D3108" t="s">
        <v>18</v>
      </c>
      <c r="E3108" t="s">
        <v>13</v>
      </c>
      <c r="F3108" s="4" t="s">
        <v>14</v>
      </c>
      <c r="G3108" s="4" t="s">
        <v>41</v>
      </c>
      <c r="H3108" s="4">
        <v>5</v>
      </c>
      <c r="I3108" s="4">
        <v>2</v>
      </c>
      <c r="J3108" s="1">
        <v>45709</v>
      </c>
      <c r="K3108" s="2">
        <v>4.1069444444444443E-2</v>
      </c>
      <c r="M3108" s="4" t="str">
        <f t="shared" si="144"/>
        <v>LOW</v>
      </c>
      <c r="N3108" s="4" t="str" cm="1">
        <f t="array" ref="N3108">_xlfn.IFS(C3108&gt;35,"HIGH",C3108&gt;25,"MIDDLE",TRUE,"LOW")</f>
        <v>MIDDLE</v>
      </c>
      <c r="O3108" s="4" t="str">
        <f t="shared" si="145"/>
        <v>OTHERS</v>
      </c>
      <c r="P3108" s="4" t="str">
        <f t="shared" si="146"/>
        <v>PREMINUM MORNING</v>
      </c>
    </row>
    <row r="3109" spans="1:16" x14ac:dyDescent="0.3">
      <c r="A3109" s="4">
        <v>9</v>
      </c>
      <c r="B3109" t="s">
        <v>11</v>
      </c>
      <c r="C3109" s="4">
        <v>35.76</v>
      </c>
      <c r="D3109" t="s">
        <v>12</v>
      </c>
      <c r="E3109" t="s">
        <v>13</v>
      </c>
      <c r="F3109" s="4" t="s">
        <v>14</v>
      </c>
      <c r="G3109" s="4" t="s">
        <v>41</v>
      </c>
      <c r="H3109" s="4">
        <v>5</v>
      </c>
      <c r="I3109" s="4">
        <v>2</v>
      </c>
      <c r="J3109" s="1">
        <v>45709</v>
      </c>
      <c r="K3109" s="2">
        <v>2.8814814814814814E-2</v>
      </c>
      <c r="M3109" s="4" t="str">
        <f t="shared" si="144"/>
        <v>HIGH</v>
      </c>
      <c r="N3109" s="4" t="str" cm="1">
        <f t="array" ref="N3109">_xlfn.IFS(C3109&gt;35,"HIGH",C3109&gt;25,"MIDDLE",TRUE,"LOW")</f>
        <v>HIGH</v>
      </c>
      <c r="O3109" s="4" t="str">
        <f t="shared" si="145"/>
        <v>PREMINUM MORNING</v>
      </c>
      <c r="P3109" s="4" t="str">
        <f t="shared" si="146"/>
        <v>PREMINUM MORNING</v>
      </c>
    </row>
    <row r="3110" spans="1:16" x14ac:dyDescent="0.3">
      <c r="A3110" s="4">
        <v>9</v>
      </c>
      <c r="B3110" t="s">
        <v>11</v>
      </c>
      <c r="C3110" s="4">
        <v>35.76</v>
      </c>
      <c r="D3110" t="s">
        <v>29</v>
      </c>
      <c r="E3110" t="s">
        <v>13</v>
      </c>
      <c r="F3110" s="4" t="s">
        <v>14</v>
      </c>
      <c r="G3110" s="4" t="s">
        <v>41</v>
      </c>
      <c r="H3110" s="4">
        <v>5</v>
      </c>
      <c r="I3110" s="4">
        <v>2</v>
      </c>
      <c r="J3110" s="1">
        <v>45709</v>
      </c>
      <c r="K3110" s="2">
        <v>3.4269675925925926E-2</v>
      </c>
      <c r="M3110" s="4" t="str">
        <f t="shared" si="144"/>
        <v>HIGH</v>
      </c>
      <c r="N3110" s="4" t="str" cm="1">
        <f t="array" ref="N3110">_xlfn.IFS(C3110&gt;35,"HIGH",C3110&gt;25,"MIDDLE",TRUE,"LOW")</f>
        <v>HIGH</v>
      </c>
      <c r="O3110" s="4" t="str">
        <f t="shared" si="145"/>
        <v>PREMINUM MORNING</v>
      </c>
      <c r="P3110" s="4" t="str">
        <f t="shared" si="146"/>
        <v>PREMINUM MORNING</v>
      </c>
    </row>
    <row r="3111" spans="1:16" x14ac:dyDescent="0.3">
      <c r="A3111" s="4">
        <v>9</v>
      </c>
      <c r="B3111" t="s">
        <v>11</v>
      </c>
      <c r="C3111" s="4">
        <v>21.06</v>
      </c>
      <c r="D3111" t="s">
        <v>26</v>
      </c>
      <c r="E3111" t="s">
        <v>13</v>
      </c>
      <c r="F3111" s="4" t="s">
        <v>14</v>
      </c>
      <c r="G3111" s="4" t="s">
        <v>41</v>
      </c>
      <c r="H3111" s="4">
        <v>5</v>
      </c>
      <c r="I3111" s="4">
        <v>2</v>
      </c>
      <c r="J3111" s="1">
        <v>45709</v>
      </c>
      <c r="K3111" s="2">
        <v>3.5562499999999997E-2</v>
      </c>
      <c r="M3111" s="4" t="str">
        <f t="shared" si="144"/>
        <v>LOW</v>
      </c>
      <c r="N3111" s="4" t="str" cm="1">
        <f t="array" ref="N3111">_xlfn.IFS(C3111&gt;35,"HIGH",C3111&gt;25,"MIDDLE",TRUE,"LOW")</f>
        <v>LOW</v>
      </c>
      <c r="O3111" s="4" t="str">
        <f t="shared" si="145"/>
        <v>OTHERS</v>
      </c>
      <c r="P3111" s="4" t="str">
        <f t="shared" si="146"/>
        <v>PREMINUM MORNING</v>
      </c>
    </row>
    <row r="3112" spans="1:16" x14ac:dyDescent="0.3">
      <c r="A3112" s="4">
        <v>10</v>
      </c>
      <c r="B3112" t="s">
        <v>11</v>
      </c>
      <c r="C3112" s="4">
        <v>25.96</v>
      </c>
      <c r="D3112" t="s">
        <v>18</v>
      </c>
      <c r="E3112" t="s">
        <v>13</v>
      </c>
      <c r="F3112" s="4" t="s">
        <v>14</v>
      </c>
      <c r="G3112" s="4" t="s">
        <v>41</v>
      </c>
      <c r="H3112" s="4">
        <v>5</v>
      </c>
      <c r="I3112" s="4">
        <v>2</v>
      </c>
      <c r="J3112" s="1">
        <v>45709</v>
      </c>
      <c r="K3112" s="2">
        <v>1.2627314814814815E-2</v>
      </c>
      <c r="M3112" s="4" t="str">
        <f t="shared" si="144"/>
        <v>LOW</v>
      </c>
      <c r="N3112" s="4" t="str" cm="1">
        <f t="array" ref="N3112">_xlfn.IFS(C3112&gt;35,"HIGH",C3112&gt;25,"MIDDLE",TRUE,"LOW")</f>
        <v>MIDDLE</v>
      </c>
      <c r="O3112" s="4" t="str">
        <f t="shared" si="145"/>
        <v>OTHERS</v>
      </c>
      <c r="P3112" s="4" t="str">
        <f t="shared" si="146"/>
        <v>PREMINUM MORNING</v>
      </c>
    </row>
    <row r="3113" spans="1:16" x14ac:dyDescent="0.3">
      <c r="A3113" s="4">
        <v>11</v>
      </c>
      <c r="B3113" t="s">
        <v>11</v>
      </c>
      <c r="C3113" s="4">
        <v>30.86</v>
      </c>
      <c r="D3113" t="s">
        <v>19</v>
      </c>
      <c r="E3113" t="s">
        <v>13</v>
      </c>
      <c r="F3113" s="4" t="s">
        <v>14</v>
      </c>
      <c r="G3113" s="4" t="s">
        <v>41</v>
      </c>
      <c r="H3113" s="4">
        <v>5</v>
      </c>
      <c r="I3113" s="4">
        <v>2</v>
      </c>
      <c r="J3113" s="1">
        <v>45709</v>
      </c>
      <c r="K3113" s="2">
        <v>7.0312500000000002E-3</v>
      </c>
      <c r="M3113" s="4" t="str">
        <f t="shared" si="144"/>
        <v>LOW</v>
      </c>
      <c r="N3113" s="4" t="str" cm="1">
        <f t="array" ref="N3113">_xlfn.IFS(C3113&gt;35,"HIGH",C3113&gt;25,"MIDDLE",TRUE,"LOW")</f>
        <v>MIDDLE</v>
      </c>
      <c r="O3113" s="4" t="str">
        <f t="shared" si="145"/>
        <v>OTHERS</v>
      </c>
      <c r="P3113" s="4" t="str">
        <f t="shared" si="146"/>
        <v>PREMINUM MORNING</v>
      </c>
    </row>
    <row r="3114" spans="1:16" x14ac:dyDescent="0.3">
      <c r="A3114" s="4">
        <v>12</v>
      </c>
      <c r="B3114" t="s">
        <v>11</v>
      </c>
      <c r="C3114" s="4">
        <v>25.96</v>
      </c>
      <c r="D3114" t="s">
        <v>18</v>
      </c>
      <c r="E3114" t="s">
        <v>17</v>
      </c>
      <c r="F3114" s="4" t="s">
        <v>14</v>
      </c>
      <c r="G3114" s="4" t="s">
        <v>41</v>
      </c>
      <c r="H3114" s="4">
        <v>5</v>
      </c>
      <c r="I3114" s="4">
        <v>2</v>
      </c>
      <c r="J3114" s="1">
        <v>45709</v>
      </c>
      <c r="K3114" s="2">
        <v>3.3472222222222219E-3</v>
      </c>
      <c r="M3114" s="4" t="str">
        <f t="shared" si="144"/>
        <v>LOW</v>
      </c>
      <c r="N3114" s="4" t="str" cm="1">
        <f t="array" ref="N3114">_xlfn.IFS(C3114&gt;35,"HIGH",C3114&gt;25,"MIDDLE",TRUE,"LOW")</f>
        <v>MIDDLE</v>
      </c>
      <c r="O3114" s="4" t="str">
        <f t="shared" si="145"/>
        <v>OTHERS</v>
      </c>
      <c r="P3114" s="4" t="str">
        <f t="shared" si="146"/>
        <v>OTHERS</v>
      </c>
    </row>
    <row r="3115" spans="1:16" x14ac:dyDescent="0.3">
      <c r="A3115" s="4">
        <v>12</v>
      </c>
      <c r="B3115" t="s">
        <v>11</v>
      </c>
      <c r="C3115" s="4">
        <v>25.96</v>
      </c>
      <c r="D3115" t="s">
        <v>18</v>
      </c>
      <c r="E3115" t="s">
        <v>17</v>
      </c>
      <c r="F3115" s="4" t="s">
        <v>14</v>
      </c>
      <c r="G3115" s="4" t="s">
        <v>41</v>
      </c>
      <c r="H3115" s="4">
        <v>5</v>
      </c>
      <c r="I3115" s="4">
        <v>2</v>
      </c>
      <c r="J3115" s="1">
        <v>45709</v>
      </c>
      <c r="K3115" s="2">
        <v>5.356481481481482E-3</v>
      </c>
      <c r="M3115" s="4" t="str">
        <f t="shared" si="144"/>
        <v>LOW</v>
      </c>
      <c r="N3115" s="4" t="str" cm="1">
        <f t="array" ref="N3115">_xlfn.IFS(C3115&gt;35,"HIGH",C3115&gt;25,"MIDDLE",TRUE,"LOW")</f>
        <v>MIDDLE</v>
      </c>
      <c r="O3115" s="4" t="str">
        <f t="shared" si="145"/>
        <v>OTHERS</v>
      </c>
      <c r="P3115" s="4" t="str">
        <f t="shared" si="146"/>
        <v>OTHERS</v>
      </c>
    </row>
    <row r="3116" spans="1:16" x14ac:dyDescent="0.3">
      <c r="A3116" s="4">
        <v>12</v>
      </c>
      <c r="B3116" t="s">
        <v>11</v>
      </c>
      <c r="C3116" s="4">
        <v>25.96</v>
      </c>
      <c r="D3116" t="s">
        <v>18</v>
      </c>
      <c r="E3116" t="s">
        <v>17</v>
      </c>
      <c r="F3116" s="4" t="s">
        <v>14</v>
      </c>
      <c r="G3116" s="4" t="s">
        <v>41</v>
      </c>
      <c r="H3116" s="4">
        <v>5</v>
      </c>
      <c r="I3116" s="4">
        <v>2</v>
      </c>
      <c r="J3116" s="1">
        <v>45709</v>
      </c>
      <c r="K3116" s="2">
        <v>3.9097222222222221E-2</v>
      </c>
      <c r="M3116" s="4" t="str">
        <f t="shared" si="144"/>
        <v>LOW</v>
      </c>
      <c r="N3116" s="4" t="str" cm="1">
        <f t="array" ref="N3116">_xlfn.IFS(C3116&gt;35,"HIGH",C3116&gt;25,"MIDDLE",TRUE,"LOW")</f>
        <v>MIDDLE</v>
      </c>
      <c r="O3116" s="4" t="str">
        <f t="shared" si="145"/>
        <v>OTHERS</v>
      </c>
      <c r="P3116" s="4" t="str">
        <f t="shared" si="146"/>
        <v>OTHERS</v>
      </c>
    </row>
    <row r="3117" spans="1:16" x14ac:dyDescent="0.3">
      <c r="A3117" s="4">
        <v>12</v>
      </c>
      <c r="B3117" t="s">
        <v>11</v>
      </c>
      <c r="C3117" s="4">
        <v>25.96</v>
      </c>
      <c r="D3117" t="s">
        <v>18</v>
      </c>
      <c r="E3117" t="s">
        <v>17</v>
      </c>
      <c r="F3117" s="4" t="s">
        <v>14</v>
      </c>
      <c r="G3117" s="4" t="s">
        <v>41</v>
      </c>
      <c r="H3117" s="4">
        <v>5</v>
      </c>
      <c r="I3117" s="4">
        <v>2</v>
      </c>
      <c r="J3117" s="1">
        <v>45709</v>
      </c>
      <c r="K3117" s="2">
        <v>3.9616898148148151E-2</v>
      </c>
      <c r="M3117" s="4" t="str">
        <f t="shared" si="144"/>
        <v>LOW</v>
      </c>
      <c r="N3117" s="4" t="str" cm="1">
        <f t="array" ref="N3117">_xlfn.IFS(C3117&gt;35,"HIGH",C3117&gt;25,"MIDDLE",TRUE,"LOW")</f>
        <v>MIDDLE</v>
      </c>
      <c r="O3117" s="4" t="str">
        <f t="shared" si="145"/>
        <v>OTHERS</v>
      </c>
      <c r="P3117" s="4" t="str">
        <f t="shared" si="146"/>
        <v>OTHERS</v>
      </c>
    </row>
    <row r="3118" spans="1:16" x14ac:dyDescent="0.3">
      <c r="A3118" s="4">
        <v>13</v>
      </c>
      <c r="B3118" t="s">
        <v>11</v>
      </c>
      <c r="C3118" s="4">
        <v>25.96</v>
      </c>
      <c r="D3118" t="s">
        <v>18</v>
      </c>
      <c r="E3118" t="s">
        <v>17</v>
      </c>
      <c r="F3118" s="4" t="s">
        <v>14</v>
      </c>
      <c r="G3118" s="4" t="s">
        <v>41</v>
      </c>
      <c r="H3118" s="4">
        <v>5</v>
      </c>
      <c r="I3118" s="4">
        <v>2</v>
      </c>
      <c r="J3118" s="1">
        <v>45709</v>
      </c>
      <c r="K3118" s="2">
        <v>4.6631944444444438E-3</v>
      </c>
      <c r="M3118" s="4" t="str">
        <f t="shared" si="144"/>
        <v>LOW</v>
      </c>
      <c r="N3118" s="4" t="str" cm="1">
        <f t="array" ref="N3118">_xlfn.IFS(C3118&gt;35,"HIGH",C3118&gt;25,"MIDDLE",TRUE,"LOW")</f>
        <v>MIDDLE</v>
      </c>
      <c r="O3118" s="4" t="str">
        <f t="shared" si="145"/>
        <v>OTHERS</v>
      </c>
      <c r="P3118" s="4" t="str">
        <f t="shared" si="146"/>
        <v>OTHERS</v>
      </c>
    </row>
    <row r="3119" spans="1:16" x14ac:dyDescent="0.3">
      <c r="A3119" s="4">
        <v>14</v>
      </c>
      <c r="B3119" t="s">
        <v>11</v>
      </c>
      <c r="C3119" s="4">
        <v>25.96</v>
      </c>
      <c r="D3119" t="s">
        <v>18</v>
      </c>
      <c r="E3119" t="s">
        <v>17</v>
      </c>
      <c r="F3119" s="4" t="s">
        <v>14</v>
      </c>
      <c r="G3119" s="4" t="s">
        <v>41</v>
      </c>
      <c r="H3119" s="4">
        <v>5</v>
      </c>
      <c r="I3119" s="4">
        <v>2</v>
      </c>
      <c r="J3119" s="1">
        <v>45709</v>
      </c>
      <c r="K3119" s="2">
        <v>1.2439814814814815E-2</v>
      </c>
      <c r="M3119" s="4" t="str">
        <f t="shared" si="144"/>
        <v>LOW</v>
      </c>
      <c r="N3119" s="4" t="str" cm="1">
        <f t="array" ref="N3119">_xlfn.IFS(C3119&gt;35,"HIGH",C3119&gt;25,"MIDDLE",TRUE,"LOW")</f>
        <v>MIDDLE</v>
      </c>
      <c r="O3119" s="4" t="str">
        <f t="shared" si="145"/>
        <v>OTHERS</v>
      </c>
      <c r="P3119" s="4" t="str">
        <f t="shared" si="146"/>
        <v>OTHERS</v>
      </c>
    </row>
    <row r="3120" spans="1:16" x14ac:dyDescent="0.3">
      <c r="A3120" s="4">
        <v>15</v>
      </c>
      <c r="B3120" t="s">
        <v>11</v>
      </c>
      <c r="C3120" s="4">
        <v>35.76</v>
      </c>
      <c r="D3120" t="s">
        <v>29</v>
      </c>
      <c r="E3120" t="s">
        <v>17</v>
      </c>
      <c r="F3120" s="4" t="s">
        <v>14</v>
      </c>
      <c r="G3120" s="4" t="s">
        <v>41</v>
      </c>
      <c r="H3120" s="4">
        <v>5</v>
      </c>
      <c r="I3120" s="4">
        <v>2</v>
      </c>
      <c r="J3120" s="1">
        <v>45709</v>
      </c>
      <c r="K3120" s="2">
        <v>1.2862268518518518E-2</v>
      </c>
      <c r="M3120" s="4" t="str">
        <f t="shared" si="144"/>
        <v>HIGH</v>
      </c>
      <c r="N3120" s="4" t="str" cm="1">
        <f t="array" ref="N3120">_xlfn.IFS(C3120&gt;35,"HIGH",C3120&gt;25,"MIDDLE",TRUE,"LOW")</f>
        <v>HIGH</v>
      </c>
      <c r="O3120" s="4" t="str">
        <f t="shared" si="145"/>
        <v>OTHERS</v>
      </c>
      <c r="P3120" s="4" t="str">
        <f t="shared" si="146"/>
        <v>PREMINUM MORNING</v>
      </c>
    </row>
    <row r="3121" spans="1:16" x14ac:dyDescent="0.3">
      <c r="A3121" s="4">
        <v>15</v>
      </c>
      <c r="B3121" t="s">
        <v>11</v>
      </c>
      <c r="C3121" s="4">
        <v>25.96</v>
      </c>
      <c r="D3121" t="s">
        <v>18</v>
      </c>
      <c r="E3121" t="s">
        <v>17</v>
      </c>
      <c r="F3121" s="4" t="s">
        <v>14</v>
      </c>
      <c r="G3121" s="4" t="s">
        <v>41</v>
      </c>
      <c r="H3121" s="4">
        <v>5</v>
      </c>
      <c r="I3121" s="4">
        <v>2</v>
      </c>
      <c r="J3121" s="1">
        <v>45709</v>
      </c>
      <c r="K3121" s="2">
        <v>3.187731481481481E-2</v>
      </c>
      <c r="M3121" s="4" t="str">
        <f t="shared" si="144"/>
        <v>LOW</v>
      </c>
      <c r="N3121" s="4" t="str" cm="1">
        <f t="array" ref="N3121">_xlfn.IFS(C3121&gt;35,"HIGH",C3121&gt;25,"MIDDLE",TRUE,"LOW")</f>
        <v>MIDDLE</v>
      </c>
      <c r="O3121" s="4" t="str">
        <f t="shared" si="145"/>
        <v>OTHERS</v>
      </c>
      <c r="P3121" s="4" t="str">
        <f t="shared" si="146"/>
        <v>OTHERS</v>
      </c>
    </row>
    <row r="3122" spans="1:16" x14ac:dyDescent="0.3">
      <c r="A3122" s="4">
        <v>15</v>
      </c>
      <c r="B3122" t="s">
        <v>11</v>
      </c>
      <c r="C3122" s="4">
        <v>25.96</v>
      </c>
      <c r="D3122" t="s">
        <v>18</v>
      </c>
      <c r="E3122" t="s">
        <v>17</v>
      </c>
      <c r="F3122" s="4" t="s">
        <v>14</v>
      </c>
      <c r="G3122" s="4" t="s">
        <v>41</v>
      </c>
      <c r="H3122" s="4">
        <v>5</v>
      </c>
      <c r="I3122" s="4">
        <v>2</v>
      </c>
      <c r="J3122" s="1">
        <v>45709</v>
      </c>
      <c r="K3122" s="2">
        <v>3.2503472222222225E-2</v>
      </c>
      <c r="M3122" s="4" t="str">
        <f t="shared" si="144"/>
        <v>LOW</v>
      </c>
      <c r="N3122" s="4" t="str" cm="1">
        <f t="array" ref="N3122">_xlfn.IFS(C3122&gt;35,"HIGH",C3122&gt;25,"MIDDLE",TRUE,"LOW")</f>
        <v>MIDDLE</v>
      </c>
      <c r="O3122" s="4" t="str">
        <f t="shared" si="145"/>
        <v>OTHERS</v>
      </c>
      <c r="P3122" s="4" t="str">
        <f t="shared" si="146"/>
        <v>OTHERS</v>
      </c>
    </row>
    <row r="3123" spans="1:16" x14ac:dyDescent="0.3">
      <c r="A3123" s="4">
        <v>15</v>
      </c>
      <c r="B3123" t="s">
        <v>11</v>
      </c>
      <c r="C3123" s="4">
        <v>25.96</v>
      </c>
      <c r="D3123" t="s">
        <v>18</v>
      </c>
      <c r="E3123" t="s">
        <v>17</v>
      </c>
      <c r="F3123" s="4" t="s">
        <v>14</v>
      </c>
      <c r="G3123" s="4" t="s">
        <v>41</v>
      </c>
      <c r="H3123" s="4">
        <v>5</v>
      </c>
      <c r="I3123" s="4">
        <v>2</v>
      </c>
      <c r="J3123" s="1">
        <v>45709</v>
      </c>
      <c r="K3123" s="2">
        <v>3.6666666666666667E-2</v>
      </c>
      <c r="M3123" s="4" t="str">
        <f t="shared" si="144"/>
        <v>LOW</v>
      </c>
      <c r="N3123" s="4" t="str" cm="1">
        <f t="array" ref="N3123">_xlfn.IFS(C3123&gt;35,"HIGH",C3123&gt;25,"MIDDLE",TRUE,"LOW")</f>
        <v>MIDDLE</v>
      </c>
      <c r="O3123" s="4" t="str">
        <f t="shared" si="145"/>
        <v>OTHERS</v>
      </c>
      <c r="P3123" s="4" t="str">
        <f t="shared" si="146"/>
        <v>OTHERS</v>
      </c>
    </row>
    <row r="3124" spans="1:16" x14ac:dyDescent="0.3">
      <c r="A3124" s="4">
        <v>16</v>
      </c>
      <c r="B3124" t="s">
        <v>11</v>
      </c>
      <c r="C3124" s="4">
        <v>35.76</v>
      </c>
      <c r="D3124" t="s">
        <v>21</v>
      </c>
      <c r="E3124" t="s">
        <v>17</v>
      </c>
      <c r="F3124" s="4" t="s">
        <v>14</v>
      </c>
      <c r="G3124" s="4" t="s">
        <v>41</v>
      </c>
      <c r="H3124" s="4">
        <v>5</v>
      </c>
      <c r="I3124" s="4">
        <v>2</v>
      </c>
      <c r="J3124" s="1">
        <v>45709</v>
      </c>
      <c r="K3124" s="2">
        <v>7.0150462962962961E-3</v>
      </c>
      <c r="M3124" s="4" t="str">
        <f t="shared" si="144"/>
        <v>HIGH</v>
      </c>
      <c r="N3124" s="4" t="str" cm="1">
        <f t="array" ref="N3124">_xlfn.IFS(C3124&gt;35,"HIGH",C3124&gt;25,"MIDDLE",TRUE,"LOW")</f>
        <v>HIGH</v>
      </c>
      <c r="O3124" s="4" t="str">
        <f t="shared" si="145"/>
        <v>OTHERS</v>
      </c>
      <c r="P3124" s="4" t="str">
        <f t="shared" si="146"/>
        <v>PREMINUM MORNING</v>
      </c>
    </row>
    <row r="3125" spans="1:16" x14ac:dyDescent="0.3">
      <c r="A3125" s="4">
        <v>16</v>
      </c>
      <c r="B3125" t="s">
        <v>11</v>
      </c>
      <c r="C3125" s="4">
        <v>35.76</v>
      </c>
      <c r="D3125" t="s">
        <v>12</v>
      </c>
      <c r="E3125" t="s">
        <v>17</v>
      </c>
      <c r="F3125" s="4" t="s">
        <v>14</v>
      </c>
      <c r="G3125" s="4" t="s">
        <v>41</v>
      </c>
      <c r="H3125" s="4">
        <v>5</v>
      </c>
      <c r="I3125" s="4">
        <v>2</v>
      </c>
      <c r="J3125" s="1">
        <v>45709</v>
      </c>
      <c r="K3125" s="2">
        <v>3.2623842592592593E-2</v>
      </c>
      <c r="M3125" s="4" t="str">
        <f t="shared" si="144"/>
        <v>HIGH</v>
      </c>
      <c r="N3125" s="4" t="str" cm="1">
        <f t="array" ref="N3125">_xlfn.IFS(C3125&gt;35,"HIGH",C3125&gt;25,"MIDDLE",TRUE,"LOW")</f>
        <v>HIGH</v>
      </c>
      <c r="O3125" s="4" t="str">
        <f t="shared" si="145"/>
        <v>OTHERS</v>
      </c>
      <c r="P3125" s="4" t="str">
        <f t="shared" si="146"/>
        <v>PREMINUM MORNING</v>
      </c>
    </row>
    <row r="3126" spans="1:16" x14ac:dyDescent="0.3">
      <c r="A3126" s="4">
        <v>16</v>
      </c>
      <c r="B3126" t="s">
        <v>11</v>
      </c>
      <c r="C3126" s="4">
        <v>35.76</v>
      </c>
      <c r="D3126" t="s">
        <v>16</v>
      </c>
      <c r="E3126" t="s">
        <v>17</v>
      </c>
      <c r="F3126" s="4" t="s">
        <v>14</v>
      </c>
      <c r="G3126" s="4" t="s">
        <v>41</v>
      </c>
      <c r="H3126" s="4">
        <v>5</v>
      </c>
      <c r="I3126" s="4">
        <v>2</v>
      </c>
      <c r="J3126" s="1">
        <v>45709</v>
      </c>
      <c r="K3126" s="2">
        <v>3.4010416666666668E-2</v>
      </c>
      <c r="M3126" s="4" t="str">
        <f t="shared" si="144"/>
        <v>HIGH</v>
      </c>
      <c r="N3126" s="4" t="str" cm="1">
        <f t="array" ref="N3126">_xlfn.IFS(C3126&gt;35,"HIGH",C3126&gt;25,"MIDDLE",TRUE,"LOW")</f>
        <v>HIGH</v>
      </c>
      <c r="O3126" s="4" t="str">
        <f t="shared" si="145"/>
        <v>OTHERS</v>
      </c>
      <c r="P3126" s="4" t="str">
        <f t="shared" si="146"/>
        <v>PREMINUM MORNING</v>
      </c>
    </row>
    <row r="3127" spans="1:16" x14ac:dyDescent="0.3">
      <c r="A3127" s="4">
        <v>16</v>
      </c>
      <c r="B3127" t="s">
        <v>11</v>
      </c>
      <c r="C3127" s="4">
        <v>35.76</v>
      </c>
      <c r="D3127" t="s">
        <v>12</v>
      </c>
      <c r="E3127" t="s">
        <v>17</v>
      </c>
      <c r="F3127" s="4" t="s">
        <v>14</v>
      </c>
      <c r="G3127" s="4" t="s">
        <v>41</v>
      </c>
      <c r="H3127" s="4">
        <v>5</v>
      </c>
      <c r="I3127" s="4">
        <v>2</v>
      </c>
      <c r="J3127" s="1">
        <v>45709</v>
      </c>
      <c r="K3127" s="2">
        <v>3.4877314814814819E-2</v>
      </c>
      <c r="M3127" s="4" t="str">
        <f t="shared" si="144"/>
        <v>HIGH</v>
      </c>
      <c r="N3127" s="4" t="str" cm="1">
        <f t="array" ref="N3127">_xlfn.IFS(C3127&gt;35,"HIGH",C3127&gt;25,"MIDDLE",TRUE,"LOW")</f>
        <v>HIGH</v>
      </c>
      <c r="O3127" s="4" t="str">
        <f t="shared" si="145"/>
        <v>OTHERS</v>
      </c>
      <c r="P3127" s="4" t="str">
        <f t="shared" si="146"/>
        <v>PREMINUM MORNING</v>
      </c>
    </row>
    <row r="3128" spans="1:16" x14ac:dyDescent="0.3">
      <c r="A3128" s="4">
        <v>19</v>
      </c>
      <c r="B3128" t="s">
        <v>11</v>
      </c>
      <c r="C3128" s="4">
        <v>35.76</v>
      </c>
      <c r="D3128" t="s">
        <v>21</v>
      </c>
      <c r="E3128" t="s">
        <v>20</v>
      </c>
      <c r="F3128" s="4" t="s">
        <v>14</v>
      </c>
      <c r="G3128" s="4" t="s">
        <v>41</v>
      </c>
      <c r="H3128" s="4">
        <v>5</v>
      </c>
      <c r="I3128" s="4">
        <v>2</v>
      </c>
      <c r="J3128" s="1">
        <v>45709</v>
      </c>
      <c r="K3128" s="2">
        <v>5.7731481481481479E-3</v>
      </c>
      <c r="M3128" s="4" t="str">
        <f t="shared" si="144"/>
        <v>HIGH</v>
      </c>
      <c r="N3128" s="4" t="str" cm="1">
        <f t="array" ref="N3128">_xlfn.IFS(C3128&gt;35,"HIGH",C3128&gt;25,"MIDDLE",TRUE,"LOW")</f>
        <v>HIGH</v>
      </c>
      <c r="O3128" s="4" t="str">
        <f t="shared" si="145"/>
        <v>OTHERS</v>
      </c>
      <c r="P3128" s="4" t="str">
        <f t="shared" si="146"/>
        <v>PREMINUM MORNING</v>
      </c>
    </row>
    <row r="3129" spans="1:16" x14ac:dyDescent="0.3">
      <c r="A3129" s="4">
        <v>19</v>
      </c>
      <c r="B3129" t="s">
        <v>11</v>
      </c>
      <c r="C3129" s="4">
        <v>35.76</v>
      </c>
      <c r="D3129" t="s">
        <v>21</v>
      </c>
      <c r="E3129" t="s">
        <v>20</v>
      </c>
      <c r="F3129" s="4" t="s">
        <v>14</v>
      </c>
      <c r="G3129" s="4" t="s">
        <v>41</v>
      </c>
      <c r="H3129" s="4">
        <v>5</v>
      </c>
      <c r="I3129" s="4">
        <v>2</v>
      </c>
      <c r="J3129" s="1">
        <v>45709</v>
      </c>
      <c r="K3129" s="2">
        <v>6.3611111111111117E-3</v>
      </c>
      <c r="M3129" s="4" t="str">
        <f t="shared" si="144"/>
        <v>HIGH</v>
      </c>
      <c r="N3129" s="4" t="str" cm="1">
        <f t="array" ref="N3129">_xlfn.IFS(C3129&gt;35,"HIGH",C3129&gt;25,"MIDDLE",TRUE,"LOW")</f>
        <v>HIGH</v>
      </c>
      <c r="O3129" s="4" t="str">
        <f t="shared" si="145"/>
        <v>OTHERS</v>
      </c>
      <c r="P3129" s="4" t="str">
        <f t="shared" si="146"/>
        <v>PREMINUM MORNING</v>
      </c>
    </row>
    <row r="3130" spans="1:16" x14ac:dyDescent="0.3">
      <c r="A3130" s="4">
        <v>19</v>
      </c>
      <c r="B3130" t="s">
        <v>11</v>
      </c>
      <c r="C3130" s="4">
        <v>35.76</v>
      </c>
      <c r="D3130" t="s">
        <v>29</v>
      </c>
      <c r="E3130" t="s">
        <v>20</v>
      </c>
      <c r="F3130" s="4" t="s">
        <v>14</v>
      </c>
      <c r="G3130" s="4" t="s">
        <v>41</v>
      </c>
      <c r="H3130" s="4">
        <v>5</v>
      </c>
      <c r="I3130" s="4">
        <v>2</v>
      </c>
      <c r="J3130" s="1">
        <v>45709</v>
      </c>
      <c r="K3130" s="2">
        <v>4.1251157407407403E-2</v>
      </c>
      <c r="M3130" s="4" t="str">
        <f t="shared" si="144"/>
        <v>HIGH</v>
      </c>
      <c r="N3130" s="4" t="str" cm="1">
        <f t="array" ref="N3130">_xlfn.IFS(C3130&gt;35,"HIGH",C3130&gt;25,"MIDDLE",TRUE,"LOW")</f>
        <v>HIGH</v>
      </c>
      <c r="O3130" s="4" t="str">
        <f t="shared" si="145"/>
        <v>OTHERS</v>
      </c>
      <c r="P3130" s="4" t="str">
        <f t="shared" si="146"/>
        <v>PREMINUM MORNING</v>
      </c>
    </row>
    <row r="3131" spans="1:16" x14ac:dyDescent="0.3">
      <c r="A3131" s="4">
        <v>10</v>
      </c>
      <c r="B3131" t="s">
        <v>11</v>
      </c>
      <c r="C3131" s="4">
        <v>35.76</v>
      </c>
      <c r="D3131" t="s">
        <v>16</v>
      </c>
      <c r="E3131" t="s">
        <v>13</v>
      </c>
      <c r="F3131" s="4" t="s">
        <v>22</v>
      </c>
      <c r="G3131" s="4" t="s">
        <v>41</v>
      </c>
      <c r="H3131" s="4">
        <v>6</v>
      </c>
      <c r="I3131" s="4">
        <v>2</v>
      </c>
      <c r="J3131" s="1">
        <v>45710</v>
      </c>
      <c r="K3131" s="2">
        <v>3.6327546296296295E-2</v>
      </c>
      <c r="M3131" s="4" t="str">
        <f t="shared" si="144"/>
        <v>HIGH</v>
      </c>
      <c r="N3131" s="4" t="str" cm="1">
        <f t="array" ref="N3131">_xlfn.IFS(C3131&gt;35,"HIGH",C3131&gt;25,"MIDDLE",TRUE,"LOW")</f>
        <v>HIGH</v>
      </c>
      <c r="O3131" s="4" t="str">
        <f t="shared" si="145"/>
        <v>PREMINUM MORNING</v>
      </c>
      <c r="P3131" s="4" t="str">
        <f t="shared" si="146"/>
        <v>PREMINUM MORNING</v>
      </c>
    </row>
    <row r="3132" spans="1:16" x14ac:dyDescent="0.3">
      <c r="A3132" s="4">
        <v>11</v>
      </c>
      <c r="B3132" t="s">
        <v>11</v>
      </c>
      <c r="C3132" s="4">
        <v>25.96</v>
      </c>
      <c r="D3132" t="s">
        <v>18</v>
      </c>
      <c r="E3132" t="s">
        <v>13</v>
      </c>
      <c r="F3132" s="4" t="s">
        <v>22</v>
      </c>
      <c r="G3132" s="4" t="s">
        <v>41</v>
      </c>
      <c r="H3132" s="4">
        <v>6</v>
      </c>
      <c r="I3132" s="4">
        <v>2</v>
      </c>
      <c r="J3132" s="1">
        <v>45710</v>
      </c>
      <c r="K3132" s="2">
        <v>1.9797453703703703E-2</v>
      </c>
      <c r="M3132" s="4" t="str">
        <f t="shared" si="144"/>
        <v>LOW</v>
      </c>
      <c r="N3132" s="4" t="str" cm="1">
        <f t="array" ref="N3132">_xlfn.IFS(C3132&gt;35,"HIGH",C3132&gt;25,"MIDDLE",TRUE,"LOW")</f>
        <v>MIDDLE</v>
      </c>
      <c r="O3132" s="4" t="str">
        <f t="shared" si="145"/>
        <v>OTHERS</v>
      </c>
      <c r="P3132" s="4" t="str">
        <f t="shared" si="146"/>
        <v>PREMINUM MORNING</v>
      </c>
    </row>
    <row r="3133" spans="1:16" x14ac:dyDescent="0.3">
      <c r="A3133" s="4">
        <v>11</v>
      </c>
      <c r="B3133" t="s">
        <v>11</v>
      </c>
      <c r="C3133" s="4">
        <v>25.96</v>
      </c>
      <c r="D3133" t="s">
        <v>18</v>
      </c>
      <c r="E3133" t="s">
        <v>13</v>
      </c>
      <c r="F3133" s="4" t="s">
        <v>22</v>
      </c>
      <c r="G3133" s="4" t="s">
        <v>41</v>
      </c>
      <c r="H3133" s="4">
        <v>6</v>
      </c>
      <c r="I3133" s="4">
        <v>2</v>
      </c>
      <c r="J3133" s="1">
        <v>45710</v>
      </c>
      <c r="K3133" s="2">
        <v>2.8620370370370372E-2</v>
      </c>
      <c r="M3133" s="4" t="str">
        <f t="shared" si="144"/>
        <v>LOW</v>
      </c>
      <c r="N3133" s="4" t="str" cm="1">
        <f t="array" ref="N3133">_xlfn.IFS(C3133&gt;35,"HIGH",C3133&gt;25,"MIDDLE",TRUE,"LOW")</f>
        <v>MIDDLE</v>
      </c>
      <c r="O3133" s="4" t="str">
        <f t="shared" si="145"/>
        <v>OTHERS</v>
      </c>
      <c r="P3133" s="4" t="str">
        <f t="shared" si="146"/>
        <v>PREMINUM MORNING</v>
      </c>
    </row>
    <row r="3134" spans="1:16" x14ac:dyDescent="0.3">
      <c r="A3134" s="4">
        <v>12</v>
      </c>
      <c r="B3134" t="s">
        <v>11</v>
      </c>
      <c r="C3134" s="4">
        <v>21.06</v>
      </c>
      <c r="D3134" t="s">
        <v>26</v>
      </c>
      <c r="E3134" t="s">
        <v>17</v>
      </c>
      <c r="F3134" s="4" t="s">
        <v>22</v>
      </c>
      <c r="G3134" s="4" t="s">
        <v>41</v>
      </c>
      <c r="H3134" s="4">
        <v>6</v>
      </c>
      <c r="I3134" s="4">
        <v>2</v>
      </c>
      <c r="J3134" s="1">
        <v>45710</v>
      </c>
      <c r="K3134" s="2">
        <v>4.1457175925925925E-2</v>
      </c>
      <c r="M3134" s="4" t="str">
        <f t="shared" si="144"/>
        <v>LOW</v>
      </c>
      <c r="N3134" s="4" t="str" cm="1">
        <f t="array" ref="N3134">_xlfn.IFS(C3134&gt;35,"HIGH",C3134&gt;25,"MIDDLE",TRUE,"LOW")</f>
        <v>LOW</v>
      </c>
      <c r="O3134" s="4" t="str">
        <f t="shared" si="145"/>
        <v>OTHERS</v>
      </c>
      <c r="P3134" s="4" t="str">
        <f t="shared" si="146"/>
        <v>OTHERS</v>
      </c>
    </row>
    <row r="3135" spans="1:16" x14ac:dyDescent="0.3">
      <c r="A3135" s="4">
        <v>15</v>
      </c>
      <c r="B3135" t="s">
        <v>11</v>
      </c>
      <c r="C3135" s="4">
        <v>30.86</v>
      </c>
      <c r="D3135" t="s">
        <v>19</v>
      </c>
      <c r="E3135" t="s">
        <v>17</v>
      </c>
      <c r="F3135" s="4" t="s">
        <v>22</v>
      </c>
      <c r="G3135" s="4" t="s">
        <v>41</v>
      </c>
      <c r="H3135" s="4">
        <v>6</v>
      </c>
      <c r="I3135" s="4">
        <v>2</v>
      </c>
      <c r="J3135" s="1">
        <v>45710</v>
      </c>
      <c r="K3135" s="2">
        <v>2.1215277777777777E-3</v>
      </c>
      <c r="M3135" s="4" t="str">
        <f t="shared" si="144"/>
        <v>LOW</v>
      </c>
      <c r="N3135" s="4" t="str" cm="1">
        <f t="array" ref="N3135">_xlfn.IFS(C3135&gt;35,"HIGH",C3135&gt;25,"MIDDLE",TRUE,"LOW")</f>
        <v>MIDDLE</v>
      </c>
      <c r="O3135" s="4" t="str">
        <f t="shared" si="145"/>
        <v>OTHERS</v>
      </c>
      <c r="P3135" s="4" t="str">
        <f t="shared" si="146"/>
        <v>OTHERS</v>
      </c>
    </row>
    <row r="3136" spans="1:16" x14ac:dyDescent="0.3">
      <c r="A3136" s="4">
        <v>10</v>
      </c>
      <c r="B3136" t="s">
        <v>11</v>
      </c>
      <c r="C3136" s="4">
        <v>30.86</v>
      </c>
      <c r="D3136" t="s">
        <v>19</v>
      </c>
      <c r="E3136" t="s">
        <v>13</v>
      </c>
      <c r="F3136" s="4" t="s">
        <v>23</v>
      </c>
      <c r="G3136" s="4" t="s">
        <v>41</v>
      </c>
      <c r="H3136" s="4">
        <v>7</v>
      </c>
      <c r="I3136" s="4">
        <v>2</v>
      </c>
      <c r="J3136" s="1">
        <v>45711</v>
      </c>
      <c r="K3136" s="2">
        <v>2.3049768518518518E-2</v>
      </c>
      <c r="M3136" s="4" t="str">
        <f t="shared" si="144"/>
        <v>LOW</v>
      </c>
      <c r="N3136" s="4" t="str" cm="1">
        <f t="array" ref="N3136">_xlfn.IFS(C3136&gt;35,"HIGH",C3136&gt;25,"MIDDLE",TRUE,"LOW")</f>
        <v>MIDDLE</v>
      </c>
      <c r="O3136" s="4" t="str">
        <f t="shared" si="145"/>
        <v>OTHERS</v>
      </c>
      <c r="P3136" s="4" t="str">
        <f t="shared" si="146"/>
        <v>PREMINUM MORNING</v>
      </c>
    </row>
    <row r="3137" spans="1:16" x14ac:dyDescent="0.3">
      <c r="A3137" s="4">
        <v>12</v>
      </c>
      <c r="B3137" t="s">
        <v>11</v>
      </c>
      <c r="C3137" s="4">
        <v>30.86</v>
      </c>
      <c r="D3137" t="s">
        <v>19</v>
      </c>
      <c r="E3137" t="s">
        <v>17</v>
      </c>
      <c r="F3137" s="4" t="s">
        <v>23</v>
      </c>
      <c r="G3137" s="4" t="s">
        <v>41</v>
      </c>
      <c r="H3137" s="4">
        <v>7</v>
      </c>
      <c r="I3137" s="4">
        <v>2</v>
      </c>
      <c r="J3137" s="1">
        <v>45711</v>
      </c>
      <c r="K3137" s="2">
        <v>3.6416666666666667E-2</v>
      </c>
      <c r="M3137" s="4" t="str">
        <f t="shared" si="144"/>
        <v>LOW</v>
      </c>
      <c r="N3137" s="4" t="str" cm="1">
        <f t="array" ref="N3137">_xlfn.IFS(C3137&gt;35,"HIGH",C3137&gt;25,"MIDDLE",TRUE,"LOW")</f>
        <v>MIDDLE</v>
      </c>
      <c r="O3137" s="4" t="str">
        <f t="shared" si="145"/>
        <v>OTHERS</v>
      </c>
      <c r="P3137" s="4" t="str">
        <f t="shared" si="146"/>
        <v>OTHERS</v>
      </c>
    </row>
    <row r="3138" spans="1:16" x14ac:dyDescent="0.3">
      <c r="A3138" s="4">
        <v>12</v>
      </c>
      <c r="B3138" t="s">
        <v>11</v>
      </c>
      <c r="C3138" s="4">
        <v>30.86</v>
      </c>
      <c r="D3138" t="s">
        <v>19</v>
      </c>
      <c r="E3138" t="s">
        <v>17</v>
      </c>
      <c r="F3138" s="4" t="s">
        <v>23</v>
      </c>
      <c r="G3138" s="4" t="s">
        <v>41</v>
      </c>
      <c r="H3138" s="4">
        <v>7</v>
      </c>
      <c r="I3138" s="4">
        <v>2</v>
      </c>
      <c r="J3138" s="1">
        <v>45711</v>
      </c>
      <c r="K3138" s="2">
        <v>3.7571759259259256E-2</v>
      </c>
      <c r="M3138" s="4" t="str">
        <f t="shared" si="144"/>
        <v>LOW</v>
      </c>
      <c r="N3138" s="4" t="str" cm="1">
        <f t="array" ref="N3138">_xlfn.IFS(C3138&gt;35,"HIGH",C3138&gt;25,"MIDDLE",TRUE,"LOW")</f>
        <v>MIDDLE</v>
      </c>
      <c r="O3138" s="4" t="str">
        <f t="shared" si="145"/>
        <v>OTHERS</v>
      </c>
      <c r="P3138" s="4" t="str">
        <f t="shared" si="146"/>
        <v>OTHERS</v>
      </c>
    </row>
    <row r="3139" spans="1:16" x14ac:dyDescent="0.3">
      <c r="A3139" s="4">
        <v>13</v>
      </c>
      <c r="B3139" t="s">
        <v>11</v>
      </c>
      <c r="C3139" s="4">
        <v>35.76</v>
      </c>
      <c r="D3139" t="s">
        <v>29</v>
      </c>
      <c r="E3139" t="s">
        <v>17</v>
      </c>
      <c r="F3139" s="4" t="s">
        <v>23</v>
      </c>
      <c r="G3139" s="4" t="s">
        <v>41</v>
      </c>
      <c r="H3139" s="4">
        <v>7</v>
      </c>
      <c r="I3139" s="4">
        <v>2</v>
      </c>
      <c r="J3139" s="1">
        <v>45711</v>
      </c>
      <c r="K3139" s="2">
        <v>3.4972222222222224E-2</v>
      </c>
      <c r="M3139" s="4" t="str">
        <f t="shared" ref="M3139:M3202" si="147">IF(C3139&gt;35,"HIGH","LOW")</f>
        <v>HIGH</v>
      </c>
      <c r="N3139" s="4" t="str" cm="1">
        <f t="array" ref="N3139">_xlfn.IFS(C3139&gt;35,"HIGH",C3139&gt;25,"MIDDLE",TRUE,"LOW")</f>
        <v>HIGH</v>
      </c>
      <c r="O3139" s="4" t="str">
        <f t="shared" ref="O3139:O3202" si="148">IF(AND(C3139&gt;35,E3139="MORNING"),"PREMINUM MORNING","OTHERS")</f>
        <v>OTHERS</v>
      </c>
      <c r="P3139" s="4" t="str">
        <f t="shared" ref="P3139:P3202" si="149">IF(OR(C3139&gt;35,E3139="MORNING"),"PREMINUM MORNING","OTHERS")</f>
        <v>PREMINUM MORNING</v>
      </c>
    </row>
    <row r="3140" spans="1:16" x14ac:dyDescent="0.3">
      <c r="A3140" s="4">
        <v>14</v>
      </c>
      <c r="B3140" t="s">
        <v>11</v>
      </c>
      <c r="C3140" s="4">
        <v>35.76</v>
      </c>
      <c r="D3140" t="s">
        <v>21</v>
      </c>
      <c r="E3140" t="s">
        <v>17</v>
      </c>
      <c r="F3140" s="4" t="s">
        <v>23</v>
      </c>
      <c r="G3140" s="4" t="s">
        <v>41</v>
      </c>
      <c r="H3140" s="4">
        <v>7</v>
      </c>
      <c r="I3140" s="4">
        <v>2</v>
      </c>
      <c r="J3140" s="1">
        <v>45711</v>
      </c>
      <c r="K3140" s="2">
        <v>1.4282407407407408E-3</v>
      </c>
      <c r="M3140" s="4" t="str">
        <f t="shared" si="147"/>
        <v>HIGH</v>
      </c>
      <c r="N3140" s="4" t="str" cm="1">
        <f t="array" ref="N3140">_xlfn.IFS(C3140&gt;35,"HIGH",C3140&gt;25,"MIDDLE",TRUE,"LOW")</f>
        <v>HIGH</v>
      </c>
      <c r="O3140" s="4" t="str">
        <f t="shared" si="148"/>
        <v>OTHERS</v>
      </c>
      <c r="P3140" s="4" t="str">
        <f t="shared" si="149"/>
        <v>PREMINUM MORNING</v>
      </c>
    </row>
    <row r="3141" spans="1:16" x14ac:dyDescent="0.3">
      <c r="A3141" s="4">
        <v>17</v>
      </c>
      <c r="B3141" t="s">
        <v>11</v>
      </c>
      <c r="C3141" s="4">
        <v>25.96</v>
      </c>
      <c r="D3141" t="s">
        <v>18</v>
      </c>
      <c r="E3141" t="s">
        <v>20</v>
      </c>
      <c r="F3141" s="4" t="s">
        <v>23</v>
      </c>
      <c r="G3141" s="4" t="s">
        <v>41</v>
      </c>
      <c r="H3141" s="4">
        <v>7</v>
      </c>
      <c r="I3141" s="4">
        <v>2</v>
      </c>
      <c r="J3141" s="1">
        <v>45711</v>
      </c>
      <c r="K3141" s="2">
        <v>1.9269675925925926E-2</v>
      </c>
      <c r="M3141" s="4" t="str">
        <f t="shared" si="147"/>
        <v>LOW</v>
      </c>
      <c r="N3141" s="4" t="str" cm="1">
        <f t="array" ref="N3141">_xlfn.IFS(C3141&gt;35,"HIGH",C3141&gt;25,"MIDDLE",TRUE,"LOW")</f>
        <v>MIDDLE</v>
      </c>
      <c r="O3141" s="4" t="str">
        <f t="shared" si="148"/>
        <v>OTHERS</v>
      </c>
      <c r="P3141" s="4" t="str">
        <f t="shared" si="149"/>
        <v>OTHERS</v>
      </c>
    </row>
    <row r="3142" spans="1:16" x14ac:dyDescent="0.3">
      <c r="A3142" s="4">
        <v>9</v>
      </c>
      <c r="B3142" t="s">
        <v>11</v>
      </c>
      <c r="C3142" s="4">
        <v>30.86</v>
      </c>
      <c r="D3142" t="s">
        <v>19</v>
      </c>
      <c r="E3142" t="s">
        <v>13</v>
      </c>
      <c r="F3142" s="4" t="s">
        <v>25</v>
      </c>
      <c r="G3142" s="4" t="s">
        <v>41</v>
      </c>
      <c r="H3142" s="4">
        <v>1</v>
      </c>
      <c r="I3142" s="4">
        <v>2</v>
      </c>
      <c r="J3142" s="1">
        <v>45712</v>
      </c>
      <c r="K3142" s="2">
        <v>1.0342592592592592E-2</v>
      </c>
      <c r="M3142" s="4" t="str">
        <f t="shared" si="147"/>
        <v>LOW</v>
      </c>
      <c r="N3142" s="4" t="str" cm="1">
        <f t="array" ref="N3142">_xlfn.IFS(C3142&gt;35,"HIGH",C3142&gt;25,"MIDDLE",TRUE,"LOW")</f>
        <v>MIDDLE</v>
      </c>
      <c r="O3142" s="4" t="str">
        <f t="shared" si="148"/>
        <v>OTHERS</v>
      </c>
      <c r="P3142" s="4" t="str">
        <f t="shared" si="149"/>
        <v>PREMINUM MORNING</v>
      </c>
    </row>
    <row r="3143" spans="1:16" x14ac:dyDescent="0.3">
      <c r="A3143" s="4">
        <v>9</v>
      </c>
      <c r="B3143" t="s">
        <v>11</v>
      </c>
      <c r="C3143" s="4">
        <v>35.76</v>
      </c>
      <c r="D3143" t="s">
        <v>12</v>
      </c>
      <c r="E3143" t="s">
        <v>13</v>
      </c>
      <c r="F3143" s="4" t="s">
        <v>25</v>
      </c>
      <c r="G3143" s="4" t="s">
        <v>41</v>
      </c>
      <c r="H3143" s="4">
        <v>1</v>
      </c>
      <c r="I3143" s="4">
        <v>2</v>
      </c>
      <c r="J3143" s="1">
        <v>45712</v>
      </c>
      <c r="K3143" s="2">
        <v>3.1373842592592592E-2</v>
      </c>
      <c r="M3143" s="4" t="str">
        <f t="shared" si="147"/>
        <v>HIGH</v>
      </c>
      <c r="N3143" s="4" t="str" cm="1">
        <f t="array" ref="N3143">_xlfn.IFS(C3143&gt;35,"HIGH",C3143&gt;25,"MIDDLE",TRUE,"LOW")</f>
        <v>HIGH</v>
      </c>
      <c r="O3143" s="4" t="str">
        <f t="shared" si="148"/>
        <v>PREMINUM MORNING</v>
      </c>
      <c r="P3143" s="4" t="str">
        <f t="shared" si="149"/>
        <v>PREMINUM MORNING</v>
      </c>
    </row>
    <row r="3144" spans="1:16" x14ac:dyDescent="0.3">
      <c r="A3144" s="4">
        <v>10</v>
      </c>
      <c r="B3144" t="s">
        <v>11</v>
      </c>
      <c r="C3144" s="4">
        <v>25.96</v>
      </c>
      <c r="D3144" t="s">
        <v>18</v>
      </c>
      <c r="E3144" t="s">
        <v>13</v>
      </c>
      <c r="F3144" s="4" t="s">
        <v>25</v>
      </c>
      <c r="G3144" s="4" t="s">
        <v>41</v>
      </c>
      <c r="H3144" s="4">
        <v>1</v>
      </c>
      <c r="I3144" s="4">
        <v>2</v>
      </c>
      <c r="J3144" s="1">
        <v>45712</v>
      </c>
      <c r="K3144" s="2">
        <v>1.9502314814814814E-3</v>
      </c>
      <c r="M3144" s="4" t="str">
        <f t="shared" si="147"/>
        <v>LOW</v>
      </c>
      <c r="N3144" s="4" t="str" cm="1">
        <f t="array" ref="N3144">_xlfn.IFS(C3144&gt;35,"HIGH",C3144&gt;25,"MIDDLE",TRUE,"LOW")</f>
        <v>MIDDLE</v>
      </c>
      <c r="O3144" s="4" t="str">
        <f t="shared" si="148"/>
        <v>OTHERS</v>
      </c>
      <c r="P3144" s="4" t="str">
        <f t="shared" si="149"/>
        <v>PREMINUM MORNING</v>
      </c>
    </row>
    <row r="3145" spans="1:16" x14ac:dyDescent="0.3">
      <c r="A3145" s="4">
        <v>10</v>
      </c>
      <c r="B3145" t="s">
        <v>11</v>
      </c>
      <c r="C3145" s="4">
        <v>30.86</v>
      </c>
      <c r="D3145" t="s">
        <v>19</v>
      </c>
      <c r="E3145" t="s">
        <v>13</v>
      </c>
      <c r="F3145" s="4" t="s">
        <v>25</v>
      </c>
      <c r="G3145" s="4" t="s">
        <v>41</v>
      </c>
      <c r="H3145" s="4">
        <v>1</v>
      </c>
      <c r="I3145" s="4">
        <v>2</v>
      </c>
      <c r="J3145" s="1">
        <v>45712</v>
      </c>
      <c r="K3145" s="2">
        <v>6.394675925925926E-3</v>
      </c>
      <c r="M3145" s="4" t="str">
        <f t="shared" si="147"/>
        <v>LOW</v>
      </c>
      <c r="N3145" s="4" t="str" cm="1">
        <f t="array" ref="N3145">_xlfn.IFS(C3145&gt;35,"HIGH",C3145&gt;25,"MIDDLE",TRUE,"LOW")</f>
        <v>MIDDLE</v>
      </c>
      <c r="O3145" s="4" t="str">
        <f t="shared" si="148"/>
        <v>OTHERS</v>
      </c>
      <c r="P3145" s="4" t="str">
        <f t="shared" si="149"/>
        <v>PREMINUM MORNING</v>
      </c>
    </row>
    <row r="3146" spans="1:16" x14ac:dyDescent="0.3">
      <c r="A3146" s="4">
        <v>10</v>
      </c>
      <c r="B3146" t="s">
        <v>11</v>
      </c>
      <c r="C3146" s="4">
        <v>30.86</v>
      </c>
      <c r="D3146" t="s">
        <v>19</v>
      </c>
      <c r="E3146" t="s">
        <v>13</v>
      </c>
      <c r="F3146" s="4" t="s">
        <v>25</v>
      </c>
      <c r="G3146" s="4" t="s">
        <v>41</v>
      </c>
      <c r="H3146" s="4">
        <v>1</v>
      </c>
      <c r="I3146" s="4">
        <v>2</v>
      </c>
      <c r="J3146" s="1">
        <v>45712</v>
      </c>
      <c r="K3146" s="2">
        <v>7.1956018518518523E-3</v>
      </c>
      <c r="M3146" s="4" t="str">
        <f t="shared" si="147"/>
        <v>LOW</v>
      </c>
      <c r="N3146" s="4" t="str" cm="1">
        <f t="array" ref="N3146">_xlfn.IFS(C3146&gt;35,"HIGH",C3146&gt;25,"MIDDLE",TRUE,"LOW")</f>
        <v>MIDDLE</v>
      </c>
      <c r="O3146" s="4" t="str">
        <f t="shared" si="148"/>
        <v>OTHERS</v>
      </c>
      <c r="P3146" s="4" t="str">
        <f t="shared" si="149"/>
        <v>PREMINUM MORNING</v>
      </c>
    </row>
    <row r="3147" spans="1:16" x14ac:dyDescent="0.3">
      <c r="A3147" s="4">
        <v>10</v>
      </c>
      <c r="B3147" t="s">
        <v>11</v>
      </c>
      <c r="C3147" s="4">
        <v>35.76</v>
      </c>
      <c r="D3147" t="s">
        <v>21</v>
      </c>
      <c r="E3147" t="s">
        <v>13</v>
      </c>
      <c r="F3147" s="4" t="s">
        <v>25</v>
      </c>
      <c r="G3147" s="4" t="s">
        <v>41</v>
      </c>
      <c r="H3147" s="4">
        <v>1</v>
      </c>
      <c r="I3147" s="4">
        <v>2</v>
      </c>
      <c r="J3147" s="1">
        <v>45712</v>
      </c>
      <c r="K3147" s="2">
        <v>3.3190972222222219E-2</v>
      </c>
      <c r="M3147" s="4" t="str">
        <f t="shared" si="147"/>
        <v>HIGH</v>
      </c>
      <c r="N3147" s="4" t="str" cm="1">
        <f t="array" ref="N3147">_xlfn.IFS(C3147&gt;35,"HIGH",C3147&gt;25,"MIDDLE",TRUE,"LOW")</f>
        <v>HIGH</v>
      </c>
      <c r="O3147" s="4" t="str">
        <f t="shared" si="148"/>
        <v>PREMINUM MORNING</v>
      </c>
      <c r="P3147" s="4" t="str">
        <f t="shared" si="149"/>
        <v>PREMINUM MORNING</v>
      </c>
    </row>
    <row r="3148" spans="1:16" x14ac:dyDescent="0.3">
      <c r="A3148" s="4">
        <v>12</v>
      </c>
      <c r="B3148" t="s">
        <v>11</v>
      </c>
      <c r="C3148" s="4">
        <v>35.76</v>
      </c>
      <c r="D3148" t="s">
        <v>12</v>
      </c>
      <c r="E3148" t="s">
        <v>17</v>
      </c>
      <c r="F3148" s="4" t="s">
        <v>25</v>
      </c>
      <c r="G3148" s="4" t="s">
        <v>41</v>
      </c>
      <c r="H3148" s="4">
        <v>1</v>
      </c>
      <c r="I3148" s="4">
        <v>2</v>
      </c>
      <c r="J3148" s="1">
        <v>45712</v>
      </c>
      <c r="K3148" s="2">
        <v>4.0755787037037042E-2</v>
      </c>
      <c r="M3148" s="4" t="str">
        <f t="shared" si="147"/>
        <v>HIGH</v>
      </c>
      <c r="N3148" s="4" t="str" cm="1">
        <f t="array" ref="N3148">_xlfn.IFS(C3148&gt;35,"HIGH",C3148&gt;25,"MIDDLE",TRUE,"LOW")</f>
        <v>HIGH</v>
      </c>
      <c r="O3148" s="4" t="str">
        <f t="shared" si="148"/>
        <v>OTHERS</v>
      </c>
      <c r="P3148" s="4" t="str">
        <f t="shared" si="149"/>
        <v>PREMINUM MORNING</v>
      </c>
    </row>
    <row r="3149" spans="1:16" x14ac:dyDescent="0.3">
      <c r="A3149" s="4">
        <v>13</v>
      </c>
      <c r="B3149" t="s">
        <v>11</v>
      </c>
      <c r="C3149" s="4">
        <v>35.76</v>
      </c>
      <c r="D3149" t="s">
        <v>21</v>
      </c>
      <c r="E3149" t="s">
        <v>17</v>
      </c>
      <c r="F3149" s="4" t="s">
        <v>25</v>
      </c>
      <c r="G3149" s="4" t="s">
        <v>41</v>
      </c>
      <c r="H3149" s="4">
        <v>1</v>
      </c>
      <c r="I3149" s="4">
        <v>2</v>
      </c>
      <c r="J3149" s="1">
        <v>45712</v>
      </c>
      <c r="K3149" s="2">
        <v>1.5046296296296297E-5</v>
      </c>
      <c r="M3149" s="4" t="str">
        <f t="shared" si="147"/>
        <v>HIGH</v>
      </c>
      <c r="N3149" s="4" t="str" cm="1">
        <f t="array" ref="N3149">_xlfn.IFS(C3149&gt;35,"HIGH",C3149&gt;25,"MIDDLE",TRUE,"LOW")</f>
        <v>HIGH</v>
      </c>
      <c r="O3149" s="4" t="str">
        <f t="shared" si="148"/>
        <v>OTHERS</v>
      </c>
      <c r="P3149" s="4" t="str">
        <f t="shared" si="149"/>
        <v>PREMINUM MORNING</v>
      </c>
    </row>
    <row r="3150" spans="1:16" x14ac:dyDescent="0.3">
      <c r="A3150" s="4">
        <v>15</v>
      </c>
      <c r="B3150" t="s">
        <v>11</v>
      </c>
      <c r="C3150" s="4">
        <v>30.86</v>
      </c>
      <c r="D3150" t="s">
        <v>19</v>
      </c>
      <c r="E3150" t="s">
        <v>17</v>
      </c>
      <c r="F3150" s="4" t="s">
        <v>25</v>
      </c>
      <c r="G3150" s="4" t="s">
        <v>41</v>
      </c>
      <c r="H3150" s="4">
        <v>1</v>
      </c>
      <c r="I3150" s="4">
        <v>2</v>
      </c>
      <c r="J3150" s="1">
        <v>45712</v>
      </c>
      <c r="K3150" s="2">
        <v>2.7798611111111114E-2</v>
      </c>
      <c r="M3150" s="4" t="str">
        <f t="shared" si="147"/>
        <v>LOW</v>
      </c>
      <c r="N3150" s="4" t="str" cm="1">
        <f t="array" ref="N3150">_xlfn.IFS(C3150&gt;35,"HIGH",C3150&gt;25,"MIDDLE",TRUE,"LOW")</f>
        <v>MIDDLE</v>
      </c>
      <c r="O3150" s="4" t="str">
        <f t="shared" si="148"/>
        <v>OTHERS</v>
      </c>
      <c r="P3150" s="4" t="str">
        <f t="shared" si="149"/>
        <v>OTHERS</v>
      </c>
    </row>
    <row r="3151" spans="1:16" x14ac:dyDescent="0.3">
      <c r="A3151" s="4">
        <v>16</v>
      </c>
      <c r="B3151" t="s">
        <v>11</v>
      </c>
      <c r="C3151" s="4">
        <v>35.76</v>
      </c>
      <c r="D3151" t="s">
        <v>21</v>
      </c>
      <c r="E3151" t="s">
        <v>17</v>
      </c>
      <c r="F3151" s="4" t="s">
        <v>25</v>
      </c>
      <c r="G3151" s="4" t="s">
        <v>41</v>
      </c>
      <c r="H3151" s="4">
        <v>1</v>
      </c>
      <c r="I3151" s="4">
        <v>2</v>
      </c>
      <c r="J3151" s="1">
        <v>45712</v>
      </c>
      <c r="K3151" s="2">
        <v>7.2916666666666659E-5</v>
      </c>
      <c r="M3151" s="4" t="str">
        <f t="shared" si="147"/>
        <v>HIGH</v>
      </c>
      <c r="N3151" s="4" t="str" cm="1">
        <f t="array" ref="N3151">_xlfn.IFS(C3151&gt;35,"HIGH",C3151&gt;25,"MIDDLE",TRUE,"LOW")</f>
        <v>HIGH</v>
      </c>
      <c r="O3151" s="4" t="str">
        <f t="shared" si="148"/>
        <v>OTHERS</v>
      </c>
      <c r="P3151" s="4" t="str">
        <f t="shared" si="149"/>
        <v>PREMINUM MORNING</v>
      </c>
    </row>
    <row r="3152" spans="1:16" x14ac:dyDescent="0.3">
      <c r="A3152" s="4">
        <v>16</v>
      </c>
      <c r="B3152" t="s">
        <v>11</v>
      </c>
      <c r="C3152" s="4">
        <v>35.76</v>
      </c>
      <c r="D3152" t="s">
        <v>29</v>
      </c>
      <c r="E3152" t="s">
        <v>17</v>
      </c>
      <c r="F3152" s="4" t="s">
        <v>25</v>
      </c>
      <c r="G3152" s="4" t="s">
        <v>41</v>
      </c>
      <c r="H3152" s="4">
        <v>1</v>
      </c>
      <c r="I3152" s="4">
        <v>2</v>
      </c>
      <c r="J3152" s="1">
        <v>45712</v>
      </c>
      <c r="K3152" s="2">
        <v>7.2222222222222219E-3</v>
      </c>
      <c r="M3152" s="4" t="str">
        <f t="shared" si="147"/>
        <v>HIGH</v>
      </c>
      <c r="N3152" s="4" t="str" cm="1">
        <f t="array" ref="N3152">_xlfn.IFS(C3152&gt;35,"HIGH",C3152&gt;25,"MIDDLE",TRUE,"LOW")</f>
        <v>HIGH</v>
      </c>
      <c r="O3152" s="4" t="str">
        <f t="shared" si="148"/>
        <v>OTHERS</v>
      </c>
      <c r="P3152" s="4" t="str">
        <f t="shared" si="149"/>
        <v>PREMINUM MORNING</v>
      </c>
    </row>
    <row r="3153" spans="1:16" x14ac:dyDescent="0.3">
      <c r="A3153" s="4">
        <v>16</v>
      </c>
      <c r="B3153" t="s">
        <v>11</v>
      </c>
      <c r="C3153" s="4">
        <v>35.76</v>
      </c>
      <c r="D3153" t="s">
        <v>12</v>
      </c>
      <c r="E3153" t="s">
        <v>17</v>
      </c>
      <c r="F3153" s="4" t="s">
        <v>25</v>
      </c>
      <c r="G3153" s="4" t="s">
        <v>41</v>
      </c>
      <c r="H3153" s="4">
        <v>1</v>
      </c>
      <c r="I3153" s="4">
        <v>2</v>
      </c>
      <c r="J3153" s="1">
        <v>45712</v>
      </c>
      <c r="K3153" s="2">
        <v>2.0047453703703703E-2</v>
      </c>
      <c r="M3153" s="4" t="str">
        <f t="shared" si="147"/>
        <v>HIGH</v>
      </c>
      <c r="N3153" s="4" t="str" cm="1">
        <f t="array" ref="N3153">_xlfn.IFS(C3153&gt;35,"HIGH",C3153&gt;25,"MIDDLE",TRUE,"LOW")</f>
        <v>HIGH</v>
      </c>
      <c r="O3153" s="4" t="str">
        <f t="shared" si="148"/>
        <v>OTHERS</v>
      </c>
      <c r="P3153" s="4" t="str">
        <f t="shared" si="149"/>
        <v>PREMINUM MORNING</v>
      </c>
    </row>
    <row r="3154" spans="1:16" x14ac:dyDescent="0.3">
      <c r="A3154" s="4">
        <v>16</v>
      </c>
      <c r="B3154" t="s">
        <v>11</v>
      </c>
      <c r="C3154" s="4">
        <v>25.96</v>
      </c>
      <c r="D3154" t="s">
        <v>18</v>
      </c>
      <c r="E3154" t="s">
        <v>17</v>
      </c>
      <c r="F3154" s="4" t="s">
        <v>25</v>
      </c>
      <c r="G3154" s="4" t="s">
        <v>41</v>
      </c>
      <c r="H3154" s="4">
        <v>1</v>
      </c>
      <c r="I3154" s="4">
        <v>2</v>
      </c>
      <c r="J3154" s="1">
        <v>45712</v>
      </c>
      <c r="K3154" s="2">
        <v>4.1417824074074072E-2</v>
      </c>
      <c r="M3154" s="4" t="str">
        <f t="shared" si="147"/>
        <v>LOW</v>
      </c>
      <c r="N3154" s="4" t="str" cm="1">
        <f t="array" ref="N3154">_xlfn.IFS(C3154&gt;35,"HIGH",C3154&gt;25,"MIDDLE",TRUE,"LOW")</f>
        <v>MIDDLE</v>
      </c>
      <c r="O3154" s="4" t="str">
        <f t="shared" si="148"/>
        <v>OTHERS</v>
      </c>
      <c r="P3154" s="4" t="str">
        <f t="shared" si="149"/>
        <v>OTHERS</v>
      </c>
    </row>
    <row r="3155" spans="1:16" x14ac:dyDescent="0.3">
      <c r="A3155" s="4">
        <v>17</v>
      </c>
      <c r="B3155" t="s">
        <v>11</v>
      </c>
      <c r="C3155" s="4">
        <v>25.96</v>
      </c>
      <c r="D3155" t="s">
        <v>18</v>
      </c>
      <c r="E3155" t="s">
        <v>20</v>
      </c>
      <c r="F3155" s="4" t="s">
        <v>25</v>
      </c>
      <c r="G3155" s="4" t="s">
        <v>41</v>
      </c>
      <c r="H3155" s="4">
        <v>1</v>
      </c>
      <c r="I3155" s="4">
        <v>2</v>
      </c>
      <c r="J3155" s="1">
        <v>45712</v>
      </c>
      <c r="K3155" s="2">
        <v>5.1967592592592593E-4</v>
      </c>
      <c r="M3155" s="4" t="str">
        <f t="shared" si="147"/>
        <v>LOW</v>
      </c>
      <c r="N3155" s="4" t="str" cm="1">
        <f t="array" ref="N3155">_xlfn.IFS(C3155&gt;35,"HIGH",C3155&gt;25,"MIDDLE",TRUE,"LOW")</f>
        <v>MIDDLE</v>
      </c>
      <c r="O3155" s="4" t="str">
        <f t="shared" si="148"/>
        <v>OTHERS</v>
      </c>
      <c r="P3155" s="4" t="str">
        <f t="shared" si="149"/>
        <v>OTHERS</v>
      </c>
    </row>
    <row r="3156" spans="1:16" x14ac:dyDescent="0.3">
      <c r="A3156" s="4">
        <v>17</v>
      </c>
      <c r="B3156" t="s">
        <v>11</v>
      </c>
      <c r="C3156" s="4">
        <v>30.86</v>
      </c>
      <c r="D3156" t="s">
        <v>19</v>
      </c>
      <c r="E3156" t="s">
        <v>20</v>
      </c>
      <c r="F3156" s="4" t="s">
        <v>25</v>
      </c>
      <c r="G3156" s="4" t="s">
        <v>41</v>
      </c>
      <c r="H3156" s="4">
        <v>1</v>
      </c>
      <c r="I3156" s="4">
        <v>2</v>
      </c>
      <c r="J3156" s="1">
        <v>45712</v>
      </c>
      <c r="K3156" s="2">
        <v>2.6144675925925925E-2</v>
      </c>
      <c r="M3156" s="4" t="str">
        <f t="shared" si="147"/>
        <v>LOW</v>
      </c>
      <c r="N3156" s="4" t="str" cm="1">
        <f t="array" ref="N3156">_xlfn.IFS(C3156&gt;35,"HIGH",C3156&gt;25,"MIDDLE",TRUE,"LOW")</f>
        <v>MIDDLE</v>
      </c>
      <c r="O3156" s="4" t="str">
        <f t="shared" si="148"/>
        <v>OTHERS</v>
      </c>
      <c r="P3156" s="4" t="str">
        <f t="shared" si="149"/>
        <v>OTHERS</v>
      </c>
    </row>
    <row r="3157" spans="1:16" x14ac:dyDescent="0.3">
      <c r="A3157" s="4">
        <v>18</v>
      </c>
      <c r="B3157" t="s">
        <v>11</v>
      </c>
      <c r="C3157" s="4">
        <v>30.86</v>
      </c>
      <c r="D3157" t="s">
        <v>19</v>
      </c>
      <c r="E3157" t="s">
        <v>20</v>
      </c>
      <c r="F3157" s="4" t="s">
        <v>25</v>
      </c>
      <c r="G3157" s="4" t="s">
        <v>41</v>
      </c>
      <c r="H3157" s="4">
        <v>1</v>
      </c>
      <c r="I3157" s="4">
        <v>2</v>
      </c>
      <c r="J3157" s="1">
        <v>45712</v>
      </c>
      <c r="K3157" s="2">
        <v>4.8807870370370368E-3</v>
      </c>
      <c r="M3157" s="4" t="str">
        <f t="shared" si="147"/>
        <v>LOW</v>
      </c>
      <c r="N3157" s="4" t="str" cm="1">
        <f t="array" ref="N3157">_xlfn.IFS(C3157&gt;35,"HIGH",C3157&gt;25,"MIDDLE",TRUE,"LOW")</f>
        <v>MIDDLE</v>
      </c>
      <c r="O3157" s="4" t="str">
        <f t="shared" si="148"/>
        <v>OTHERS</v>
      </c>
      <c r="P3157" s="4" t="str">
        <f t="shared" si="149"/>
        <v>OTHERS</v>
      </c>
    </row>
    <row r="3158" spans="1:16" x14ac:dyDescent="0.3">
      <c r="A3158" s="4">
        <v>18</v>
      </c>
      <c r="B3158" t="s">
        <v>11</v>
      </c>
      <c r="C3158" s="4">
        <v>35.76</v>
      </c>
      <c r="D3158" t="s">
        <v>12</v>
      </c>
      <c r="E3158" t="s">
        <v>20</v>
      </c>
      <c r="F3158" s="4" t="s">
        <v>25</v>
      </c>
      <c r="G3158" s="4" t="s">
        <v>41</v>
      </c>
      <c r="H3158" s="4">
        <v>1</v>
      </c>
      <c r="I3158" s="4">
        <v>2</v>
      </c>
      <c r="J3158" s="1">
        <v>45712</v>
      </c>
      <c r="K3158" s="2">
        <v>1.5245370370370371E-2</v>
      </c>
      <c r="M3158" s="4" t="str">
        <f t="shared" si="147"/>
        <v>HIGH</v>
      </c>
      <c r="N3158" s="4" t="str" cm="1">
        <f t="array" ref="N3158">_xlfn.IFS(C3158&gt;35,"HIGH",C3158&gt;25,"MIDDLE",TRUE,"LOW")</f>
        <v>HIGH</v>
      </c>
      <c r="O3158" s="4" t="str">
        <f t="shared" si="148"/>
        <v>OTHERS</v>
      </c>
      <c r="P3158" s="4" t="str">
        <f t="shared" si="149"/>
        <v>PREMINUM MORNING</v>
      </c>
    </row>
    <row r="3159" spans="1:16" x14ac:dyDescent="0.3">
      <c r="A3159" s="4">
        <v>19</v>
      </c>
      <c r="B3159" t="s">
        <v>11</v>
      </c>
      <c r="C3159" s="4">
        <v>30.86</v>
      </c>
      <c r="D3159" t="s">
        <v>19</v>
      </c>
      <c r="E3159" t="s">
        <v>20</v>
      </c>
      <c r="F3159" s="4" t="s">
        <v>25</v>
      </c>
      <c r="G3159" s="4" t="s">
        <v>41</v>
      </c>
      <c r="H3159" s="4">
        <v>1</v>
      </c>
      <c r="I3159" s="4">
        <v>2</v>
      </c>
      <c r="J3159" s="1">
        <v>45712</v>
      </c>
      <c r="K3159" s="2">
        <v>3.1759259259259258E-3</v>
      </c>
      <c r="M3159" s="4" t="str">
        <f t="shared" si="147"/>
        <v>LOW</v>
      </c>
      <c r="N3159" s="4" t="str" cm="1">
        <f t="array" ref="N3159">_xlfn.IFS(C3159&gt;35,"HIGH",C3159&gt;25,"MIDDLE",TRUE,"LOW")</f>
        <v>MIDDLE</v>
      </c>
      <c r="O3159" s="4" t="str">
        <f t="shared" si="148"/>
        <v>OTHERS</v>
      </c>
      <c r="P3159" s="4" t="str">
        <f t="shared" si="149"/>
        <v>OTHERS</v>
      </c>
    </row>
    <row r="3160" spans="1:16" x14ac:dyDescent="0.3">
      <c r="A3160" s="4">
        <v>19</v>
      </c>
      <c r="B3160" t="s">
        <v>11</v>
      </c>
      <c r="C3160" s="4">
        <v>35.76</v>
      </c>
      <c r="D3160" t="s">
        <v>16</v>
      </c>
      <c r="E3160" t="s">
        <v>20</v>
      </c>
      <c r="F3160" s="4" t="s">
        <v>25</v>
      </c>
      <c r="G3160" s="4" t="s">
        <v>41</v>
      </c>
      <c r="H3160" s="4">
        <v>1</v>
      </c>
      <c r="I3160" s="4">
        <v>2</v>
      </c>
      <c r="J3160" s="1">
        <v>45712</v>
      </c>
      <c r="K3160" s="2">
        <v>1.6791666666666667E-2</v>
      </c>
      <c r="M3160" s="4" t="str">
        <f t="shared" si="147"/>
        <v>HIGH</v>
      </c>
      <c r="N3160" s="4" t="str" cm="1">
        <f t="array" ref="N3160">_xlfn.IFS(C3160&gt;35,"HIGH",C3160&gt;25,"MIDDLE",TRUE,"LOW")</f>
        <v>HIGH</v>
      </c>
      <c r="O3160" s="4" t="str">
        <f t="shared" si="148"/>
        <v>OTHERS</v>
      </c>
      <c r="P3160" s="4" t="str">
        <f t="shared" si="149"/>
        <v>PREMINUM MORNING</v>
      </c>
    </row>
    <row r="3161" spans="1:16" x14ac:dyDescent="0.3">
      <c r="A3161" s="4">
        <v>19</v>
      </c>
      <c r="B3161" t="s">
        <v>11</v>
      </c>
      <c r="C3161" s="4">
        <v>35.76</v>
      </c>
      <c r="D3161" t="s">
        <v>12</v>
      </c>
      <c r="E3161" t="s">
        <v>20</v>
      </c>
      <c r="F3161" s="4" t="s">
        <v>25</v>
      </c>
      <c r="G3161" s="4" t="s">
        <v>41</v>
      </c>
      <c r="H3161" s="4">
        <v>1</v>
      </c>
      <c r="I3161" s="4">
        <v>2</v>
      </c>
      <c r="J3161" s="1">
        <v>45712</v>
      </c>
      <c r="K3161" s="2">
        <v>1.7296296296296296E-2</v>
      </c>
      <c r="M3161" s="4" t="str">
        <f t="shared" si="147"/>
        <v>HIGH</v>
      </c>
      <c r="N3161" s="4" t="str" cm="1">
        <f t="array" ref="N3161">_xlfn.IFS(C3161&gt;35,"HIGH",C3161&gt;25,"MIDDLE",TRUE,"LOW")</f>
        <v>HIGH</v>
      </c>
      <c r="O3161" s="4" t="str">
        <f t="shared" si="148"/>
        <v>OTHERS</v>
      </c>
      <c r="P3161" s="4" t="str">
        <f t="shared" si="149"/>
        <v>PREMINUM MORNING</v>
      </c>
    </row>
    <row r="3162" spans="1:16" x14ac:dyDescent="0.3">
      <c r="A3162" s="4">
        <v>19</v>
      </c>
      <c r="B3162" t="s">
        <v>11</v>
      </c>
      <c r="C3162" s="4">
        <v>35.76</v>
      </c>
      <c r="D3162" t="s">
        <v>21</v>
      </c>
      <c r="E3162" t="s">
        <v>20</v>
      </c>
      <c r="F3162" s="4" t="s">
        <v>25</v>
      </c>
      <c r="G3162" s="4" t="s">
        <v>41</v>
      </c>
      <c r="H3162" s="4">
        <v>1</v>
      </c>
      <c r="I3162" s="4">
        <v>2</v>
      </c>
      <c r="J3162" s="1">
        <v>45712</v>
      </c>
      <c r="K3162" s="2">
        <v>1.8226851851851852E-2</v>
      </c>
      <c r="M3162" s="4" t="str">
        <f t="shared" si="147"/>
        <v>HIGH</v>
      </c>
      <c r="N3162" s="4" t="str" cm="1">
        <f t="array" ref="N3162">_xlfn.IFS(C3162&gt;35,"HIGH",C3162&gt;25,"MIDDLE",TRUE,"LOW")</f>
        <v>HIGH</v>
      </c>
      <c r="O3162" s="4" t="str">
        <f t="shared" si="148"/>
        <v>OTHERS</v>
      </c>
      <c r="P3162" s="4" t="str">
        <f t="shared" si="149"/>
        <v>PREMINUM MORNING</v>
      </c>
    </row>
    <row r="3163" spans="1:16" x14ac:dyDescent="0.3">
      <c r="A3163" s="4">
        <v>20</v>
      </c>
      <c r="B3163" t="s">
        <v>11</v>
      </c>
      <c r="C3163" s="4">
        <v>35.76</v>
      </c>
      <c r="D3163" t="s">
        <v>21</v>
      </c>
      <c r="E3163" t="s">
        <v>20</v>
      </c>
      <c r="F3163" s="4" t="s">
        <v>25</v>
      </c>
      <c r="G3163" s="4" t="s">
        <v>41</v>
      </c>
      <c r="H3163" s="4">
        <v>1</v>
      </c>
      <c r="I3163" s="4">
        <v>2</v>
      </c>
      <c r="J3163" s="1">
        <v>45712</v>
      </c>
      <c r="K3163" s="2">
        <v>1.0315972222222221E-2</v>
      </c>
      <c r="M3163" s="4" t="str">
        <f t="shared" si="147"/>
        <v>HIGH</v>
      </c>
      <c r="N3163" s="4" t="str" cm="1">
        <f t="array" ref="N3163">_xlfn.IFS(C3163&gt;35,"HIGH",C3163&gt;25,"MIDDLE",TRUE,"LOW")</f>
        <v>HIGH</v>
      </c>
      <c r="O3163" s="4" t="str">
        <f t="shared" si="148"/>
        <v>OTHERS</v>
      </c>
      <c r="P3163" s="4" t="str">
        <f t="shared" si="149"/>
        <v>PREMINUM MORNING</v>
      </c>
    </row>
    <row r="3164" spans="1:16" x14ac:dyDescent="0.3">
      <c r="A3164" s="4">
        <v>8</v>
      </c>
      <c r="B3164" t="s">
        <v>11</v>
      </c>
      <c r="C3164" s="4">
        <v>30.86</v>
      </c>
      <c r="D3164" t="s">
        <v>19</v>
      </c>
      <c r="E3164" t="s">
        <v>13</v>
      </c>
      <c r="F3164" s="4" t="s">
        <v>27</v>
      </c>
      <c r="G3164" s="4" t="s">
        <v>41</v>
      </c>
      <c r="H3164" s="4">
        <v>2</v>
      </c>
      <c r="I3164" s="4">
        <v>2</v>
      </c>
      <c r="J3164" s="1">
        <v>45713</v>
      </c>
      <c r="K3164" s="2">
        <v>4.5486111111111107E-4</v>
      </c>
      <c r="M3164" s="4" t="str">
        <f t="shared" si="147"/>
        <v>LOW</v>
      </c>
      <c r="N3164" s="4" t="str" cm="1">
        <f t="array" ref="N3164">_xlfn.IFS(C3164&gt;35,"HIGH",C3164&gt;25,"MIDDLE",TRUE,"LOW")</f>
        <v>MIDDLE</v>
      </c>
      <c r="O3164" s="4" t="str">
        <f t="shared" si="148"/>
        <v>OTHERS</v>
      </c>
      <c r="P3164" s="4" t="str">
        <f t="shared" si="149"/>
        <v>PREMINUM MORNING</v>
      </c>
    </row>
    <row r="3165" spans="1:16" x14ac:dyDescent="0.3">
      <c r="A3165" s="4">
        <v>8</v>
      </c>
      <c r="B3165" t="s">
        <v>11</v>
      </c>
      <c r="C3165" s="4">
        <v>25.96</v>
      </c>
      <c r="D3165" t="s">
        <v>18</v>
      </c>
      <c r="E3165" t="s">
        <v>13</v>
      </c>
      <c r="F3165" s="4" t="s">
        <v>27</v>
      </c>
      <c r="G3165" s="4" t="s">
        <v>41</v>
      </c>
      <c r="H3165" s="4">
        <v>2</v>
      </c>
      <c r="I3165" s="4">
        <v>2</v>
      </c>
      <c r="J3165" s="1">
        <v>45713</v>
      </c>
      <c r="K3165" s="2">
        <v>3.4271990740740742E-2</v>
      </c>
      <c r="M3165" s="4" t="str">
        <f t="shared" si="147"/>
        <v>LOW</v>
      </c>
      <c r="N3165" s="4" t="str" cm="1">
        <f t="array" ref="N3165">_xlfn.IFS(C3165&gt;35,"HIGH",C3165&gt;25,"MIDDLE",TRUE,"LOW")</f>
        <v>MIDDLE</v>
      </c>
      <c r="O3165" s="4" t="str">
        <f t="shared" si="148"/>
        <v>OTHERS</v>
      </c>
      <c r="P3165" s="4" t="str">
        <f t="shared" si="149"/>
        <v>PREMINUM MORNING</v>
      </c>
    </row>
    <row r="3166" spans="1:16" x14ac:dyDescent="0.3">
      <c r="A3166" s="4">
        <v>8</v>
      </c>
      <c r="B3166" t="s">
        <v>11</v>
      </c>
      <c r="C3166" s="4">
        <v>30.86</v>
      </c>
      <c r="D3166" t="s">
        <v>19</v>
      </c>
      <c r="E3166" t="s">
        <v>13</v>
      </c>
      <c r="F3166" s="4" t="s">
        <v>27</v>
      </c>
      <c r="G3166" s="4" t="s">
        <v>41</v>
      </c>
      <c r="H3166" s="4">
        <v>2</v>
      </c>
      <c r="I3166" s="4">
        <v>2</v>
      </c>
      <c r="J3166" s="1">
        <v>45713</v>
      </c>
      <c r="K3166" s="2">
        <v>3.4887731481481485E-2</v>
      </c>
      <c r="M3166" s="4" t="str">
        <f t="shared" si="147"/>
        <v>LOW</v>
      </c>
      <c r="N3166" s="4" t="str" cm="1">
        <f t="array" ref="N3166">_xlfn.IFS(C3166&gt;35,"HIGH",C3166&gt;25,"MIDDLE",TRUE,"LOW")</f>
        <v>MIDDLE</v>
      </c>
      <c r="O3166" s="4" t="str">
        <f t="shared" si="148"/>
        <v>OTHERS</v>
      </c>
      <c r="P3166" s="4" t="str">
        <f t="shared" si="149"/>
        <v>PREMINUM MORNING</v>
      </c>
    </row>
    <row r="3167" spans="1:16" x14ac:dyDescent="0.3">
      <c r="A3167" s="4">
        <v>10</v>
      </c>
      <c r="B3167" t="s">
        <v>11</v>
      </c>
      <c r="C3167" s="4">
        <v>21.06</v>
      </c>
      <c r="D3167" t="s">
        <v>26</v>
      </c>
      <c r="E3167" t="s">
        <v>13</v>
      </c>
      <c r="F3167" s="4" t="s">
        <v>27</v>
      </c>
      <c r="G3167" s="4" t="s">
        <v>41</v>
      </c>
      <c r="H3167" s="4">
        <v>2</v>
      </c>
      <c r="I3167" s="4">
        <v>2</v>
      </c>
      <c r="J3167" s="1">
        <v>45713</v>
      </c>
      <c r="K3167" s="2">
        <v>1.908564814814815E-3</v>
      </c>
      <c r="M3167" s="4" t="str">
        <f t="shared" si="147"/>
        <v>LOW</v>
      </c>
      <c r="N3167" s="4" t="str" cm="1">
        <f t="array" ref="N3167">_xlfn.IFS(C3167&gt;35,"HIGH",C3167&gt;25,"MIDDLE",TRUE,"LOW")</f>
        <v>LOW</v>
      </c>
      <c r="O3167" s="4" t="str">
        <f t="shared" si="148"/>
        <v>OTHERS</v>
      </c>
      <c r="P3167" s="4" t="str">
        <f t="shared" si="149"/>
        <v>PREMINUM MORNING</v>
      </c>
    </row>
    <row r="3168" spans="1:16" x14ac:dyDescent="0.3">
      <c r="A3168" s="4">
        <v>11</v>
      </c>
      <c r="B3168" t="s">
        <v>11</v>
      </c>
      <c r="C3168" s="4">
        <v>25.96</v>
      </c>
      <c r="D3168" t="s">
        <v>18</v>
      </c>
      <c r="E3168" t="s">
        <v>13</v>
      </c>
      <c r="F3168" s="4" t="s">
        <v>27</v>
      </c>
      <c r="G3168" s="4" t="s">
        <v>41</v>
      </c>
      <c r="H3168" s="4">
        <v>2</v>
      </c>
      <c r="I3168" s="4">
        <v>2</v>
      </c>
      <c r="J3168" s="1">
        <v>45713</v>
      </c>
      <c r="K3168" s="2">
        <v>2.4745370370370372E-3</v>
      </c>
      <c r="M3168" s="4" t="str">
        <f t="shared" si="147"/>
        <v>LOW</v>
      </c>
      <c r="N3168" s="4" t="str" cm="1">
        <f t="array" ref="N3168">_xlfn.IFS(C3168&gt;35,"HIGH",C3168&gt;25,"MIDDLE",TRUE,"LOW")</f>
        <v>MIDDLE</v>
      </c>
      <c r="O3168" s="4" t="str">
        <f t="shared" si="148"/>
        <v>OTHERS</v>
      </c>
      <c r="P3168" s="4" t="str">
        <f t="shared" si="149"/>
        <v>PREMINUM MORNING</v>
      </c>
    </row>
    <row r="3169" spans="1:16" x14ac:dyDescent="0.3">
      <c r="A3169" s="4">
        <v>11</v>
      </c>
      <c r="B3169" t="s">
        <v>11</v>
      </c>
      <c r="C3169" s="4">
        <v>25.96</v>
      </c>
      <c r="D3169" t="s">
        <v>18</v>
      </c>
      <c r="E3169" t="s">
        <v>13</v>
      </c>
      <c r="F3169" s="4" t="s">
        <v>27</v>
      </c>
      <c r="G3169" s="4" t="s">
        <v>41</v>
      </c>
      <c r="H3169" s="4">
        <v>2</v>
      </c>
      <c r="I3169" s="4">
        <v>2</v>
      </c>
      <c r="J3169" s="1">
        <v>45713</v>
      </c>
      <c r="K3169" s="2">
        <v>3.0891203703703701E-3</v>
      </c>
      <c r="M3169" s="4" t="str">
        <f t="shared" si="147"/>
        <v>LOW</v>
      </c>
      <c r="N3169" s="4" t="str" cm="1">
        <f t="array" ref="N3169">_xlfn.IFS(C3169&gt;35,"HIGH",C3169&gt;25,"MIDDLE",TRUE,"LOW")</f>
        <v>MIDDLE</v>
      </c>
      <c r="O3169" s="4" t="str">
        <f t="shared" si="148"/>
        <v>OTHERS</v>
      </c>
      <c r="P3169" s="4" t="str">
        <f t="shared" si="149"/>
        <v>PREMINUM MORNING</v>
      </c>
    </row>
    <row r="3170" spans="1:16" x14ac:dyDescent="0.3">
      <c r="A3170" s="4">
        <v>12</v>
      </c>
      <c r="B3170" t="s">
        <v>11</v>
      </c>
      <c r="C3170" s="4">
        <v>35.76</v>
      </c>
      <c r="D3170" t="s">
        <v>29</v>
      </c>
      <c r="E3170" t="s">
        <v>17</v>
      </c>
      <c r="F3170" s="4" t="s">
        <v>27</v>
      </c>
      <c r="G3170" s="4" t="s">
        <v>41</v>
      </c>
      <c r="H3170" s="4">
        <v>2</v>
      </c>
      <c r="I3170" s="4">
        <v>2</v>
      </c>
      <c r="J3170" s="1">
        <v>45713</v>
      </c>
      <c r="K3170" s="2">
        <v>1.4369212962962962E-2</v>
      </c>
      <c r="M3170" s="4" t="str">
        <f t="shared" si="147"/>
        <v>HIGH</v>
      </c>
      <c r="N3170" s="4" t="str" cm="1">
        <f t="array" ref="N3170">_xlfn.IFS(C3170&gt;35,"HIGH",C3170&gt;25,"MIDDLE",TRUE,"LOW")</f>
        <v>HIGH</v>
      </c>
      <c r="O3170" s="4" t="str">
        <f t="shared" si="148"/>
        <v>OTHERS</v>
      </c>
      <c r="P3170" s="4" t="str">
        <f t="shared" si="149"/>
        <v>PREMINUM MORNING</v>
      </c>
    </row>
    <row r="3171" spans="1:16" x14ac:dyDescent="0.3">
      <c r="A3171" s="4">
        <v>14</v>
      </c>
      <c r="B3171" t="s">
        <v>11</v>
      </c>
      <c r="C3171" s="4">
        <v>35.76</v>
      </c>
      <c r="D3171" t="s">
        <v>29</v>
      </c>
      <c r="E3171" t="s">
        <v>17</v>
      </c>
      <c r="F3171" s="4" t="s">
        <v>27</v>
      </c>
      <c r="G3171" s="4" t="s">
        <v>41</v>
      </c>
      <c r="H3171" s="4">
        <v>2</v>
      </c>
      <c r="I3171" s="4">
        <v>2</v>
      </c>
      <c r="J3171" s="1">
        <v>45713</v>
      </c>
      <c r="K3171" s="2">
        <v>9.9363425925925921E-3</v>
      </c>
      <c r="M3171" s="4" t="str">
        <f t="shared" si="147"/>
        <v>HIGH</v>
      </c>
      <c r="N3171" s="4" t="str" cm="1">
        <f t="array" ref="N3171">_xlfn.IFS(C3171&gt;35,"HIGH",C3171&gt;25,"MIDDLE",TRUE,"LOW")</f>
        <v>HIGH</v>
      </c>
      <c r="O3171" s="4" t="str">
        <f t="shared" si="148"/>
        <v>OTHERS</v>
      </c>
      <c r="P3171" s="4" t="str">
        <f t="shared" si="149"/>
        <v>PREMINUM MORNING</v>
      </c>
    </row>
    <row r="3172" spans="1:16" x14ac:dyDescent="0.3">
      <c r="A3172" s="4">
        <v>16</v>
      </c>
      <c r="B3172" t="s">
        <v>11</v>
      </c>
      <c r="C3172" s="4">
        <v>25.96</v>
      </c>
      <c r="D3172" t="s">
        <v>18</v>
      </c>
      <c r="E3172" t="s">
        <v>17</v>
      </c>
      <c r="F3172" s="4" t="s">
        <v>27</v>
      </c>
      <c r="G3172" s="4" t="s">
        <v>41</v>
      </c>
      <c r="H3172" s="4">
        <v>2</v>
      </c>
      <c r="I3172" s="4">
        <v>2</v>
      </c>
      <c r="J3172" s="1">
        <v>45713</v>
      </c>
      <c r="K3172" s="2">
        <v>3.446064814814815E-2</v>
      </c>
      <c r="M3172" s="4" t="str">
        <f t="shared" si="147"/>
        <v>LOW</v>
      </c>
      <c r="N3172" s="4" t="str" cm="1">
        <f t="array" ref="N3172">_xlfn.IFS(C3172&gt;35,"HIGH",C3172&gt;25,"MIDDLE",TRUE,"LOW")</f>
        <v>MIDDLE</v>
      </c>
      <c r="O3172" s="4" t="str">
        <f t="shared" si="148"/>
        <v>OTHERS</v>
      </c>
      <c r="P3172" s="4" t="str">
        <f t="shared" si="149"/>
        <v>OTHERS</v>
      </c>
    </row>
    <row r="3173" spans="1:16" x14ac:dyDescent="0.3">
      <c r="A3173" s="4">
        <v>16</v>
      </c>
      <c r="B3173" t="s">
        <v>11</v>
      </c>
      <c r="C3173" s="4">
        <v>25.96</v>
      </c>
      <c r="D3173" t="s">
        <v>18</v>
      </c>
      <c r="E3173" t="s">
        <v>17</v>
      </c>
      <c r="F3173" s="4" t="s">
        <v>27</v>
      </c>
      <c r="G3173" s="4" t="s">
        <v>41</v>
      </c>
      <c r="H3173" s="4">
        <v>2</v>
      </c>
      <c r="I3173" s="4">
        <v>2</v>
      </c>
      <c r="J3173" s="1">
        <v>45713</v>
      </c>
      <c r="K3173" s="2">
        <v>3.5136574074074077E-2</v>
      </c>
      <c r="M3173" s="4" t="str">
        <f t="shared" si="147"/>
        <v>LOW</v>
      </c>
      <c r="N3173" s="4" t="str" cm="1">
        <f t="array" ref="N3173">_xlfn.IFS(C3173&gt;35,"HIGH",C3173&gt;25,"MIDDLE",TRUE,"LOW")</f>
        <v>MIDDLE</v>
      </c>
      <c r="O3173" s="4" t="str">
        <f t="shared" si="148"/>
        <v>OTHERS</v>
      </c>
      <c r="P3173" s="4" t="str">
        <f t="shared" si="149"/>
        <v>OTHERS</v>
      </c>
    </row>
    <row r="3174" spans="1:16" x14ac:dyDescent="0.3">
      <c r="A3174" s="4">
        <v>18</v>
      </c>
      <c r="B3174" t="s">
        <v>11</v>
      </c>
      <c r="C3174" s="4">
        <v>35.76</v>
      </c>
      <c r="D3174" t="s">
        <v>21</v>
      </c>
      <c r="E3174" t="s">
        <v>20</v>
      </c>
      <c r="F3174" s="4" t="s">
        <v>27</v>
      </c>
      <c r="G3174" s="4" t="s">
        <v>41</v>
      </c>
      <c r="H3174" s="4">
        <v>2</v>
      </c>
      <c r="I3174" s="4">
        <v>2</v>
      </c>
      <c r="J3174" s="1">
        <v>45713</v>
      </c>
      <c r="K3174" s="2">
        <v>1.3299768518518518E-2</v>
      </c>
      <c r="M3174" s="4" t="str">
        <f t="shared" si="147"/>
        <v>HIGH</v>
      </c>
      <c r="N3174" s="4" t="str" cm="1">
        <f t="array" ref="N3174">_xlfn.IFS(C3174&gt;35,"HIGH",C3174&gt;25,"MIDDLE",TRUE,"LOW")</f>
        <v>HIGH</v>
      </c>
      <c r="O3174" s="4" t="str">
        <f t="shared" si="148"/>
        <v>OTHERS</v>
      </c>
      <c r="P3174" s="4" t="str">
        <f t="shared" si="149"/>
        <v>PREMINUM MORNING</v>
      </c>
    </row>
    <row r="3175" spans="1:16" x14ac:dyDescent="0.3">
      <c r="A3175" s="4">
        <v>19</v>
      </c>
      <c r="B3175" t="s">
        <v>11</v>
      </c>
      <c r="C3175" s="4">
        <v>35.76</v>
      </c>
      <c r="D3175" t="s">
        <v>29</v>
      </c>
      <c r="E3175" t="s">
        <v>20</v>
      </c>
      <c r="F3175" s="4" t="s">
        <v>27</v>
      </c>
      <c r="G3175" s="4" t="s">
        <v>41</v>
      </c>
      <c r="H3175" s="4">
        <v>2</v>
      </c>
      <c r="I3175" s="4">
        <v>2</v>
      </c>
      <c r="J3175" s="1">
        <v>45713</v>
      </c>
      <c r="K3175" s="2">
        <v>2.2689814814814815E-2</v>
      </c>
      <c r="M3175" s="4" t="str">
        <f t="shared" si="147"/>
        <v>HIGH</v>
      </c>
      <c r="N3175" s="4" t="str" cm="1">
        <f t="array" ref="N3175">_xlfn.IFS(C3175&gt;35,"HIGH",C3175&gt;25,"MIDDLE",TRUE,"LOW")</f>
        <v>HIGH</v>
      </c>
      <c r="O3175" s="4" t="str">
        <f t="shared" si="148"/>
        <v>OTHERS</v>
      </c>
      <c r="P3175" s="4" t="str">
        <f t="shared" si="149"/>
        <v>PREMINUM MORNING</v>
      </c>
    </row>
    <row r="3176" spans="1:16" x14ac:dyDescent="0.3">
      <c r="A3176" s="4">
        <v>8</v>
      </c>
      <c r="B3176" t="s">
        <v>11</v>
      </c>
      <c r="C3176" s="4">
        <v>25.96</v>
      </c>
      <c r="D3176" t="s">
        <v>18</v>
      </c>
      <c r="E3176" t="s">
        <v>13</v>
      </c>
      <c r="F3176" s="4" t="s">
        <v>28</v>
      </c>
      <c r="G3176" s="4" t="s">
        <v>41</v>
      </c>
      <c r="H3176" s="4">
        <v>3</v>
      </c>
      <c r="I3176" s="4">
        <v>2</v>
      </c>
      <c r="J3176" s="1">
        <v>45714</v>
      </c>
      <c r="K3176" s="2">
        <v>4.0013888888888884E-2</v>
      </c>
      <c r="M3176" s="4" t="str">
        <f t="shared" si="147"/>
        <v>LOW</v>
      </c>
      <c r="N3176" s="4" t="str" cm="1">
        <f t="array" ref="N3176">_xlfn.IFS(C3176&gt;35,"HIGH",C3176&gt;25,"MIDDLE",TRUE,"LOW")</f>
        <v>MIDDLE</v>
      </c>
      <c r="O3176" s="4" t="str">
        <f t="shared" si="148"/>
        <v>OTHERS</v>
      </c>
      <c r="P3176" s="4" t="str">
        <f t="shared" si="149"/>
        <v>PREMINUM MORNING</v>
      </c>
    </row>
    <row r="3177" spans="1:16" x14ac:dyDescent="0.3">
      <c r="A3177" s="4">
        <v>10</v>
      </c>
      <c r="B3177" t="s">
        <v>11</v>
      </c>
      <c r="C3177" s="4">
        <v>30.86</v>
      </c>
      <c r="D3177" t="s">
        <v>19</v>
      </c>
      <c r="E3177" t="s">
        <v>13</v>
      </c>
      <c r="F3177" s="4" t="s">
        <v>28</v>
      </c>
      <c r="G3177" s="4" t="s">
        <v>41</v>
      </c>
      <c r="H3177" s="4">
        <v>3</v>
      </c>
      <c r="I3177" s="4">
        <v>2</v>
      </c>
      <c r="J3177" s="1">
        <v>45714</v>
      </c>
      <c r="K3177" s="2">
        <v>7.9525462962962961E-3</v>
      </c>
      <c r="M3177" s="4" t="str">
        <f t="shared" si="147"/>
        <v>LOW</v>
      </c>
      <c r="N3177" s="4" t="str" cm="1">
        <f t="array" ref="N3177">_xlfn.IFS(C3177&gt;35,"HIGH",C3177&gt;25,"MIDDLE",TRUE,"LOW")</f>
        <v>MIDDLE</v>
      </c>
      <c r="O3177" s="4" t="str">
        <f t="shared" si="148"/>
        <v>OTHERS</v>
      </c>
      <c r="P3177" s="4" t="str">
        <f t="shared" si="149"/>
        <v>PREMINUM MORNING</v>
      </c>
    </row>
    <row r="3178" spans="1:16" x14ac:dyDescent="0.3">
      <c r="A3178" s="4">
        <v>10</v>
      </c>
      <c r="B3178" t="s">
        <v>11</v>
      </c>
      <c r="C3178" s="4">
        <v>30.86</v>
      </c>
      <c r="D3178" t="s">
        <v>19</v>
      </c>
      <c r="E3178" t="s">
        <v>13</v>
      </c>
      <c r="F3178" s="4" t="s">
        <v>28</v>
      </c>
      <c r="G3178" s="4" t="s">
        <v>41</v>
      </c>
      <c r="H3178" s="4">
        <v>3</v>
      </c>
      <c r="I3178" s="4">
        <v>2</v>
      </c>
      <c r="J3178" s="1">
        <v>45714</v>
      </c>
      <c r="K3178" s="2">
        <v>8.6284722222222214E-3</v>
      </c>
      <c r="M3178" s="4" t="str">
        <f t="shared" si="147"/>
        <v>LOW</v>
      </c>
      <c r="N3178" s="4" t="str" cm="1">
        <f t="array" ref="N3178">_xlfn.IFS(C3178&gt;35,"HIGH",C3178&gt;25,"MIDDLE",TRUE,"LOW")</f>
        <v>MIDDLE</v>
      </c>
      <c r="O3178" s="4" t="str">
        <f t="shared" si="148"/>
        <v>OTHERS</v>
      </c>
      <c r="P3178" s="4" t="str">
        <f t="shared" si="149"/>
        <v>PREMINUM MORNING</v>
      </c>
    </row>
    <row r="3179" spans="1:16" x14ac:dyDescent="0.3">
      <c r="A3179" s="4">
        <v>10</v>
      </c>
      <c r="B3179" t="s">
        <v>11</v>
      </c>
      <c r="C3179" s="4">
        <v>35.76</v>
      </c>
      <c r="D3179" t="s">
        <v>16</v>
      </c>
      <c r="E3179" t="s">
        <v>13</v>
      </c>
      <c r="F3179" s="4" t="s">
        <v>28</v>
      </c>
      <c r="G3179" s="4" t="s">
        <v>41</v>
      </c>
      <c r="H3179" s="4">
        <v>3</v>
      </c>
      <c r="I3179" s="4">
        <v>2</v>
      </c>
      <c r="J3179" s="1">
        <v>45714</v>
      </c>
      <c r="K3179" s="2">
        <v>1.1771990740740741E-2</v>
      </c>
      <c r="M3179" s="4" t="str">
        <f t="shared" si="147"/>
        <v>HIGH</v>
      </c>
      <c r="N3179" s="4" t="str" cm="1">
        <f t="array" ref="N3179">_xlfn.IFS(C3179&gt;35,"HIGH",C3179&gt;25,"MIDDLE",TRUE,"LOW")</f>
        <v>HIGH</v>
      </c>
      <c r="O3179" s="4" t="str">
        <f t="shared" si="148"/>
        <v>PREMINUM MORNING</v>
      </c>
      <c r="P3179" s="4" t="str">
        <f t="shared" si="149"/>
        <v>PREMINUM MORNING</v>
      </c>
    </row>
    <row r="3180" spans="1:16" x14ac:dyDescent="0.3">
      <c r="A3180" s="4">
        <v>13</v>
      </c>
      <c r="B3180" t="s">
        <v>11</v>
      </c>
      <c r="C3180" s="4">
        <v>35.76</v>
      </c>
      <c r="D3180" t="s">
        <v>21</v>
      </c>
      <c r="E3180" t="s">
        <v>17</v>
      </c>
      <c r="F3180" s="4" t="s">
        <v>28</v>
      </c>
      <c r="G3180" s="4" t="s">
        <v>41</v>
      </c>
      <c r="H3180" s="4">
        <v>3</v>
      </c>
      <c r="I3180" s="4">
        <v>2</v>
      </c>
      <c r="J3180" s="1">
        <v>45714</v>
      </c>
      <c r="K3180" s="2">
        <v>9.3391203703703709E-3</v>
      </c>
      <c r="M3180" s="4" t="str">
        <f t="shared" si="147"/>
        <v>HIGH</v>
      </c>
      <c r="N3180" s="4" t="str" cm="1">
        <f t="array" ref="N3180">_xlfn.IFS(C3180&gt;35,"HIGH",C3180&gt;25,"MIDDLE",TRUE,"LOW")</f>
        <v>HIGH</v>
      </c>
      <c r="O3180" s="4" t="str">
        <f t="shared" si="148"/>
        <v>OTHERS</v>
      </c>
      <c r="P3180" s="4" t="str">
        <f t="shared" si="149"/>
        <v>PREMINUM MORNING</v>
      </c>
    </row>
    <row r="3181" spans="1:16" x14ac:dyDescent="0.3">
      <c r="A3181" s="4">
        <v>13</v>
      </c>
      <c r="B3181" t="s">
        <v>11</v>
      </c>
      <c r="C3181" s="4">
        <v>35.76</v>
      </c>
      <c r="D3181" t="s">
        <v>12</v>
      </c>
      <c r="E3181" t="s">
        <v>17</v>
      </c>
      <c r="F3181" s="4" t="s">
        <v>28</v>
      </c>
      <c r="G3181" s="4" t="s">
        <v>41</v>
      </c>
      <c r="H3181" s="4">
        <v>3</v>
      </c>
      <c r="I3181" s="4">
        <v>2</v>
      </c>
      <c r="J3181" s="1">
        <v>45714</v>
      </c>
      <c r="K3181" s="2">
        <v>2.1800925925925925E-2</v>
      </c>
      <c r="M3181" s="4" t="str">
        <f t="shared" si="147"/>
        <v>HIGH</v>
      </c>
      <c r="N3181" s="4" t="str" cm="1">
        <f t="array" ref="N3181">_xlfn.IFS(C3181&gt;35,"HIGH",C3181&gt;25,"MIDDLE",TRUE,"LOW")</f>
        <v>HIGH</v>
      </c>
      <c r="O3181" s="4" t="str">
        <f t="shared" si="148"/>
        <v>OTHERS</v>
      </c>
      <c r="P3181" s="4" t="str">
        <f t="shared" si="149"/>
        <v>PREMINUM MORNING</v>
      </c>
    </row>
    <row r="3182" spans="1:16" x14ac:dyDescent="0.3">
      <c r="A3182" s="4">
        <v>15</v>
      </c>
      <c r="B3182" t="s">
        <v>11</v>
      </c>
      <c r="C3182" s="4">
        <v>25.96</v>
      </c>
      <c r="D3182" t="s">
        <v>18</v>
      </c>
      <c r="E3182" t="s">
        <v>17</v>
      </c>
      <c r="F3182" s="4" t="s">
        <v>28</v>
      </c>
      <c r="G3182" s="4" t="s">
        <v>41</v>
      </c>
      <c r="H3182" s="4">
        <v>3</v>
      </c>
      <c r="I3182" s="4">
        <v>2</v>
      </c>
      <c r="J3182" s="1">
        <v>45714</v>
      </c>
      <c r="K3182" s="2">
        <v>1.3726851851851851E-3</v>
      </c>
      <c r="M3182" s="4" t="str">
        <f t="shared" si="147"/>
        <v>LOW</v>
      </c>
      <c r="N3182" s="4" t="str" cm="1">
        <f t="array" ref="N3182">_xlfn.IFS(C3182&gt;35,"HIGH",C3182&gt;25,"MIDDLE",TRUE,"LOW")</f>
        <v>MIDDLE</v>
      </c>
      <c r="O3182" s="4" t="str">
        <f t="shared" si="148"/>
        <v>OTHERS</v>
      </c>
      <c r="P3182" s="4" t="str">
        <f t="shared" si="149"/>
        <v>OTHERS</v>
      </c>
    </row>
    <row r="3183" spans="1:16" x14ac:dyDescent="0.3">
      <c r="A3183" s="4">
        <v>15</v>
      </c>
      <c r="B3183" t="s">
        <v>11</v>
      </c>
      <c r="C3183" s="4">
        <v>25.96</v>
      </c>
      <c r="D3183" t="s">
        <v>18</v>
      </c>
      <c r="E3183" t="s">
        <v>17</v>
      </c>
      <c r="F3183" s="4" t="s">
        <v>28</v>
      </c>
      <c r="G3183" s="4" t="s">
        <v>41</v>
      </c>
      <c r="H3183" s="4">
        <v>3</v>
      </c>
      <c r="I3183" s="4">
        <v>2</v>
      </c>
      <c r="J3183" s="1">
        <v>45714</v>
      </c>
      <c r="K3183" s="2">
        <v>1.0277777777777778E-2</v>
      </c>
      <c r="M3183" s="4" t="str">
        <f t="shared" si="147"/>
        <v>LOW</v>
      </c>
      <c r="N3183" s="4" t="str" cm="1">
        <f t="array" ref="N3183">_xlfn.IFS(C3183&gt;35,"HIGH",C3183&gt;25,"MIDDLE",TRUE,"LOW")</f>
        <v>MIDDLE</v>
      </c>
      <c r="O3183" s="4" t="str">
        <f t="shared" si="148"/>
        <v>OTHERS</v>
      </c>
      <c r="P3183" s="4" t="str">
        <f t="shared" si="149"/>
        <v>OTHERS</v>
      </c>
    </row>
    <row r="3184" spans="1:16" x14ac:dyDescent="0.3">
      <c r="A3184" s="4">
        <v>15</v>
      </c>
      <c r="B3184" t="s">
        <v>11</v>
      </c>
      <c r="C3184" s="4">
        <v>25.96</v>
      </c>
      <c r="D3184" t="s">
        <v>24</v>
      </c>
      <c r="E3184" t="s">
        <v>17</v>
      </c>
      <c r="F3184" s="4" t="s">
        <v>28</v>
      </c>
      <c r="G3184" s="4" t="s">
        <v>41</v>
      </c>
      <c r="H3184" s="4">
        <v>3</v>
      </c>
      <c r="I3184" s="4">
        <v>2</v>
      </c>
      <c r="J3184" s="1">
        <v>45714</v>
      </c>
      <c r="K3184" s="2">
        <v>1.208912037037037E-2</v>
      </c>
      <c r="M3184" s="4" t="str">
        <f t="shared" si="147"/>
        <v>LOW</v>
      </c>
      <c r="N3184" s="4" t="str" cm="1">
        <f t="array" ref="N3184">_xlfn.IFS(C3184&gt;35,"HIGH",C3184&gt;25,"MIDDLE",TRUE,"LOW")</f>
        <v>MIDDLE</v>
      </c>
      <c r="O3184" s="4" t="str">
        <f t="shared" si="148"/>
        <v>OTHERS</v>
      </c>
      <c r="P3184" s="4" t="str">
        <f t="shared" si="149"/>
        <v>OTHERS</v>
      </c>
    </row>
    <row r="3185" spans="1:16" x14ac:dyDescent="0.3">
      <c r="A3185" s="4">
        <v>15</v>
      </c>
      <c r="B3185" t="s">
        <v>11</v>
      </c>
      <c r="C3185" s="4">
        <v>35.76</v>
      </c>
      <c r="D3185" t="s">
        <v>16</v>
      </c>
      <c r="E3185" t="s">
        <v>17</v>
      </c>
      <c r="F3185" s="4" t="s">
        <v>28</v>
      </c>
      <c r="G3185" s="4" t="s">
        <v>41</v>
      </c>
      <c r="H3185" s="4">
        <v>3</v>
      </c>
      <c r="I3185" s="4">
        <v>2</v>
      </c>
      <c r="J3185" s="1">
        <v>45714</v>
      </c>
      <c r="K3185" s="2">
        <v>1.3921296296296296E-2</v>
      </c>
      <c r="M3185" s="4" t="str">
        <f t="shared" si="147"/>
        <v>HIGH</v>
      </c>
      <c r="N3185" s="4" t="str" cm="1">
        <f t="array" ref="N3185">_xlfn.IFS(C3185&gt;35,"HIGH",C3185&gt;25,"MIDDLE",TRUE,"LOW")</f>
        <v>HIGH</v>
      </c>
      <c r="O3185" s="4" t="str">
        <f t="shared" si="148"/>
        <v>OTHERS</v>
      </c>
      <c r="P3185" s="4" t="str">
        <f t="shared" si="149"/>
        <v>PREMINUM MORNING</v>
      </c>
    </row>
    <row r="3186" spans="1:16" x14ac:dyDescent="0.3">
      <c r="A3186" s="4">
        <v>15</v>
      </c>
      <c r="B3186" t="s">
        <v>11</v>
      </c>
      <c r="C3186" s="4">
        <v>25.96</v>
      </c>
      <c r="D3186" t="s">
        <v>18</v>
      </c>
      <c r="E3186" t="s">
        <v>17</v>
      </c>
      <c r="F3186" s="4" t="s">
        <v>28</v>
      </c>
      <c r="G3186" s="4" t="s">
        <v>41</v>
      </c>
      <c r="H3186" s="4">
        <v>3</v>
      </c>
      <c r="I3186" s="4">
        <v>2</v>
      </c>
      <c r="J3186" s="1">
        <v>45714</v>
      </c>
      <c r="K3186" s="2">
        <v>1.4453703703703703E-2</v>
      </c>
      <c r="M3186" s="4" t="str">
        <f t="shared" si="147"/>
        <v>LOW</v>
      </c>
      <c r="N3186" s="4" t="str" cm="1">
        <f t="array" ref="N3186">_xlfn.IFS(C3186&gt;35,"HIGH",C3186&gt;25,"MIDDLE",TRUE,"LOW")</f>
        <v>MIDDLE</v>
      </c>
      <c r="O3186" s="4" t="str">
        <f t="shared" si="148"/>
        <v>OTHERS</v>
      </c>
      <c r="P3186" s="4" t="str">
        <f t="shared" si="149"/>
        <v>OTHERS</v>
      </c>
    </row>
    <row r="3187" spans="1:16" x14ac:dyDescent="0.3">
      <c r="A3187" s="4">
        <v>15</v>
      </c>
      <c r="B3187" t="s">
        <v>11</v>
      </c>
      <c r="C3187" s="4">
        <v>25.96</v>
      </c>
      <c r="D3187" t="s">
        <v>18</v>
      </c>
      <c r="E3187" t="s">
        <v>17</v>
      </c>
      <c r="F3187" s="4" t="s">
        <v>28</v>
      </c>
      <c r="G3187" s="4" t="s">
        <v>41</v>
      </c>
      <c r="H3187" s="4">
        <v>3</v>
      </c>
      <c r="I3187" s="4">
        <v>2</v>
      </c>
      <c r="J3187" s="1">
        <v>45714</v>
      </c>
      <c r="K3187" s="2">
        <v>1.996875E-2</v>
      </c>
      <c r="M3187" s="4" t="str">
        <f t="shared" si="147"/>
        <v>LOW</v>
      </c>
      <c r="N3187" s="4" t="str" cm="1">
        <f t="array" ref="N3187">_xlfn.IFS(C3187&gt;35,"HIGH",C3187&gt;25,"MIDDLE",TRUE,"LOW")</f>
        <v>MIDDLE</v>
      </c>
      <c r="O3187" s="4" t="str">
        <f t="shared" si="148"/>
        <v>OTHERS</v>
      </c>
      <c r="P3187" s="4" t="str">
        <f t="shared" si="149"/>
        <v>OTHERS</v>
      </c>
    </row>
    <row r="3188" spans="1:16" x14ac:dyDescent="0.3">
      <c r="A3188" s="4">
        <v>16</v>
      </c>
      <c r="B3188" t="s">
        <v>11</v>
      </c>
      <c r="C3188" s="4">
        <v>35.76</v>
      </c>
      <c r="D3188" t="s">
        <v>12</v>
      </c>
      <c r="E3188" t="s">
        <v>17</v>
      </c>
      <c r="F3188" s="4" t="s">
        <v>28</v>
      </c>
      <c r="G3188" s="4" t="s">
        <v>41</v>
      </c>
      <c r="H3188" s="4">
        <v>3</v>
      </c>
      <c r="I3188" s="4">
        <v>2</v>
      </c>
      <c r="J3188" s="1">
        <v>45714</v>
      </c>
      <c r="K3188" s="2">
        <v>1.4430555555555556E-2</v>
      </c>
      <c r="M3188" s="4" t="str">
        <f t="shared" si="147"/>
        <v>HIGH</v>
      </c>
      <c r="N3188" s="4" t="str" cm="1">
        <f t="array" ref="N3188">_xlfn.IFS(C3188&gt;35,"HIGH",C3188&gt;25,"MIDDLE",TRUE,"LOW")</f>
        <v>HIGH</v>
      </c>
      <c r="O3188" s="4" t="str">
        <f t="shared" si="148"/>
        <v>OTHERS</v>
      </c>
      <c r="P3188" s="4" t="str">
        <f t="shared" si="149"/>
        <v>PREMINUM MORNING</v>
      </c>
    </row>
    <row r="3189" spans="1:16" x14ac:dyDescent="0.3">
      <c r="A3189" s="4">
        <v>16</v>
      </c>
      <c r="B3189" t="s">
        <v>11</v>
      </c>
      <c r="C3189" s="4">
        <v>35.76</v>
      </c>
      <c r="D3189" t="s">
        <v>16</v>
      </c>
      <c r="E3189" t="s">
        <v>17</v>
      </c>
      <c r="F3189" s="4" t="s">
        <v>28</v>
      </c>
      <c r="G3189" s="4" t="s">
        <v>41</v>
      </c>
      <c r="H3189" s="4">
        <v>3</v>
      </c>
      <c r="I3189" s="4">
        <v>2</v>
      </c>
      <c r="J3189" s="1">
        <v>45714</v>
      </c>
      <c r="K3189" s="2">
        <v>3.8351851851851852E-2</v>
      </c>
      <c r="M3189" s="4" t="str">
        <f t="shared" si="147"/>
        <v>HIGH</v>
      </c>
      <c r="N3189" s="4" t="str" cm="1">
        <f t="array" ref="N3189">_xlfn.IFS(C3189&gt;35,"HIGH",C3189&gt;25,"MIDDLE",TRUE,"LOW")</f>
        <v>HIGH</v>
      </c>
      <c r="O3189" s="4" t="str">
        <f t="shared" si="148"/>
        <v>OTHERS</v>
      </c>
      <c r="P3189" s="4" t="str">
        <f t="shared" si="149"/>
        <v>PREMINUM MORNING</v>
      </c>
    </row>
    <row r="3190" spans="1:16" x14ac:dyDescent="0.3">
      <c r="A3190" s="4">
        <v>16</v>
      </c>
      <c r="B3190" t="s">
        <v>11</v>
      </c>
      <c r="C3190" s="4">
        <v>35.76</v>
      </c>
      <c r="D3190" t="s">
        <v>12</v>
      </c>
      <c r="E3190" t="s">
        <v>17</v>
      </c>
      <c r="F3190" s="4" t="s">
        <v>28</v>
      </c>
      <c r="G3190" s="4" t="s">
        <v>41</v>
      </c>
      <c r="H3190" s="4">
        <v>3</v>
      </c>
      <c r="I3190" s="4">
        <v>2</v>
      </c>
      <c r="J3190" s="1">
        <v>45714</v>
      </c>
      <c r="K3190" s="2">
        <v>3.8884259259259257E-2</v>
      </c>
      <c r="M3190" s="4" t="str">
        <f t="shared" si="147"/>
        <v>HIGH</v>
      </c>
      <c r="N3190" s="4" t="str" cm="1">
        <f t="array" ref="N3190">_xlfn.IFS(C3190&gt;35,"HIGH",C3190&gt;25,"MIDDLE",TRUE,"LOW")</f>
        <v>HIGH</v>
      </c>
      <c r="O3190" s="4" t="str">
        <f t="shared" si="148"/>
        <v>OTHERS</v>
      </c>
      <c r="P3190" s="4" t="str">
        <f t="shared" si="149"/>
        <v>PREMINUM MORNING</v>
      </c>
    </row>
    <row r="3191" spans="1:16" x14ac:dyDescent="0.3">
      <c r="A3191" s="4">
        <v>17</v>
      </c>
      <c r="B3191" t="s">
        <v>11</v>
      </c>
      <c r="C3191" s="4">
        <v>30.86</v>
      </c>
      <c r="D3191" t="s">
        <v>19</v>
      </c>
      <c r="E3191" t="s">
        <v>20</v>
      </c>
      <c r="F3191" s="4" t="s">
        <v>28</v>
      </c>
      <c r="G3191" s="4" t="s">
        <v>41</v>
      </c>
      <c r="H3191" s="4">
        <v>3</v>
      </c>
      <c r="I3191" s="4">
        <v>2</v>
      </c>
      <c r="J3191" s="1">
        <v>45714</v>
      </c>
      <c r="K3191" s="2">
        <v>1.5793981481481482E-2</v>
      </c>
      <c r="M3191" s="4" t="str">
        <f t="shared" si="147"/>
        <v>LOW</v>
      </c>
      <c r="N3191" s="4" t="str" cm="1">
        <f t="array" ref="N3191">_xlfn.IFS(C3191&gt;35,"HIGH",C3191&gt;25,"MIDDLE",TRUE,"LOW")</f>
        <v>MIDDLE</v>
      </c>
      <c r="O3191" s="4" t="str">
        <f t="shared" si="148"/>
        <v>OTHERS</v>
      </c>
      <c r="P3191" s="4" t="str">
        <f t="shared" si="149"/>
        <v>OTHERS</v>
      </c>
    </row>
    <row r="3192" spans="1:16" x14ac:dyDescent="0.3">
      <c r="A3192" s="4">
        <v>18</v>
      </c>
      <c r="B3192" t="s">
        <v>11</v>
      </c>
      <c r="C3192" s="4">
        <v>35.76</v>
      </c>
      <c r="D3192" t="s">
        <v>12</v>
      </c>
      <c r="E3192" t="s">
        <v>20</v>
      </c>
      <c r="F3192" s="4" t="s">
        <v>28</v>
      </c>
      <c r="G3192" s="4" t="s">
        <v>41</v>
      </c>
      <c r="H3192" s="4">
        <v>3</v>
      </c>
      <c r="I3192" s="4">
        <v>2</v>
      </c>
      <c r="J3192" s="1">
        <v>45714</v>
      </c>
      <c r="K3192" s="2">
        <v>7.9178240740740737E-3</v>
      </c>
      <c r="M3192" s="4" t="str">
        <f t="shared" si="147"/>
        <v>HIGH</v>
      </c>
      <c r="N3192" s="4" t="str" cm="1">
        <f t="array" ref="N3192">_xlfn.IFS(C3192&gt;35,"HIGH",C3192&gt;25,"MIDDLE",TRUE,"LOW")</f>
        <v>HIGH</v>
      </c>
      <c r="O3192" s="4" t="str">
        <f t="shared" si="148"/>
        <v>OTHERS</v>
      </c>
      <c r="P3192" s="4" t="str">
        <f t="shared" si="149"/>
        <v>PREMINUM MORNING</v>
      </c>
    </row>
    <row r="3193" spans="1:16" x14ac:dyDescent="0.3">
      <c r="A3193" s="4">
        <v>18</v>
      </c>
      <c r="B3193" t="s">
        <v>11</v>
      </c>
      <c r="C3193" s="4">
        <v>35.76</v>
      </c>
      <c r="D3193" t="s">
        <v>29</v>
      </c>
      <c r="E3193" t="s">
        <v>20</v>
      </c>
      <c r="F3193" s="4" t="s">
        <v>28</v>
      </c>
      <c r="G3193" s="4" t="s">
        <v>41</v>
      </c>
      <c r="H3193" s="4">
        <v>3</v>
      </c>
      <c r="I3193" s="4">
        <v>2</v>
      </c>
      <c r="J3193" s="1">
        <v>45714</v>
      </c>
      <c r="K3193" s="2">
        <v>9.6111111111111102E-3</v>
      </c>
      <c r="M3193" s="4" t="str">
        <f t="shared" si="147"/>
        <v>HIGH</v>
      </c>
      <c r="N3193" s="4" t="str" cm="1">
        <f t="array" ref="N3193">_xlfn.IFS(C3193&gt;35,"HIGH",C3193&gt;25,"MIDDLE",TRUE,"LOW")</f>
        <v>HIGH</v>
      </c>
      <c r="O3193" s="4" t="str">
        <f t="shared" si="148"/>
        <v>OTHERS</v>
      </c>
      <c r="P3193" s="4" t="str">
        <f t="shared" si="149"/>
        <v>PREMINUM MORNING</v>
      </c>
    </row>
    <row r="3194" spans="1:16" x14ac:dyDescent="0.3">
      <c r="A3194" s="4">
        <v>7</v>
      </c>
      <c r="B3194" t="s">
        <v>11</v>
      </c>
      <c r="C3194" s="4">
        <v>35.76</v>
      </c>
      <c r="D3194" t="s">
        <v>29</v>
      </c>
      <c r="E3194" t="s">
        <v>13</v>
      </c>
      <c r="F3194" s="4" t="s">
        <v>30</v>
      </c>
      <c r="G3194" s="4" t="s">
        <v>41</v>
      </c>
      <c r="H3194" s="4">
        <v>4</v>
      </c>
      <c r="I3194" s="4">
        <v>2</v>
      </c>
      <c r="J3194" s="1">
        <v>45715</v>
      </c>
      <c r="K3194" s="2">
        <v>1.3197916666666667E-2</v>
      </c>
      <c r="M3194" s="4" t="str">
        <f t="shared" si="147"/>
        <v>HIGH</v>
      </c>
      <c r="N3194" s="4" t="str" cm="1">
        <f t="array" ref="N3194">_xlfn.IFS(C3194&gt;35,"HIGH",C3194&gt;25,"MIDDLE",TRUE,"LOW")</f>
        <v>HIGH</v>
      </c>
      <c r="O3194" s="4" t="str">
        <f t="shared" si="148"/>
        <v>PREMINUM MORNING</v>
      </c>
      <c r="P3194" s="4" t="str">
        <f t="shared" si="149"/>
        <v>PREMINUM MORNING</v>
      </c>
    </row>
    <row r="3195" spans="1:16" x14ac:dyDescent="0.3">
      <c r="A3195" s="4">
        <v>7</v>
      </c>
      <c r="B3195" t="s">
        <v>11</v>
      </c>
      <c r="C3195" s="4">
        <v>35.76</v>
      </c>
      <c r="D3195" t="s">
        <v>29</v>
      </c>
      <c r="E3195" t="s">
        <v>13</v>
      </c>
      <c r="F3195" s="4" t="s">
        <v>30</v>
      </c>
      <c r="G3195" s="4" t="s">
        <v>41</v>
      </c>
      <c r="H3195" s="4">
        <v>4</v>
      </c>
      <c r="I3195" s="4">
        <v>2</v>
      </c>
      <c r="J3195" s="1">
        <v>45715</v>
      </c>
      <c r="K3195" s="2">
        <v>1.4590277777777777E-2</v>
      </c>
      <c r="M3195" s="4" t="str">
        <f t="shared" si="147"/>
        <v>HIGH</v>
      </c>
      <c r="N3195" s="4" t="str" cm="1">
        <f t="array" ref="N3195">_xlfn.IFS(C3195&gt;35,"HIGH",C3195&gt;25,"MIDDLE",TRUE,"LOW")</f>
        <v>HIGH</v>
      </c>
      <c r="O3195" s="4" t="str">
        <f t="shared" si="148"/>
        <v>PREMINUM MORNING</v>
      </c>
      <c r="P3195" s="4" t="str">
        <f t="shared" si="149"/>
        <v>PREMINUM MORNING</v>
      </c>
    </row>
    <row r="3196" spans="1:16" x14ac:dyDescent="0.3">
      <c r="A3196" s="4">
        <v>10</v>
      </c>
      <c r="B3196" t="s">
        <v>11</v>
      </c>
      <c r="C3196" s="4">
        <v>21.06</v>
      </c>
      <c r="D3196" t="s">
        <v>26</v>
      </c>
      <c r="E3196" t="s">
        <v>13</v>
      </c>
      <c r="F3196" s="4" t="s">
        <v>30</v>
      </c>
      <c r="G3196" s="4" t="s">
        <v>41</v>
      </c>
      <c r="H3196" s="4">
        <v>4</v>
      </c>
      <c r="I3196" s="4">
        <v>2</v>
      </c>
      <c r="J3196" s="1">
        <v>45715</v>
      </c>
      <c r="K3196" s="2">
        <v>3.6449074074074071E-2</v>
      </c>
      <c r="M3196" s="4" t="str">
        <f t="shared" si="147"/>
        <v>LOW</v>
      </c>
      <c r="N3196" s="4" t="str" cm="1">
        <f t="array" ref="N3196">_xlfn.IFS(C3196&gt;35,"HIGH",C3196&gt;25,"MIDDLE",TRUE,"LOW")</f>
        <v>LOW</v>
      </c>
      <c r="O3196" s="4" t="str">
        <f t="shared" si="148"/>
        <v>OTHERS</v>
      </c>
      <c r="P3196" s="4" t="str">
        <f t="shared" si="149"/>
        <v>PREMINUM MORNING</v>
      </c>
    </row>
    <row r="3197" spans="1:16" x14ac:dyDescent="0.3">
      <c r="A3197" s="4">
        <v>11</v>
      </c>
      <c r="B3197" t="s">
        <v>11</v>
      </c>
      <c r="C3197" s="4">
        <v>35.76</v>
      </c>
      <c r="D3197" t="s">
        <v>21</v>
      </c>
      <c r="E3197" t="s">
        <v>13</v>
      </c>
      <c r="F3197" s="4" t="s">
        <v>30</v>
      </c>
      <c r="G3197" s="4" t="s">
        <v>41</v>
      </c>
      <c r="H3197" s="4">
        <v>4</v>
      </c>
      <c r="I3197" s="4">
        <v>2</v>
      </c>
      <c r="J3197" s="1">
        <v>45715</v>
      </c>
      <c r="K3197" s="2">
        <v>5.7511574074074071E-3</v>
      </c>
      <c r="M3197" s="4" t="str">
        <f t="shared" si="147"/>
        <v>HIGH</v>
      </c>
      <c r="N3197" s="4" t="str" cm="1">
        <f t="array" ref="N3197">_xlfn.IFS(C3197&gt;35,"HIGH",C3197&gt;25,"MIDDLE",TRUE,"LOW")</f>
        <v>HIGH</v>
      </c>
      <c r="O3197" s="4" t="str">
        <f t="shared" si="148"/>
        <v>PREMINUM MORNING</v>
      </c>
      <c r="P3197" s="4" t="str">
        <f t="shared" si="149"/>
        <v>PREMINUM MORNING</v>
      </c>
    </row>
    <row r="3198" spans="1:16" x14ac:dyDescent="0.3">
      <c r="A3198" s="4">
        <v>12</v>
      </c>
      <c r="B3198" t="s">
        <v>11</v>
      </c>
      <c r="C3198" s="4">
        <v>35.76</v>
      </c>
      <c r="D3198" t="s">
        <v>21</v>
      </c>
      <c r="E3198" t="s">
        <v>17</v>
      </c>
      <c r="F3198" s="4" t="s">
        <v>30</v>
      </c>
      <c r="G3198" s="4" t="s">
        <v>41</v>
      </c>
      <c r="H3198" s="4">
        <v>4</v>
      </c>
      <c r="I3198" s="4">
        <v>2</v>
      </c>
      <c r="J3198" s="1">
        <v>45715</v>
      </c>
      <c r="K3198" s="2">
        <v>3.3517361111111109E-2</v>
      </c>
      <c r="M3198" s="4" t="str">
        <f t="shared" si="147"/>
        <v>HIGH</v>
      </c>
      <c r="N3198" s="4" t="str" cm="1">
        <f t="array" ref="N3198">_xlfn.IFS(C3198&gt;35,"HIGH",C3198&gt;25,"MIDDLE",TRUE,"LOW")</f>
        <v>HIGH</v>
      </c>
      <c r="O3198" s="4" t="str">
        <f t="shared" si="148"/>
        <v>OTHERS</v>
      </c>
      <c r="P3198" s="4" t="str">
        <f t="shared" si="149"/>
        <v>PREMINUM MORNING</v>
      </c>
    </row>
    <row r="3199" spans="1:16" x14ac:dyDescent="0.3">
      <c r="A3199" s="4">
        <v>13</v>
      </c>
      <c r="B3199" t="s">
        <v>11</v>
      </c>
      <c r="C3199" s="4">
        <v>30.86</v>
      </c>
      <c r="D3199" t="s">
        <v>19</v>
      </c>
      <c r="E3199" t="s">
        <v>17</v>
      </c>
      <c r="F3199" s="4" t="s">
        <v>30</v>
      </c>
      <c r="G3199" s="4" t="s">
        <v>41</v>
      </c>
      <c r="H3199" s="4">
        <v>4</v>
      </c>
      <c r="I3199" s="4">
        <v>2</v>
      </c>
      <c r="J3199" s="1">
        <v>45715</v>
      </c>
      <c r="K3199" s="2">
        <v>2.0699074074074075E-2</v>
      </c>
      <c r="M3199" s="4" t="str">
        <f t="shared" si="147"/>
        <v>LOW</v>
      </c>
      <c r="N3199" s="4" t="str" cm="1">
        <f t="array" ref="N3199">_xlfn.IFS(C3199&gt;35,"HIGH",C3199&gt;25,"MIDDLE",TRUE,"LOW")</f>
        <v>MIDDLE</v>
      </c>
      <c r="O3199" s="4" t="str">
        <f t="shared" si="148"/>
        <v>OTHERS</v>
      </c>
      <c r="P3199" s="4" t="str">
        <f t="shared" si="149"/>
        <v>OTHERS</v>
      </c>
    </row>
    <row r="3200" spans="1:16" x14ac:dyDescent="0.3">
      <c r="A3200" s="4">
        <v>14</v>
      </c>
      <c r="B3200" t="s">
        <v>11</v>
      </c>
      <c r="C3200" s="4">
        <v>25.96</v>
      </c>
      <c r="D3200" t="s">
        <v>18</v>
      </c>
      <c r="E3200" t="s">
        <v>17</v>
      </c>
      <c r="F3200" s="4" t="s">
        <v>30</v>
      </c>
      <c r="G3200" s="4" t="s">
        <v>41</v>
      </c>
      <c r="H3200" s="4">
        <v>4</v>
      </c>
      <c r="I3200" s="4">
        <v>2</v>
      </c>
      <c r="J3200" s="1">
        <v>45715</v>
      </c>
      <c r="K3200" s="2">
        <v>1.6163194444444445E-2</v>
      </c>
      <c r="M3200" s="4" t="str">
        <f t="shared" si="147"/>
        <v>LOW</v>
      </c>
      <c r="N3200" s="4" t="str" cm="1">
        <f t="array" ref="N3200">_xlfn.IFS(C3200&gt;35,"HIGH",C3200&gt;25,"MIDDLE",TRUE,"LOW")</f>
        <v>MIDDLE</v>
      </c>
      <c r="O3200" s="4" t="str">
        <f t="shared" si="148"/>
        <v>OTHERS</v>
      </c>
      <c r="P3200" s="4" t="str">
        <f t="shared" si="149"/>
        <v>OTHERS</v>
      </c>
    </row>
    <row r="3201" spans="1:16" x14ac:dyDescent="0.3">
      <c r="A3201" s="4">
        <v>14</v>
      </c>
      <c r="B3201" t="s">
        <v>11</v>
      </c>
      <c r="C3201" s="4">
        <v>35.76</v>
      </c>
      <c r="D3201" t="s">
        <v>12</v>
      </c>
      <c r="E3201" t="s">
        <v>17</v>
      </c>
      <c r="F3201" s="4" t="s">
        <v>30</v>
      </c>
      <c r="G3201" s="4" t="s">
        <v>41</v>
      </c>
      <c r="H3201" s="4">
        <v>4</v>
      </c>
      <c r="I3201" s="4">
        <v>2</v>
      </c>
      <c r="J3201" s="1">
        <v>45715</v>
      </c>
      <c r="K3201" s="2">
        <v>3.0084490740740742E-2</v>
      </c>
      <c r="M3201" s="4" t="str">
        <f t="shared" si="147"/>
        <v>HIGH</v>
      </c>
      <c r="N3201" s="4" t="str" cm="1">
        <f t="array" ref="N3201">_xlfn.IFS(C3201&gt;35,"HIGH",C3201&gt;25,"MIDDLE",TRUE,"LOW")</f>
        <v>HIGH</v>
      </c>
      <c r="O3201" s="4" t="str">
        <f t="shared" si="148"/>
        <v>OTHERS</v>
      </c>
      <c r="P3201" s="4" t="str">
        <f t="shared" si="149"/>
        <v>PREMINUM MORNING</v>
      </c>
    </row>
    <row r="3202" spans="1:16" x14ac:dyDescent="0.3">
      <c r="A3202" s="4">
        <v>15</v>
      </c>
      <c r="B3202" t="s">
        <v>11</v>
      </c>
      <c r="C3202" s="4">
        <v>25.96</v>
      </c>
      <c r="D3202" t="s">
        <v>18</v>
      </c>
      <c r="E3202" t="s">
        <v>17</v>
      </c>
      <c r="F3202" s="4" t="s">
        <v>30</v>
      </c>
      <c r="G3202" s="4" t="s">
        <v>41</v>
      </c>
      <c r="H3202" s="4">
        <v>4</v>
      </c>
      <c r="I3202" s="4">
        <v>2</v>
      </c>
      <c r="J3202" s="1">
        <v>45715</v>
      </c>
      <c r="K3202" s="2">
        <v>3.322569444444444E-2</v>
      </c>
      <c r="M3202" s="4" t="str">
        <f t="shared" si="147"/>
        <v>LOW</v>
      </c>
      <c r="N3202" s="4" t="str" cm="1">
        <f t="array" ref="N3202">_xlfn.IFS(C3202&gt;35,"HIGH",C3202&gt;25,"MIDDLE",TRUE,"LOW")</f>
        <v>MIDDLE</v>
      </c>
      <c r="O3202" s="4" t="str">
        <f t="shared" si="148"/>
        <v>OTHERS</v>
      </c>
      <c r="P3202" s="4" t="str">
        <f t="shared" si="149"/>
        <v>OTHERS</v>
      </c>
    </row>
    <row r="3203" spans="1:16" x14ac:dyDescent="0.3">
      <c r="A3203" s="4">
        <v>16</v>
      </c>
      <c r="B3203" t="s">
        <v>11</v>
      </c>
      <c r="C3203" s="4">
        <v>25.96</v>
      </c>
      <c r="D3203" t="s">
        <v>18</v>
      </c>
      <c r="E3203" t="s">
        <v>17</v>
      </c>
      <c r="F3203" s="4" t="s">
        <v>30</v>
      </c>
      <c r="G3203" s="4" t="s">
        <v>41</v>
      </c>
      <c r="H3203" s="4">
        <v>4</v>
      </c>
      <c r="I3203" s="4">
        <v>2</v>
      </c>
      <c r="J3203" s="1">
        <v>45715</v>
      </c>
      <c r="K3203" s="2">
        <v>1.9769675925925923E-2</v>
      </c>
      <c r="M3203" s="4" t="str">
        <f t="shared" ref="M3203:M3266" si="150">IF(C3203&gt;35,"HIGH","LOW")</f>
        <v>LOW</v>
      </c>
      <c r="N3203" s="4" t="str" cm="1">
        <f t="array" ref="N3203">_xlfn.IFS(C3203&gt;35,"HIGH",C3203&gt;25,"MIDDLE",TRUE,"LOW")</f>
        <v>MIDDLE</v>
      </c>
      <c r="O3203" s="4" t="str">
        <f t="shared" ref="O3203:O3266" si="151">IF(AND(C3203&gt;35,E3203="MORNING"),"PREMINUM MORNING","OTHERS")</f>
        <v>OTHERS</v>
      </c>
      <c r="P3203" s="4" t="str">
        <f t="shared" ref="P3203:P3266" si="152">IF(OR(C3203&gt;35,E3203="MORNING"),"PREMINUM MORNING","OTHERS")</f>
        <v>OTHERS</v>
      </c>
    </row>
    <row r="3204" spans="1:16" x14ac:dyDescent="0.3">
      <c r="A3204" s="4">
        <v>17</v>
      </c>
      <c r="B3204" t="s">
        <v>11</v>
      </c>
      <c r="C3204" s="4">
        <v>25.96</v>
      </c>
      <c r="D3204" t="s">
        <v>18</v>
      </c>
      <c r="E3204" t="s">
        <v>20</v>
      </c>
      <c r="F3204" s="4" t="s">
        <v>30</v>
      </c>
      <c r="G3204" s="4" t="s">
        <v>41</v>
      </c>
      <c r="H3204" s="4">
        <v>4</v>
      </c>
      <c r="I3204" s="4">
        <v>2</v>
      </c>
      <c r="J3204" s="1">
        <v>45715</v>
      </c>
      <c r="K3204" s="2">
        <v>8.9814814814814809E-3</v>
      </c>
      <c r="M3204" s="4" t="str">
        <f t="shared" si="150"/>
        <v>LOW</v>
      </c>
      <c r="N3204" s="4" t="str" cm="1">
        <f t="array" ref="N3204">_xlfn.IFS(C3204&gt;35,"HIGH",C3204&gt;25,"MIDDLE",TRUE,"LOW")</f>
        <v>MIDDLE</v>
      </c>
      <c r="O3204" s="4" t="str">
        <f t="shared" si="151"/>
        <v>OTHERS</v>
      </c>
      <c r="P3204" s="4" t="str">
        <f t="shared" si="152"/>
        <v>OTHERS</v>
      </c>
    </row>
    <row r="3205" spans="1:16" x14ac:dyDescent="0.3">
      <c r="A3205" s="4">
        <v>17</v>
      </c>
      <c r="B3205" t="s">
        <v>11</v>
      </c>
      <c r="C3205" s="4">
        <v>25.96</v>
      </c>
      <c r="D3205" t="s">
        <v>18</v>
      </c>
      <c r="E3205" t="s">
        <v>20</v>
      </c>
      <c r="F3205" s="4" t="s">
        <v>30</v>
      </c>
      <c r="G3205" s="4" t="s">
        <v>41</v>
      </c>
      <c r="H3205" s="4">
        <v>4</v>
      </c>
      <c r="I3205" s="4">
        <v>2</v>
      </c>
      <c r="J3205" s="1">
        <v>45715</v>
      </c>
      <c r="K3205" s="2">
        <v>1.6087962962962964E-2</v>
      </c>
      <c r="M3205" s="4" t="str">
        <f t="shared" si="150"/>
        <v>LOW</v>
      </c>
      <c r="N3205" s="4" t="str" cm="1">
        <f t="array" ref="N3205">_xlfn.IFS(C3205&gt;35,"HIGH",C3205&gt;25,"MIDDLE",TRUE,"LOW")</f>
        <v>MIDDLE</v>
      </c>
      <c r="O3205" s="4" t="str">
        <f t="shared" si="151"/>
        <v>OTHERS</v>
      </c>
      <c r="P3205" s="4" t="str">
        <f t="shared" si="152"/>
        <v>OTHERS</v>
      </c>
    </row>
    <row r="3206" spans="1:16" x14ac:dyDescent="0.3">
      <c r="A3206" s="4">
        <v>17</v>
      </c>
      <c r="B3206" t="s">
        <v>11</v>
      </c>
      <c r="C3206" s="4">
        <v>35.76</v>
      </c>
      <c r="D3206" t="s">
        <v>12</v>
      </c>
      <c r="E3206" t="s">
        <v>20</v>
      </c>
      <c r="F3206" s="4" t="s">
        <v>30</v>
      </c>
      <c r="G3206" s="4" t="s">
        <v>41</v>
      </c>
      <c r="H3206" s="4">
        <v>4</v>
      </c>
      <c r="I3206" s="4">
        <v>2</v>
      </c>
      <c r="J3206" s="1">
        <v>45715</v>
      </c>
      <c r="K3206" s="2">
        <v>3.6957175925925928E-2</v>
      </c>
      <c r="M3206" s="4" t="str">
        <f t="shared" si="150"/>
        <v>HIGH</v>
      </c>
      <c r="N3206" s="4" t="str" cm="1">
        <f t="array" ref="N3206">_xlfn.IFS(C3206&gt;35,"HIGH",C3206&gt;25,"MIDDLE",TRUE,"LOW")</f>
        <v>HIGH</v>
      </c>
      <c r="O3206" s="4" t="str">
        <f t="shared" si="151"/>
        <v>OTHERS</v>
      </c>
      <c r="P3206" s="4" t="str">
        <f t="shared" si="152"/>
        <v>PREMINUM MORNING</v>
      </c>
    </row>
    <row r="3207" spans="1:16" x14ac:dyDescent="0.3">
      <c r="A3207" s="4">
        <v>18</v>
      </c>
      <c r="B3207" t="s">
        <v>11</v>
      </c>
      <c r="C3207" s="4">
        <v>35.76</v>
      </c>
      <c r="D3207" t="s">
        <v>12</v>
      </c>
      <c r="E3207" t="s">
        <v>20</v>
      </c>
      <c r="F3207" s="4" t="s">
        <v>30</v>
      </c>
      <c r="G3207" s="4" t="s">
        <v>41</v>
      </c>
      <c r="H3207" s="4">
        <v>4</v>
      </c>
      <c r="I3207" s="4">
        <v>2</v>
      </c>
      <c r="J3207" s="1">
        <v>45715</v>
      </c>
      <c r="K3207" s="2">
        <v>1.2141203703703704E-2</v>
      </c>
      <c r="M3207" s="4" t="str">
        <f t="shared" si="150"/>
        <v>HIGH</v>
      </c>
      <c r="N3207" s="4" t="str" cm="1">
        <f t="array" ref="N3207">_xlfn.IFS(C3207&gt;35,"HIGH",C3207&gt;25,"MIDDLE",TRUE,"LOW")</f>
        <v>HIGH</v>
      </c>
      <c r="O3207" s="4" t="str">
        <f t="shared" si="151"/>
        <v>OTHERS</v>
      </c>
      <c r="P3207" s="4" t="str">
        <f t="shared" si="152"/>
        <v>PREMINUM MORNING</v>
      </c>
    </row>
    <row r="3208" spans="1:16" x14ac:dyDescent="0.3">
      <c r="A3208" s="4">
        <v>18</v>
      </c>
      <c r="B3208" t="s">
        <v>11</v>
      </c>
      <c r="C3208" s="4">
        <v>35.76</v>
      </c>
      <c r="D3208" t="s">
        <v>29</v>
      </c>
      <c r="E3208" t="s">
        <v>20</v>
      </c>
      <c r="F3208" s="4" t="s">
        <v>30</v>
      </c>
      <c r="G3208" s="4" t="s">
        <v>41</v>
      </c>
      <c r="H3208" s="4">
        <v>4</v>
      </c>
      <c r="I3208" s="4">
        <v>2</v>
      </c>
      <c r="J3208" s="1">
        <v>45715</v>
      </c>
      <c r="K3208" s="2">
        <v>2.6862268518518518E-2</v>
      </c>
      <c r="M3208" s="4" t="str">
        <f t="shared" si="150"/>
        <v>HIGH</v>
      </c>
      <c r="N3208" s="4" t="str" cm="1">
        <f t="array" ref="N3208">_xlfn.IFS(C3208&gt;35,"HIGH",C3208&gt;25,"MIDDLE",TRUE,"LOW")</f>
        <v>HIGH</v>
      </c>
      <c r="O3208" s="4" t="str">
        <f t="shared" si="151"/>
        <v>OTHERS</v>
      </c>
      <c r="P3208" s="4" t="str">
        <f t="shared" si="152"/>
        <v>PREMINUM MORNING</v>
      </c>
    </row>
    <row r="3209" spans="1:16" x14ac:dyDescent="0.3">
      <c r="A3209" s="4">
        <v>18</v>
      </c>
      <c r="B3209" t="s">
        <v>11</v>
      </c>
      <c r="C3209" s="4">
        <v>35.76</v>
      </c>
      <c r="D3209" t="s">
        <v>21</v>
      </c>
      <c r="E3209" t="s">
        <v>20</v>
      </c>
      <c r="F3209" s="4" t="s">
        <v>30</v>
      </c>
      <c r="G3209" s="4" t="s">
        <v>41</v>
      </c>
      <c r="H3209" s="4">
        <v>4</v>
      </c>
      <c r="I3209" s="4">
        <v>2</v>
      </c>
      <c r="J3209" s="1">
        <v>45715</v>
      </c>
      <c r="K3209" s="2">
        <v>2.7798611111111114E-2</v>
      </c>
      <c r="M3209" s="4" t="str">
        <f t="shared" si="150"/>
        <v>HIGH</v>
      </c>
      <c r="N3209" s="4" t="str" cm="1">
        <f t="array" ref="N3209">_xlfn.IFS(C3209&gt;35,"HIGH",C3209&gt;25,"MIDDLE",TRUE,"LOW")</f>
        <v>HIGH</v>
      </c>
      <c r="O3209" s="4" t="str">
        <f t="shared" si="151"/>
        <v>OTHERS</v>
      </c>
      <c r="P3209" s="4" t="str">
        <f t="shared" si="152"/>
        <v>PREMINUM MORNING</v>
      </c>
    </row>
    <row r="3210" spans="1:16" x14ac:dyDescent="0.3">
      <c r="A3210" s="4">
        <v>18</v>
      </c>
      <c r="B3210" t="s">
        <v>11</v>
      </c>
      <c r="C3210" s="4">
        <v>35.76</v>
      </c>
      <c r="D3210" t="s">
        <v>21</v>
      </c>
      <c r="E3210" t="s">
        <v>20</v>
      </c>
      <c r="F3210" s="4" t="s">
        <v>30</v>
      </c>
      <c r="G3210" s="4" t="s">
        <v>41</v>
      </c>
      <c r="H3210" s="4">
        <v>4</v>
      </c>
      <c r="I3210" s="4">
        <v>2</v>
      </c>
      <c r="J3210" s="1">
        <v>45715</v>
      </c>
      <c r="K3210" s="2">
        <v>2.837962962962963E-2</v>
      </c>
      <c r="M3210" s="4" t="str">
        <f t="shared" si="150"/>
        <v>HIGH</v>
      </c>
      <c r="N3210" s="4" t="str" cm="1">
        <f t="array" ref="N3210">_xlfn.IFS(C3210&gt;35,"HIGH",C3210&gt;25,"MIDDLE",TRUE,"LOW")</f>
        <v>HIGH</v>
      </c>
      <c r="O3210" s="4" t="str">
        <f t="shared" si="151"/>
        <v>OTHERS</v>
      </c>
      <c r="P3210" s="4" t="str">
        <f t="shared" si="152"/>
        <v>PREMINUM MORNING</v>
      </c>
    </row>
    <row r="3211" spans="1:16" x14ac:dyDescent="0.3">
      <c r="A3211" s="4">
        <v>19</v>
      </c>
      <c r="B3211" t="s">
        <v>11</v>
      </c>
      <c r="C3211" s="4">
        <v>35.76</v>
      </c>
      <c r="D3211" t="s">
        <v>12</v>
      </c>
      <c r="E3211" t="s">
        <v>20</v>
      </c>
      <c r="F3211" s="4" t="s">
        <v>30</v>
      </c>
      <c r="G3211" s="4" t="s">
        <v>41</v>
      </c>
      <c r="H3211" s="4">
        <v>4</v>
      </c>
      <c r="I3211" s="4">
        <v>2</v>
      </c>
      <c r="J3211" s="1">
        <v>45715</v>
      </c>
      <c r="K3211" s="2">
        <v>9.9027777777777777E-3</v>
      </c>
      <c r="M3211" s="4" t="str">
        <f t="shared" si="150"/>
        <v>HIGH</v>
      </c>
      <c r="N3211" s="4" t="str" cm="1">
        <f t="array" ref="N3211">_xlfn.IFS(C3211&gt;35,"HIGH",C3211&gt;25,"MIDDLE",TRUE,"LOW")</f>
        <v>HIGH</v>
      </c>
      <c r="O3211" s="4" t="str">
        <f t="shared" si="151"/>
        <v>OTHERS</v>
      </c>
      <c r="P3211" s="4" t="str">
        <f t="shared" si="152"/>
        <v>PREMINUM MORNING</v>
      </c>
    </row>
    <row r="3212" spans="1:16" x14ac:dyDescent="0.3">
      <c r="A3212" s="4">
        <v>20</v>
      </c>
      <c r="B3212" t="s">
        <v>11</v>
      </c>
      <c r="C3212" s="4">
        <v>35.76</v>
      </c>
      <c r="D3212" t="s">
        <v>29</v>
      </c>
      <c r="E3212" t="s">
        <v>20</v>
      </c>
      <c r="F3212" s="4" t="s">
        <v>30</v>
      </c>
      <c r="G3212" s="4" t="s">
        <v>41</v>
      </c>
      <c r="H3212" s="4">
        <v>4</v>
      </c>
      <c r="I3212" s="4">
        <v>2</v>
      </c>
      <c r="J3212" s="1">
        <v>45715</v>
      </c>
      <c r="K3212" s="2">
        <v>1.4722222222222222E-3</v>
      </c>
      <c r="M3212" s="4" t="str">
        <f t="shared" si="150"/>
        <v>HIGH</v>
      </c>
      <c r="N3212" s="4" t="str" cm="1">
        <f t="array" ref="N3212">_xlfn.IFS(C3212&gt;35,"HIGH",C3212&gt;25,"MIDDLE",TRUE,"LOW")</f>
        <v>HIGH</v>
      </c>
      <c r="O3212" s="4" t="str">
        <f t="shared" si="151"/>
        <v>OTHERS</v>
      </c>
      <c r="P3212" s="4" t="str">
        <f t="shared" si="152"/>
        <v>PREMINUM MORNING</v>
      </c>
    </row>
    <row r="3213" spans="1:16" x14ac:dyDescent="0.3">
      <c r="A3213" s="4">
        <v>6</v>
      </c>
      <c r="B3213" t="s">
        <v>11</v>
      </c>
      <c r="C3213" s="4">
        <v>30.86</v>
      </c>
      <c r="D3213" t="s">
        <v>19</v>
      </c>
      <c r="E3213" t="s">
        <v>13</v>
      </c>
      <c r="F3213" s="4" t="s">
        <v>14</v>
      </c>
      <c r="G3213" s="4" t="s">
        <v>41</v>
      </c>
      <c r="H3213" s="4">
        <v>5</v>
      </c>
      <c r="I3213" s="4">
        <v>2</v>
      </c>
      <c r="J3213" s="1">
        <v>45716</v>
      </c>
      <c r="K3213" s="2">
        <v>3.6638888888888888E-2</v>
      </c>
      <c r="M3213" s="4" t="str">
        <f t="shared" si="150"/>
        <v>LOW</v>
      </c>
      <c r="N3213" s="4" t="str" cm="1">
        <f t="array" ref="N3213">_xlfn.IFS(C3213&gt;35,"HIGH",C3213&gt;25,"MIDDLE",TRUE,"LOW")</f>
        <v>MIDDLE</v>
      </c>
      <c r="O3213" s="4" t="str">
        <f t="shared" si="151"/>
        <v>OTHERS</v>
      </c>
      <c r="P3213" s="4" t="str">
        <f t="shared" si="152"/>
        <v>PREMINUM MORNING</v>
      </c>
    </row>
    <row r="3214" spans="1:16" x14ac:dyDescent="0.3">
      <c r="A3214" s="4">
        <v>6</v>
      </c>
      <c r="B3214" t="s">
        <v>11</v>
      </c>
      <c r="C3214" s="4">
        <v>30.86</v>
      </c>
      <c r="D3214" t="s">
        <v>19</v>
      </c>
      <c r="E3214" t="s">
        <v>13</v>
      </c>
      <c r="F3214" s="4" t="s">
        <v>14</v>
      </c>
      <c r="G3214" s="4" t="s">
        <v>41</v>
      </c>
      <c r="H3214" s="4">
        <v>5</v>
      </c>
      <c r="I3214" s="4">
        <v>2</v>
      </c>
      <c r="J3214" s="1">
        <v>45716</v>
      </c>
      <c r="K3214" s="2">
        <v>3.8194444444444448E-2</v>
      </c>
      <c r="M3214" s="4" t="str">
        <f t="shared" si="150"/>
        <v>LOW</v>
      </c>
      <c r="N3214" s="4" t="str" cm="1">
        <f t="array" ref="N3214">_xlfn.IFS(C3214&gt;35,"HIGH",C3214&gt;25,"MIDDLE",TRUE,"LOW")</f>
        <v>MIDDLE</v>
      </c>
      <c r="O3214" s="4" t="str">
        <f t="shared" si="151"/>
        <v>OTHERS</v>
      </c>
      <c r="P3214" s="4" t="str">
        <f t="shared" si="152"/>
        <v>PREMINUM MORNING</v>
      </c>
    </row>
    <row r="3215" spans="1:16" x14ac:dyDescent="0.3">
      <c r="A3215" s="4">
        <v>7</v>
      </c>
      <c r="B3215" t="s">
        <v>11</v>
      </c>
      <c r="C3215" s="4">
        <v>35.76</v>
      </c>
      <c r="D3215" t="s">
        <v>29</v>
      </c>
      <c r="E3215" t="s">
        <v>13</v>
      </c>
      <c r="F3215" s="4" t="s">
        <v>14</v>
      </c>
      <c r="G3215" s="4" t="s">
        <v>41</v>
      </c>
      <c r="H3215" s="4">
        <v>5</v>
      </c>
      <c r="I3215" s="4">
        <v>2</v>
      </c>
      <c r="J3215" s="1">
        <v>45716</v>
      </c>
      <c r="K3215" s="2">
        <v>1.2927083333333334E-2</v>
      </c>
      <c r="M3215" s="4" t="str">
        <f t="shared" si="150"/>
        <v>HIGH</v>
      </c>
      <c r="N3215" s="4" t="str" cm="1">
        <f t="array" ref="N3215">_xlfn.IFS(C3215&gt;35,"HIGH",C3215&gt;25,"MIDDLE",TRUE,"LOW")</f>
        <v>HIGH</v>
      </c>
      <c r="O3215" s="4" t="str">
        <f t="shared" si="151"/>
        <v>PREMINUM MORNING</v>
      </c>
      <c r="P3215" s="4" t="str">
        <f t="shared" si="152"/>
        <v>PREMINUM MORNING</v>
      </c>
    </row>
    <row r="3216" spans="1:16" x14ac:dyDescent="0.3">
      <c r="A3216" s="4">
        <v>8</v>
      </c>
      <c r="B3216" t="s">
        <v>11</v>
      </c>
      <c r="C3216" s="4">
        <v>21.06</v>
      </c>
      <c r="D3216" t="s">
        <v>26</v>
      </c>
      <c r="E3216" t="s">
        <v>13</v>
      </c>
      <c r="F3216" s="4" t="s">
        <v>14</v>
      </c>
      <c r="G3216" s="4" t="s">
        <v>41</v>
      </c>
      <c r="H3216" s="4">
        <v>5</v>
      </c>
      <c r="I3216" s="4">
        <v>2</v>
      </c>
      <c r="J3216" s="1">
        <v>45716</v>
      </c>
      <c r="K3216" s="2">
        <v>6.9189814814814808E-3</v>
      </c>
      <c r="M3216" s="4" t="str">
        <f t="shared" si="150"/>
        <v>LOW</v>
      </c>
      <c r="N3216" s="4" t="str" cm="1">
        <f t="array" ref="N3216">_xlfn.IFS(C3216&gt;35,"HIGH",C3216&gt;25,"MIDDLE",TRUE,"LOW")</f>
        <v>LOW</v>
      </c>
      <c r="O3216" s="4" t="str">
        <f t="shared" si="151"/>
        <v>OTHERS</v>
      </c>
      <c r="P3216" s="4" t="str">
        <f t="shared" si="152"/>
        <v>PREMINUM MORNING</v>
      </c>
    </row>
    <row r="3217" spans="1:16" x14ac:dyDescent="0.3">
      <c r="A3217" s="4">
        <v>9</v>
      </c>
      <c r="B3217" t="s">
        <v>11</v>
      </c>
      <c r="C3217" s="4">
        <v>30.86</v>
      </c>
      <c r="D3217" t="s">
        <v>19</v>
      </c>
      <c r="E3217" t="s">
        <v>13</v>
      </c>
      <c r="F3217" s="4" t="s">
        <v>14</v>
      </c>
      <c r="G3217" s="4" t="s">
        <v>41</v>
      </c>
      <c r="H3217" s="4">
        <v>5</v>
      </c>
      <c r="I3217" s="4">
        <v>2</v>
      </c>
      <c r="J3217" s="1">
        <v>45716</v>
      </c>
      <c r="K3217" s="2">
        <v>1.8298611111111111E-3</v>
      </c>
      <c r="M3217" s="4" t="str">
        <f t="shared" si="150"/>
        <v>LOW</v>
      </c>
      <c r="N3217" s="4" t="str" cm="1">
        <f t="array" ref="N3217">_xlfn.IFS(C3217&gt;35,"HIGH",C3217&gt;25,"MIDDLE",TRUE,"LOW")</f>
        <v>MIDDLE</v>
      </c>
      <c r="O3217" s="4" t="str">
        <f t="shared" si="151"/>
        <v>OTHERS</v>
      </c>
      <c r="P3217" s="4" t="str">
        <f t="shared" si="152"/>
        <v>PREMINUM MORNING</v>
      </c>
    </row>
    <row r="3218" spans="1:16" x14ac:dyDescent="0.3">
      <c r="A3218" s="4">
        <v>14</v>
      </c>
      <c r="B3218" t="s">
        <v>11</v>
      </c>
      <c r="C3218" s="4">
        <v>25.96</v>
      </c>
      <c r="D3218" t="s">
        <v>18</v>
      </c>
      <c r="E3218" t="s">
        <v>17</v>
      </c>
      <c r="F3218" s="4" t="s">
        <v>14</v>
      </c>
      <c r="G3218" s="4" t="s">
        <v>41</v>
      </c>
      <c r="H3218" s="4">
        <v>5</v>
      </c>
      <c r="I3218" s="4">
        <v>2</v>
      </c>
      <c r="J3218" s="1">
        <v>45716</v>
      </c>
      <c r="K3218" s="2">
        <v>3.0880787037037036E-2</v>
      </c>
      <c r="M3218" s="4" t="str">
        <f t="shared" si="150"/>
        <v>LOW</v>
      </c>
      <c r="N3218" s="4" t="str" cm="1">
        <f t="array" ref="N3218">_xlfn.IFS(C3218&gt;35,"HIGH",C3218&gt;25,"MIDDLE",TRUE,"LOW")</f>
        <v>MIDDLE</v>
      </c>
      <c r="O3218" s="4" t="str">
        <f t="shared" si="151"/>
        <v>OTHERS</v>
      </c>
      <c r="P3218" s="4" t="str">
        <f t="shared" si="152"/>
        <v>OTHERS</v>
      </c>
    </row>
    <row r="3219" spans="1:16" x14ac:dyDescent="0.3">
      <c r="A3219" s="4">
        <v>14</v>
      </c>
      <c r="B3219" t="s">
        <v>11</v>
      </c>
      <c r="C3219" s="4">
        <v>25.96</v>
      </c>
      <c r="D3219" t="s">
        <v>18</v>
      </c>
      <c r="E3219" t="s">
        <v>17</v>
      </c>
      <c r="F3219" s="4" t="s">
        <v>14</v>
      </c>
      <c r="G3219" s="4" t="s">
        <v>41</v>
      </c>
      <c r="H3219" s="4">
        <v>5</v>
      </c>
      <c r="I3219" s="4">
        <v>2</v>
      </c>
      <c r="J3219" s="1">
        <v>45716</v>
      </c>
      <c r="K3219" s="2">
        <v>3.1504629629629632E-2</v>
      </c>
      <c r="M3219" s="4" t="str">
        <f t="shared" si="150"/>
        <v>LOW</v>
      </c>
      <c r="N3219" s="4" t="str" cm="1">
        <f t="array" ref="N3219">_xlfn.IFS(C3219&gt;35,"HIGH",C3219&gt;25,"MIDDLE",TRUE,"LOW")</f>
        <v>MIDDLE</v>
      </c>
      <c r="O3219" s="4" t="str">
        <f t="shared" si="151"/>
        <v>OTHERS</v>
      </c>
      <c r="P3219" s="4" t="str">
        <f t="shared" si="152"/>
        <v>OTHERS</v>
      </c>
    </row>
    <row r="3220" spans="1:16" x14ac:dyDescent="0.3">
      <c r="A3220" s="4">
        <v>14</v>
      </c>
      <c r="B3220" t="s">
        <v>11</v>
      </c>
      <c r="C3220" s="4">
        <v>25.96</v>
      </c>
      <c r="D3220" t="s">
        <v>18</v>
      </c>
      <c r="E3220" t="s">
        <v>17</v>
      </c>
      <c r="F3220" s="4" t="s">
        <v>14</v>
      </c>
      <c r="G3220" s="4" t="s">
        <v>41</v>
      </c>
      <c r="H3220" s="4">
        <v>5</v>
      </c>
      <c r="I3220" s="4">
        <v>2</v>
      </c>
      <c r="J3220" s="1">
        <v>45716</v>
      </c>
      <c r="K3220" s="2">
        <v>3.3244212962962968E-2</v>
      </c>
      <c r="M3220" s="4" t="str">
        <f t="shared" si="150"/>
        <v>LOW</v>
      </c>
      <c r="N3220" s="4" t="str" cm="1">
        <f t="array" ref="N3220">_xlfn.IFS(C3220&gt;35,"HIGH",C3220&gt;25,"MIDDLE",TRUE,"LOW")</f>
        <v>MIDDLE</v>
      </c>
      <c r="O3220" s="4" t="str">
        <f t="shared" si="151"/>
        <v>OTHERS</v>
      </c>
      <c r="P3220" s="4" t="str">
        <f t="shared" si="152"/>
        <v>OTHERS</v>
      </c>
    </row>
    <row r="3221" spans="1:16" x14ac:dyDescent="0.3">
      <c r="A3221" s="4">
        <v>14</v>
      </c>
      <c r="B3221" t="s">
        <v>11</v>
      </c>
      <c r="C3221" s="4">
        <v>35.76</v>
      </c>
      <c r="D3221" t="s">
        <v>12</v>
      </c>
      <c r="E3221" t="s">
        <v>17</v>
      </c>
      <c r="F3221" s="4" t="s">
        <v>14</v>
      </c>
      <c r="G3221" s="4" t="s">
        <v>41</v>
      </c>
      <c r="H3221" s="4">
        <v>5</v>
      </c>
      <c r="I3221" s="4">
        <v>2</v>
      </c>
      <c r="J3221" s="1">
        <v>45716</v>
      </c>
      <c r="K3221" s="2">
        <v>3.6136574074074071E-2</v>
      </c>
      <c r="M3221" s="4" t="str">
        <f t="shared" si="150"/>
        <v>HIGH</v>
      </c>
      <c r="N3221" s="4" t="str" cm="1">
        <f t="array" ref="N3221">_xlfn.IFS(C3221&gt;35,"HIGH",C3221&gt;25,"MIDDLE",TRUE,"LOW")</f>
        <v>HIGH</v>
      </c>
      <c r="O3221" s="4" t="str">
        <f t="shared" si="151"/>
        <v>OTHERS</v>
      </c>
      <c r="P3221" s="4" t="str">
        <f t="shared" si="152"/>
        <v>PREMINUM MORNING</v>
      </c>
    </row>
    <row r="3222" spans="1:16" x14ac:dyDescent="0.3">
      <c r="A3222" s="4">
        <v>15</v>
      </c>
      <c r="B3222" t="s">
        <v>11</v>
      </c>
      <c r="C3222" s="4">
        <v>25.96</v>
      </c>
      <c r="D3222" t="s">
        <v>18</v>
      </c>
      <c r="E3222" t="s">
        <v>17</v>
      </c>
      <c r="F3222" s="4" t="s">
        <v>14</v>
      </c>
      <c r="G3222" s="4" t="s">
        <v>41</v>
      </c>
      <c r="H3222" s="4">
        <v>5</v>
      </c>
      <c r="I3222" s="4">
        <v>2</v>
      </c>
      <c r="J3222" s="1">
        <v>45716</v>
      </c>
      <c r="K3222" s="2">
        <v>1.341087962962963E-2</v>
      </c>
      <c r="M3222" s="4" t="str">
        <f t="shared" si="150"/>
        <v>LOW</v>
      </c>
      <c r="N3222" s="4" t="str" cm="1">
        <f t="array" ref="N3222">_xlfn.IFS(C3222&gt;35,"HIGH",C3222&gt;25,"MIDDLE",TRUE,"LOW")</f>
        <v>MIDDLE</v>
      </c>
      <c r="O3222" s="4" t="str">
        <f t="shared" si="151"/>
        <v>OTHERS</v>
      </c>
      <c r="P3222" s="4" t="str">
        <f t="shared" si="152"/>
        <v>OTHERS</v>
      </c>
    </row>
    <row r="3223" spans="1:16" x14ac:dyDescent="0.3">
      <c r="A3223" s="4">
        <v>16</v>
      </c>
      <c r="B3223" t="s">
        <v>11</v>
      </c>
      <c r="C3223" s="4">
        <v>35.76</v>
      </c>
      <c r="D3223" t="s">
        <v>21</v>
      </c>
      <c r="E3223" t="s">
        <v>17</v>
      </c>
      <c r="F3223" s="4" t="s">
        <v>14</v>
      </c>
      <c r="G3223" s="4" t="s">
        <v>41</v>
      </c>
      <c r="H3223" s="4">
        <v>5</v>
      </c>
      <c r="I3223" s="4">
        <v>2</v>
      </c>
      <c r="J3223" s="1">
        <v>45716</v>
      </c>
      <c r="K3223" s="2">
        <v>1.5594907407407408E-2</v>
      </c>
      <c r="M3223" s="4" t="str">
        <f t="shared" si="150"/>
        <v>HIGH</v>
      </c>
      <c r="N3223" s="4" t="str" cm="1">
        <f t="array" ref="N3223">_xlfn.IFS(C3223&gt;35,"HIGH",C3223&gt;25,"MIDDLE",TRUE,"LOW")</f>
        <v>HIGH</v>
      </c>
      <c r="O3223" s="4" t="str">
        <f t="shared" si="151"/>
        <v>OTHERS</v>
      </c>
      <c r="P3223" s="4" t="str">
        <f t="shared" si="152"/>
        <v>PREMINUM MORNING</v>
      </c>
    </row>
    <row r="3224" spans="1:16" x14ac:dyDescent="0.3">
      <c r="A3224" s="4">
        <v>16</v>
      </c>
      <c r="B3224" t="s">
        <v>11</v>
      </c>
      <c r="C3224" s="4">
        <v>25.96</v>
      </c>
      <c r="D3224" t="s">
        <v>18</v>
      </c>
      <c r="E3224" t="s">
        <v>17</v>
      </c>
      <c r="F3224" s="4" t="s">
        <v>14</v>
      </c>
      <c r="G3224" s="4" t="s">
        <v>41</v>
      </c>
      <c r="H3224" s="4">
        <v>5</v>
      </c>
      <c r="I3224" s="4">
        <v>2</v>
      </c>
      <c r="J3224" s="1">
        <v>45716</v>
      </c>
      <c r="K3224" s="2">
        <v>2.091087962962963E-2</v>
      </c>
      <c r="M3224" s="4" t="str">
        <f t="shared" si="150"/>
        <v>LOW</v>
      </c>
      <c r="N3224" s="4" t="str" cm="1">
        <f t="array" ref="N3224">_xlfn.IFS(C3224&gt;35,"HIGH",C3224&gt;25,"MIDDLE",TRUE,"LOW")</f>
        <v>MIDDLE</v>
      </c>
      <c r="O3224" s="4" t="str">
        <f t="shared" si="151"/>
        <v>OTHERS</v>
      </c>
      <c r="P3224" s="4" t="str">
        <f t="shared" si="152"/>
        <v>OTHERS</v>
      </c>
    </row>
    <row r="3225" spans="1:16" x14ac:dyDescent="0.3">
      <c r="A3225" s="4">
        <v>17</v>
      </c>
      <c r="B3225" t="s">
        <v>11</v>
      </c>
      <c r="C3225" s="4">
        <v>35.76</v>
      </c>
      <c r="D3225" t="s">
        <v>12</v>
      </c>
      <c r="E3225" t="s">
        <v>20</v>
      </c>
      <c r="F3225" s="4" t="s">
        <v>14</v>
      </c>
      <c r="G3225" s="4" t="s">
        <v>41</v>
      </c>
      <c r="H3225" s="4">
        <v>5</v>
      </c>
      <c r="I3225" s="4">
        <v>2</v>
      </c>
      <c r="J3225" s="1">
        <v>45716</v>
      </c>
      <c r="K3225" s="2">
        <v>1.4593750000000001E-2</v>
      </c>
      <c r="M3225" s="4" t="str">
        <f t="shared" si="150"/>
        <v>HIGH</v>
      </c>
      <c r="N3225" s="4" t="str" cm="1">
        <f t="array" ref="N3225">_xlfn.IFS(C3225&gt;35,"HIGH",C3225&gt;25,"MIDDLE",TRUE,"LOW")</f>
        <v>HIGH</v>
      </c>
      <c r="O3225" s="4" t="str">
        <f t="shared" si="151"/>
        <v>OTHERS</v>
      </c>
      <c r="P3225" s="4" t="str">
        <f t="shared" si="152"/>
        <v>PREMINUM MORNING</v>
      </c>
    </row>
    <row r="3226" spans="1:16" x14ac:dyDescent="0.3">
      <c r="A3226" s="4">
        <v>17</v>
      </c>
      <c r="B3226" t="s">
        <v>11</v>
      </c>
      <c r="C3226" s="4">
        <v>30.86</v>
      </c>
      <c r="D3226" t="s">
        <v>19</v>
      </c>
      <c r="E3226" t="s">
        <v>20</v>
      </c>
      <c r="F3226" s="4" t="s">
        <v>14</v>
      </c>
      <c r="G3226" s="4" t="s">
        <v>41</v>
      </c>
      <c r="H3226" s="4">
        <v>5</v>
      </c>
      <c r="I3226" s="4">
        <v>2</v>
      </c>
      <c r="J3226" s="1">
        <v>45716</v>
      </c>
      <c r="K3226" s="2">
        <v>2.1577546296296296E-2</v>
      </c>
      <c r="M3226" s="4" t="str">
        <f t="shared" si="150"/>
        <v>LOW</v>
      </c>
      <c r="N3226" s="4" t="str" cm="1">
        <f t="array" ref="N3226">_xlfn.IFS(C3226&gt;35,"HIGH",C3226&gt;25,"MIDDLE",TRUE,"LOW")</f>
        <v>MIDDLE</v>
      </c>
      <c r="O3226" s="4" t="str">
        <f t="shared" si="151"/>
        <v>OTHERS</v>
      </c>
      <c r="P3226" s="4" t="str">
        <f t="shared" si="152"/>
        <v>OTHERS</v>
      </c>
    </row>
    <row r="3227" spans="1:16" x14ac:dyDescent="0.3">
      <c r="A3227" s="4">
        <v>17</v>
      </c>
      <c r="B3227" t="s">
        <v>11</v>
      </c>
      <c r="C3227" s="4">
        <v>25.96</v>
      </c>
      <c r="D3227" t="s">
        <v>18</v>
      </c>
      <c r="E3227" t="s">
        <v>20</v>
      </c>
      <c r="F3227" s="4" t="s">
        <v>14</v>
      </c>
      <c r="G3227" s="4" t="s">
        <v>41</v>
      </c>
      <c r="H3227" s="4">
        <v>5</v>
      </c>
      <c r="I3227" s="4">
        <v>2</v>
      </c>
      <c r="J3227" s="1">
        <v>45716</v>
      </c>
      <c r="K3227" s="2">
        <v>2.2414351851851852E-2</v>
      </c>
      <c r="M3227" s="4" t="str">
        <f t="shared" si="150"/>
        <v>LOW</v>
      </c>
      <c r="N3227" s="4" t="str" cm="1">
        <f t="array" ref="N3227">_xlfn.IFS(C3227&gt;35,"HIGH",C3227&gt;25,"MIDDLE",TRUE,"LOW")</f>
        <v>MIDDLE</v>
      </c>
      <c r="O3227" s="4" t="str">
        <f t="shared" si="151"/>
        <v>OTHERS</v>
      </c>
      <c r="P3227" s="4" t="str">
        <f t="shared" si="152"/>
        <v>OTHERS</v>
      </c>
    </row>
    <row r="3228" spans="1:16" x14ac:dyDescent="0.3">
      <c r="A3228" s="4">
        <v>17</v>
      </c>
      <c r="B3228" t="s">
        <v>11</v>
      </c>
      <c r="C3228" s="4">
        <v>25.96</v>
      </c>
      <c r="D3228" t="s">
        <v>18</v>
      </c>
      <c r="E3228" t="s">
        <v>20</v>
      </c>
      <c r="F3228" s="4" t="s">
        <v>14</v>
      </c>
      <c r="G3228" s="4" t="s">
        <v>41</v>
      </c>
      <c r="H3228" s="4">
        <v>5</v>
      </c>
      <c r="I3228" s="4">
        <v>2</v>
      </c>
      <c r="J3228" s="1">
        <v>45716</v>
      </c>
      <c r="K3228" s="2">
        <v>2.3484953703703702E-2</v>
      </c>
      <c r="M3228" s="4" t="str">
        <f t="shared" si="150"/>
        <v>LOW</v>
      </c>
      <c r="N3228" s="4" t="str" cm="1">
        <f t="array" ref="N3228">_xlfn.IFS(C3228&gt;35,"HIGH",C3228&gt;25,"MIDDLE",TRUE,"LOW")</f>
        <v>MIDDLE</v>
      </c>
      <c r="O3228" s="4" t="str">
        <f t="shared" si="151"/>
        <v>OTHERS</v>
      </c>
      <c r="P3228" s="4" t="str">
        <f t="shared" si="152"/>
        <v>OTHERS</v>
      </c>
    </row>
    <row r="3229" spans="1:16" x14ac:dyDescent="0.3">
      <c r="A3229" s="4">
        <v>18</v>
      </c>
      <c r="B3229" t="s">
        <v>11</v>
      </c>
      <c r="C3229" s="4">
        <v>35.76</v>
      </c>
      <c r="D3229" t="s">
        <v>12</v>
      </c>
      <c r="E3229" t="s">
        <v>20</v>
      </c>
      <c r="F3229" s="4" t="s">
        <v>14</v>
      </c>
      <c r="G3229" s="4" t="s">
        <v>41</v>
      </c>
      <c r="H3229" s="4">
        <v>5</v>
      </c>
      <c r="I3229" s="4">
        <v>2</v>
      </c>
      <c r="J3229" s="1">
        <v>45716</v>
      </c>
      <c r="K3229" s="2">
        <v>3.7378472222222223E-2</v>
      </c>
      <c r="M3229" s="4" t="str">
        <f t="shared" si="150"/>
        <v>HIGH</v>
      </c>
      <c r="N3229" s="4" t="str" cm="1">
        <f t="array" ref="N3229">_xlfn.IFS(C3229&gt;35,"HIGH",C3229&gt;25,"MIDDLE",TRUE,"LOW")</f>
        <v>HIGH</v>
      </c>
      <c r="O3229" s="4" t="str">
        <f t="shared" si="151"/>
        <v>OTHERS</v>
      </c>
      <c r="P3229" s="4" t="str">
        <f t="shared" si="152"/>
        <v>PREMINUM MORNING</v>
      </c>
    </row>
    <row r="3230" spans="1:16" x14ac:dyDescent="0.3">
      <c r="A3230" s="4">
        <v>10</v>
      </c>
      <c r="B3230" t="s">
        <v>11</v>
      </c>
      <c r="C3230" s="4">
        <v>35.76</v>
      </c>
      <c r="D3230" t="s">
        <v>29</v>
      </c>
      <c r="E3230" t="s">
        <v>13</v>
      </c>
      <c r="F3230" s="4" t="s">
        <v>22</v>
      </c>
      <c r="G3230" s="4" t="s">
        <v>15</v>
      </c>
      <c r="H3230" s="4">
        <v>6</v>
      </c>
      <c r="I3230" s="4">
        <v>3</v>
      </c>
      <c r="J3230" s="1">
        <v>45717</v>
      </c>
      <c r="K3230" s="2">
        <v>2.2056712962962962E-2</v>
      </c>
      <c r="M3230" s="4" t="str">
        <f t="shared" si="150"/>
        <v>HIGH</v>
      </c>
      <c r="N3230" s="4" t="str" cm="1">
        <f t="array" ref="N3230">_xlfn.IFS(C3230&gt;35,"HIGH",C3230&gt;25,"MIDDLE",TRUE,"LOW")</f>
        <v>HIGH</v>
      </c>
      <c r="O3230" s="4" t="str">
        <f t="shared" si="151"/>
        <v>PREMINUM MORNING</v>
      </c>
      <c r="P3230" s="4" t="str">
        <f t="shared" si="152"/>
        <v>PREMINUM MORNING</v>
      </c>
    </row>
    <row r="3231" spans="1:16" x14ac:dyDescent="0.3">
      <c r="A3231" s="4">
        <v>11</v>
      </c>
      <c r="B3231" t="s">
        <v>11</v>
      </c>
      <c r="C3231" s="4">
        <v>25.96</v>
      </c>
      <c r="D3231" t="s">
        <v>18</v>
      </c>
      <c r="E3231" t="s">
        <v>13</v>
      </c>
      <c r="F3231" s="4" t="s">
        <v>22</v>
      </c>
      <c r="G3231" s="4" t="s">
        <v>15</v>
      </c>
      <c r="H3231" s="4">
        <v>6</v>
      </c>
      <c r="I3231" s="4">
        <v>3</v>
      </c>
      <c r="J3231" s="1">
        <v>45717</v>
      </c>
      <c r="K3231" s="2">
        <v>1.6718750000000001E-2</v>
      </c>
      <c r="M3231" s="4" t="str">
        <f t="shared" si="150"/>
        <v>LOW</v>
      </c>
      <c r="N3231" s="4" t="str" cm="1">
        <f t="array" ref="N3231">_xlfn.IFS(C3231&gt;35,"HIGH",C3231&gt;25,"MIDDLE",TRUE,"LOW")</f>
        <v>MIDDLE</v>
      </c>
      <c r="O3231" s="4" t="str">
        <f t="shared" si="151"/>
        <v>OTHERS</v>
      </c>
      <c r="P3231" s="4" t="str">
        <f t="shared" si="152"/>
        <v>PREMINUM MORNING</v>
      </c>
    </row>
    <row r="3232" spans="1:16" x14ac:dyDescent="0.3">
      <c r="A3232" s="4">
        <v>11</v>
      </c>
      <c r="B3232" t="s">
        <v>11</v>
      </c>
      <c r="C3232" s="4">
        <v>25.96</v>
      </c>
      <c r="D3232" t="s">
        <v>18</v>
      </c>
      <c r="E3232" t="s">
        <v>13</v>
      </c>
      <c r="F3232" s="4" t="s">
        <v>22</v>
      </c>
      <c r="G3232" s="4" t="s">
        <v>15</v>
      </c>
      <c r="H3232" s="4">
        <v>6</v>
      </c>
      <c r="I3232" s="4">
        <v>3</v>
      </c>
      <c r="J3232" s="1">
        <v>45717</v>
      </c>
      <c r="K3232" s="2">
        <v>1.9425925925925926E-2</v>
      </c>
      <c r="M3232" s="4" t="str">
        <f t="shared" si="150"/>
        <v>LOW</v>
      </c>
      <c r="N3232" s="4" t="str" cm="1">
        <f t="array" ref="N3232">_xlfn.IFS(C3232&gt;35,"HIGH",C3232&gt;25,"MIDDLE",TRUE,"LOW")</f>
        <v>MIDDLE</v>
      </c>
      <c r="O3232" s="4" t="str">
        <f t="shared" si="151"/>
        <v>OTHERS</v>
      </c>
      <c r="P3232" s="4" t="str">
        <f t="shared" si="152"/>
        <v>PREMINUM MORNING</v>
      </c>
    </row>
    <row r="3233" spans="1:16" x14ac:dyDescent="0.3">
      <c r="A3233" s="4">
        <v>14</v>
      </c>
      <c r="B3233" t="s">
        <v>11</v>
      </c>
      <c r="C3233" s="4">
        <v>35.76</v>
      </c>
      <c r="D3233" t="s">
        <v>12</v>
      </c>
      <c r="E3233" t="s">
        <v>17</v>
      </c>
      <c r="F3233" s="4" t="s">
        <v>22</v>
      </c>
      <c r="G3233" s="4" t="s">
        <v>15</v>
      </c>
      <c r="H3233" s="4">
        <v>6</v>
      </c>
      <c r="I3233" s="4">
        <v>3</v>
      </c>
      <c r="J3233" s="1">
        <v>45717</v>
      </c>
      <c r="K3233" s="2">
        <v>3.0136574074074076E-2</v>
      </c>
      <c r="M3233" s="4" t="str">
        <f t="shared" si="150"/>
        <v>HIGH</v>
      </c>
      <c r="N3233" s="4" t="str" cm="1">
        <f t="array" ref="N3233">_xlfn.IFS(C3233&gt;35,"HIGH",C3233&gt;25,"MIDDLE",TRUE,"LOW")</f>
        <v>HIGH</v>
      </c>
      <c r="O3233" s="4" t="str">
        <f t="shared" si="151"/>
        <v>OTHERS</v>
      </c>
      <c r="P3233" s="4" t="str">
        <f t="shared" si="152"/>
        <v>PREMINUM MORNING</v>
      </c>
    </row>
    <row r="3234" spans="1:16" x14ac:dyDescent="0.3">
      <c r="A3234" s="4">
        <v>15</v>
      </c>
      <c r="B3234" t="s">
        <v>11</v>
      </c>
      <c r="C3234" s="4">
        <v>25.96</v>
      </c>
      <c r="D3234" t="s">
        <v>18</v>
      </c>
      <c r="E3234" t="s">
        <v>17</v>
      </c>
      <c r="F3234" s="4" t="s">
        <v>22</v>
      </c>
      <c r="G3234" s="4" t="s">
        <v>15</v>
      </c>
      <c r="H3234" s="4">
        <v>6</v>
      </c>
      <c r="I3234" s="4">
        <v>3</v>
      </c>
      <c r="J3234" s="1">
        <v>45717</v>
      </c>
      <c r="K3234" s="2">
        <v>1.7534722222222222E-3</v>
      </c>
      <c r="M3234" s="4" t="str">
        <f t="shared" si="150"/>
        <v>LOW</v>
      </c>
      <c r="N3234" s="4" t="str" cm="1">
        <f t="array" ref="N3234">_xlfn.IFS(C3234&gt;35,"HIGH",C3234&gt;25,"MIDDLE",TRUE,"LOW")</f>
        <v>MIDDLE</v>
      </c>
      <c r="O3234" s="4" t="str">
        <f t="shared" si="151"/>
        <v>OTHERS</v>
      </c>
      <c r="P3234" s="4" t="str">
        <f t="shared" si="152"/>
        <v>OTHERS</v>
      </c>
    </row>
    <row r="3235" spans="1:16" x14ac:dyDescent="0.3">
      <c r="A3235" s="4">
        <v>15</v>
      </c>
      <c r="B3235" t="s">
        <v>11</v>
      </c>
      <c r="C3235" s="4">
        <v>30.86</v>
      </c>
      <c r="D3235" t="s">
        <v>19</v>
      </c>
      <c r="E3235" t="s">
        <v>17</v>
      </c>
      <c r="F3235" s="4" t="s">
        <v>22</v>
      </c>
      <c r="G3235" s="4" t="s">
        <v>15</v>
      </c>
      <c r="H3235" s="4">
        <v>6</v>
      </c>
      <c r="I3235" s="4">
        <v>3</v>
      </c>
      <c r="J3235" s="1">
        <v>45717</v>
      </c>
      <c r="K3235" s="2">
        <v>5.789351851851852E-3</v>
      </c>
      <c r="M3235" s="4" t="str">
        <f t="shared" si="150"/>
        <v>LOW</v>
      </c>
      <c r="N3235" s="4" t="str" cm="1">
        <f t="array" ref="N3235">_xlfn.IFS(C3235&gt;35,"HIGH",C3235&gt;25,"MIDDLE",TRUE,"LOW")</f>
        <v>MIDDLE</v>
      </c>
      <c r="O3235" s="4" t="str">
        <f t="shared" si="151"/>
        <v>OTHERS</v>
      </c>
      <c r="P3235" s="4" t="str">
        <f t="shared" si="152"/>
        <v>OTHERS</v>
      </c>
    </row>
    <row r="3236" spans="1:16" x14ac:dyDescent="0.3">
      <c r="A3236" s="4">
        <v>16</v>
      </c>
      <c r="B3236" t="s">
        <v>11</v>
      </c>
      <c r="C3236" s="4">
        <v>35.76</v>
      </c>
      <c r="D3236" t="s">
        <v>29</v>
      </c>
      <c r="E3236" t="s">
        <v>17</v>
      </c>
      <c r="F3236" s="4" t="s">
        <v>22</v>
      </c>
      <c r="G3236" s="4" t="s">
        <v>15</v>
      </c>
      <c r="H3236" s="4">
        <v>6</v>
      </c>
      <c r="I3236" s="4">
        <v>3</v>
      </c>
      <c r="J3236" s="1">
        <v>45717</v>
      </c>
      <c r="K3236" s="2">
        <v>2.931712962962963E-2</v>
      </c>
      <c r="M3236" s="4" t="str">
        <f t="shared" si="150"/>
        <v>HIGH</v>
      </c>
      <c r="N3236" s="4" t="str" cm="1">
        <f t="array" ref="N3236">_xlfn.IFS(C3236&gt;35,"HIGH",C3236&gt;25,"MIDDLE",TRUE,"LOW")</f>
        <v>HIGH</v>
      </c>
      <c r="O3236" s="4" t="str">
        <f t="shared" si="151"/>
        <v>OTHERS</v>
      </c>
      <c r="P3236" s="4" t="str">
        <f t="shared" si="152"/>
        <v>PREMINUM MORNING</v>
      </c>
    </row>
    <row r="3237" spans="1:16" x14ac:dyDescent="0.3">
      <c r="A3237" s="4">
        <v>17</v>
      </c>
      <c r="B3237" t="s">
        <v>11</v>
      </c>
      <c r="C3237" s="4">
        <v>25.96</v>
      </c>
      <c r="D3237" t="s">
        <v>18</v>
      </c>
      <c r="E3237" t="s">
        <v>20</v>
      </c>
      <c r="F3237" s="4" t="s">
        <v>22</v>
      </c>
      <c r="G3237" s="4" t="s">
        <v>15</v>
      </c>
      <c r="H3237" s="4">
        <v>6</v>
      </c>
      <c r="I3237" s="4">
        <v>3</v>
      </c>
      <c r="J3237" s="1">
        <v>45717</v>
      </c>
      <c r="K3237" s="2">
        <v>5.9432870370370369E-3</v>
      </c>
      <c r="M3237" s="4" t="str">
        <f t="shared" si="150"/>
        <v>LOW</v>
      </c>
      <c r="N3237" s="4" t="str" cm="1">
        <f t="array" ref="N3237">_xlfn.IFS(C3237&gt;35,"HIGH",C3237&gt;25,"MIDDLE",TRUE,"LOW")</f>
        <v>MIDDLE</v>
      </c>
      <c r="O3237" s="4" t="str">
        <f t="shared" si="151"/>
        <v>OTHERS</v>
      </c>
      <c r="P3237" s="4" t="str">
        <f t="shared" si="152"/>
        <v>OTHERS</v>
      </c>
    </row>
    <row r="3238" spans="1:16" x14ac:dyDescent="0.3">
      <c r="A3238" s="4">
        <v>9</v>
      </c>
      <c r="B3238" t="s">
        <v>11</v>
      </c>
      <c r="C3238" s="4">
        <v>35.76</v>
      </c>
      <c r="D3238" t="s">
        <v>21</v>
      </c>
      <c r="E3238" t="s">
        <v>13</v>
      </c>
      <c r="F3238" s="4" t="s">
        <v>23</v>
      </c>
      <c r="G3238" s="4" t="s">
        <v>15</v>
      </c>
      <c r="H3238" s="4">
        <v>7</v>
      </c>
      <c r="I3238" s="4">
        <v>3</v>
      </c>
      <c r="J3238" s="1">
        <v>45718</v>
      </c>
      <c r="K3238" s="2">
        <v>4.0454861111111115E-2</v>
      </c>
      <c r="M3238" s="4" t="str">
        <f t="shared" si="150"/>
        <v>HIGH</v>
      </c>
      <c r="N3238" s="4" t="str" cm="1">
        <f t="array" ref="N3238">_xlfn.IFS(C3238&gt;35,"HIGH",C3238&gt;25,"MIDDLE",TRUE,"LOW")</f>
        <v>HIGH</v>
      </c>
      <c r="O3238" s="4" t="str">
        <f t="shared" si="151"/>
        <v>PREMINUM MORNING</v>
      </c>
      <c r="P3238" s="4" t="str">
        <f t="shared" si="152"/>
        <v>PREMINUM MORNING</v>
      </c>
    </row>
    <row r="3239" spans="1:16" x14ac:dyDescent="0.3">
      <c r="A3239" s="4">
        <v>12</v>
      </c>
      <c r="B3239" t="s">
        <v>11</v>
      </c>
      <c r="C3239" s="4">
        <v>35.76</v>
      </c>
      <c r="D3239" t="s">
        <v>12</v>
      </c>
      <c r="E3239" t="s">
        <v>17</v>
      </c>
      <c r="F3239" s="4" t="s">
        <v>23</v>
      </c>
      <c r="G3239" s="4" t="s">
        <v>15</v>
      </c>
      <c r="H3239" s="4">
        <v>7</v>
      </c>
      <c r="I3239" s="4">
        <v>3</v>
      </c>
      <c r="J3239" s="1">
        <v>45718</v>
      </c>
      <c r="K3239" s="2">
        <v>1.2226851851851853E-2</v>
      </c>
      <c r="M3239" s="4" t="str">
        <f t="shared" si="150"/>
        <v>HIGH</v>
      </c>
      <c r="N3239" s="4" t="str" cm="1">
        <f t="array" ref="N3239">_xlfn.IFS(C3239&gt;35,"HIGH",C3239&gt;25,"MIDDLE",TRUE,"LOW")</f>
        <v>HIGH</v>
      </c>
      <c r="O3239" s="4" t="str">
        <f t="shared" si="151"/>
        <v>OTHERS</v>
      </c>
      <c r="P3239" s="4" t="str">
        <f t="shared" si="152"/>
        <v>PREMINUM MORNING</v>
      </c>
    </row>
    <row r="3240" spans="1:16" x14ac:dyDescent="0.3">
      <c r="A3240" s="4">
        <v>13</v>
      </c>
      <c r="B3240" t="s">
        <v>11</v>
      </c>
      <c r="C3240" s="4">
        <v>30.86</v>
      </c>
      <c r="D3240" t="s">
        <v>19</v>
      </c>
      <c r="E3240" t="s">
        <v>17</v>
      </c>
      <c r="F3240" s="4" t="s">
        <v>23</v>
      </c>
      <c r="G3240" s="4" t="s">
        <v>15</v>
      </c>
      <c r="H3240" s="4">
        <v>7</v>
      </c>
      <c r="I3240" s="4">
        <v>3</v>
      </c>
      <c r="J3240" s="1">
        <v>45718</v>
      </c>
      <c r="K3240" s="2">
        <v>2.5225694444444443E-2</v>
      </c>
      <c r="M3240" s="4" t="str">
        <f t="shared" si="150"/>
        <v>LOW</v>
      </c>
      <c r="N3240" s="4" t="str" cm="1">
        <f t="array" ref="N3240">_xlfn.IFS(C3240&gt;35,"HIGH",C3240&gt;25,"MIDDLE",TRUE,"LOW")</f>
        <v>MIDDLE</v>
      </c>
      <c r="O3240" s="4" t="str">
        <f t="shared" si="151"/>
        <v>OTHERS</v>
      </c>
      <c r="P3240" s="4" t="str">
        <f t="shared" si="152"/>
        <v>OTHERS</v>
      </c>
    </row>
    <row r="3241" spans="1:16" x14ac:dyDescent="0.3">
      <c r="A3241" s="4">
        <v>15</v>
      </c>
      <c r="B3241" t="s">
        <v>11</v>
      </c>
      <c r="C3241" s="4">
        <v>30.86</v>
      </c>
      <c r="D3241" t="s">
        <v>19</v>
      </c>
      <c r="E3241" t="s">
        <v>17</v>
      </c>
      <c r="F3241" s="4" t="s">
        <v>23</v>
      </c>
      <c r="G3241" s="4" t="s">
        <v>15</v>
      </c>
      <c r="H3241" s="4">
        <v>7</v>
      </c>
      <c r="I3241" s="4">
        <v>3</v>
      </c>
      <c r="J3241" s="1">
        <v>45718</v>
      </c>
      <c r="K3241" s="2">
        <v>1.5480324074074073E-2</v>
      </c>
      <c r="M3241" s="4" t="str">
        <f t="shared" si="150"/>
        <v>LOW</v>
      </c>
      <c r="N3241" s="4" t="str" cm="1">
        <f t="array" ref="N3241">_xlfn.IFS(C3241&gt;35,"HIGH",C3241&gt;25,"MIDDLE",TRUE,"LOW")</f>
        <v>MIDDLE</v>
      </c>
      <c r="O3241" s="4" t="str">
        <f t="shared" si="151"/>
        <v>OTHERS</v>
      </c>
      <c r="P3241" s="4" t="str">
        <f t="shared" si="152"/>
        <v>OTHERS</v>
      </c>
    </row>
    <row r="3242" spans="1:16" x14ac:dyDescent="0.3">
      <c r="A3242" s="4">
        <v>15</v>
      </c>
      <c r="B3242" t="s">
        <v>11</v>
      </c>
      <c r="C3242" s="4">
        <v>25.96</v>
      </c>
      <c r="D3242" t="s">
        <v>18</v>
      </c>
      <c r="E3242" t="s">
        <v>17</v>
      </c>
      <c r="F3242" s="4" t="s">
        <v>23</v>
      </c>
      <c r="G3242" s="4" t="s">
        <v>15</v>
      </c>
      <c r="H3242" s="4">
        <v>7</v>
      </c>
      <c r="I3242" s="4">
        <v>3</v>
      </c>
      <c r="J3242" s="1">
        <v>45718</v>
      </c>
      <c r="K3242" s="2">
        <v>1.6153935185185184E-2</v>
      </c>
      <c r="M3242" s="4" t="str">
        <f t="shared" si="150"/>
        <v>LOW</v>
      </c>
      <c r="N3242" s="4" t="str" cm="1">
        <f t="array" ref="N3242">_xlfn.IFS(C3242&gt;35,"HIGH",C3242&gt;25,"MIDDLE",TRUE,"LOW")</f>
        <v>MIDDLE</v>
      </c>
      <c r="O3242" s="4" t="str">
        <f t="shared" si="151"/>
        <v>OTHERS</v>
      </c>
      <c r="P3242" s="4" t="str">
        <f t="shared" si="152"/>
        <v>OTHERS</v>
      </c>
    </row>
    <row r="3243" spans="1:16" x14ac:dyDescent="0.3">
      <c r="A3243" s="4">
        <v>15</v>
      </c>
      <c r="B3243" t="s">
        <v>11</v>
      </c>
      <c r="C3243" s="4">
        <v>25.96</v>
      </c>
      <c r="D3243" t="s">
        <v>18</v>
      </c>
      <c r="E3243" t="s">
        <v>17</v>
      </c>
      <c r="F3243" s="4" t="s">
        <v>23</v>
      </c>
      <c r="G3243" s="4" t="s">
        <v>15</v>
      </c>
      <c r="H3243" s="4">
        <v>7</v>
      </c>
      <c r="I3243" s="4">
        <v>3</v>
      </c>
      <c r="J3243" s="1">
        <v>45718</v>
      </c>
      <c r="K3243" s="2">
        <v>1.7189814814814814E-2</v>
      </c>
      <c r="M3243" s="4" t="str">
        <f t="shared" si="150"/>
        <v>LOW</v>
      </c>
      <c r="N3243" s="4" t="str" cm="1">
        <f t="array" ref="N3243">_xlfn.IFS(C3243&gt;35,"HIGH",C3243&gt;25,"MIDDLE",TRUE,"LOW")</f>
        <v>MIDDLE</v>
      </c>
      <c r="O3243" s="4" t="str">
        <f t="shared" si="151"/>
        <v>OTHERS</v>
      </c>
      <c r="P3243" s="4" t="str">
        <f t="shared" si="152"/>
        <v>OTHERS</v>
      </c>
    </row>
    <row r="3244" spans="1:16" x14ac:dyDescent="0.3">
      <c r="A3244" s="4">
        <v>8</v>
      </c>
      <c r="B3244" t="s">
        <v>11</v>
      </c>
      <c r="C3244" s="4">
        <v>35.76</v>
      </c>
      <c r="D3244" t="s">
        <v>29</v>
      </c>
      <c r="E3244" t="s">
        <v>13</v>
      </c>
      <c r="F3244" s="4" t="s">
        <v>25</v>
      </c>
      <c r="G3244" s="4" t="s">
        <v>15</v>
      </c>
      <c r="H3244" s="4">
        <v>1</v>
      </c>
      <c r="I3244" s="4">
        <v>3</v>
      </c>
      <c r="J3244" s="1">
        <v>45719</v>
      </c>
      <c r="K3244" s="2">
        <v>1.6688657407407409E-2</v>
      </c>
      <c r="M3244" s="4" t="str">
        <f t="shared" si="150"/>
        <v>HIGH</v>
      </c>
      <c r="N3244" s="4" t="str" cm="1">
        <f t="array" ref="N3244">_xlfn.IFS(C3244&gt;35,"HIGH",C3244&gt;25,"MIDDLE",TRUE,"LOW")</f>
        <v>HIGH</v>
      </c>
      <c r="O3244" s="4" t="str">
        <f t="shared" si="151"/>
        <v>PREMINUM MORNING</v>
      </c>
      <c r="P3244" s="4" t="str">
        <f t="shared" si="152"/>
        <v>PREMINUM MORNING</v>
      </c>
    </row>
    <row r="3245" spans="1:16" x14ac:dyDescent="0.3">
      <c r="A3245" s="4">
        <v>9</v>
      </c>
      <c r="B3245" t="s">
        <v>11</v>
      </c>
      <c r="C3245" s="4">
        <v>35.76</v>
      </c>
      <c r="D3245" t="s">
        <v>21</v>
      </c>
      <c r="E3245" t="s">
        <v>13</v>
      </c>
      <c r="F3245" s="4" t="s">
        <v>25</v>
      </c>
      <c r="G3245" s="4" t="s">
        <v>15</v>
      </c>
      <c r="H3245" s="4">
        <v>1</v>
      </c>
      <c r="I3245" s="4">
        <v>3</v>
      </c>
      <c r="J3245" s="1">
        <v>45719</v>
      </c>
      <c r="K3245" s="2">
        <v>3.2546296296296295E-2</v>
      </c>
      <c r="M3245" s="4" t="str">
        <f t="shared" si="150"/>
        <v>HIGH</v>
      </c>
      <c r="N3245" s="4" t="str" cm="1">
        <f t="array" ref="N3245">_xlfn.IFS(C3245&gt;35,"HIGH",C3245&gt;25,"MIDDLE",TRUE,"LOW")</f>
        <v>HIGH</v>
      </c>
      <c r="O3245" s="4" t="str">
        <f t="shared" si="151"/>
        <v>PREMINUM MORNING</v>
      </c>
      <c r="P3245" s="4" t="str">
        <f t="shared" si="152"/>
        <v>PREMINUM MORNING</v>
      </c>
    </row>
    <row r="3246" spans="1:16" x14ac:dyDescent="0.3">
      <c r="A3246" s="4">
        <v>9</v>
      </c>
      <c r="B3246" t="s">
        <v>11</v>
      </c>
      <c r="C3246" s="4">
        <v>35.76</v>
      </c>
      <c r="D3246" t="s">
        <v>12</v>
      </c>
      <c r="E3246" t="s">
        <v>13</v>
      </c>
      <c r="F3246" s="4" t="s">
        <v>25</v>
      </c>
      <c r="G3246" s="4" t="s">
        <v>15</v>
      </c>
      <c r="H3246" s="4">
        <v>1</v>
      </c>
      <c r="I3246" s="4">
        <v>3</v>
      </c>
      <c r="J3246" s="1">
        <v>45719</v>
      </c>
      <c r="K3246" s="2">
        <v>3.3788194444444447E-2</v>
      </c>
      <c r="M3246" s="4" t="str">
        <f t="shared" si="150"/>
        <v>HIGH</v>
      </c>
      <c r="N3246" s="4" t="str" cm="1">
        <f t="array" ref="N3246">_xlfn.IFS(C3246&gt;35,"HIGH",C3246&gt;25,"MIDDLE",TRUE,"LOW")</f>
        <v>HIGH</v>
      </c>
      <c r="O3246" s="4" t="str">
        <f t="shared" si="151"/>
        <v>PREMINUM MORNING</v>
      </c>
      <c r="P3246" s="4" t="str">
        <f t="shared" si="152"/>
        <v>PREMINUM MORNING</v>
      </c>
    </row>
    <row r="3247" spans="1:16" x14ac:dyDescent="0.3">
      <c r="A3247" s="4">
        <v>10</v>
      </c>
      <c r="B3247" t="s">
        <v>11</v>
      </c>
      <c r="C3247" s="4">
        <v>35.76</v>
      </c>
      <c r="D3247" t="s">
        <v>16</v>
      </c>
      <c r="E3247" t="s">
        <v>13</v>
      </c>
      <c r="F3247" s="4" t="s">
        <v>25</v>
      </c>
      <c r="G3247" s="4" t="s">
        <v>15</v>
      </c>
      <c r="H3247" s="4">
        <v>1</v>
      </c>
      <c r="I3247" s="4">
        <v>3</v>
      </c>
      <c r="J3247" s="1">
        <v>45719</v>
      </c>
      <c r="K3247" s="2">
        <v>1.4868055555555554E-2</v>
      </c>
      <c r="M3247" s="4" t="str">
        <f t="shared" si="150"/>
        <v>HIGH</v>
      </c>
      <c r="N3247" s="4" t="str" cm="1">
        <f t="array" ref="N3247">_xlfn.IFS(C3247&gt;35,"HIGH",C3247&gt;25,"MIDDLE",TRUE,"LOW")</f>
        <v>HIGH</v>
      </c>
      <c r="O3247" s="4" t="str">
        <f t="shared" si="151"/>
        <v>PREMINUM MORNING</v>
      </c>
      <c r="P3247" s="4" t="str">
        <f t="shared" si="152"/>
        <v>PREMINUM MORNING</v>
      </c>
    </row>
    <row r="3248" spans="1:16" x14ac:dyDescent="0.3">
      <c r="A3248" s="4">
        <v>10</v>
      </c>
      <c r="B3248" t="s">
        <v>11</v>
      </c>
      <c r="C3248" s="4">
        <v>35.76</v>
      </c>
      <c r="D3248" t="s">
        <v>16</v>
      </c>
      <c r="E3248" t="s">
        <v>13</v>
      </c>
      <c r="F3248" s="4" t="s">
        <v>25</v>
      </c>
      <c r="G3248" s="4" t="s">
        <v>15</v>
      </c>
      <c r="H3248" s="4">
        <v>1</v>
      </c>
      <c r="I3248" s="4">
        <v>3</v>
      </c>
      <c r="J3248" s="1">
        <v>45719</v>
      </c>
      <c r="K3248" s="2">
        <v>1.7207175925925928E-2</v>
      </c>
      <c r="M3248" s="4" t="str">
        <f t="shared" si="150"/>
        <v>HIGH</v>
      </c>
      <c r="N3248" s="4" t="str" cm="1">
        <f t="array" ref="N3248">_xlfn.IFS(C3248&gt;35,"HIGH",C3248&gt;25,"MIDDLE",TRUE,"LOW")</f>
        <v>HIGH</v>
      </c>
      <c r="O3248" s="4" t="str">
        <f t="shared" si="151"/>
        <v>PREMINUM MORNING</v>
      </c>
      <c r="P3248" s="4" t="str">
        <f t="shared" si="152"/>
        <v>PREMINUM MORNING</v>
      </c>
    </row>
    <row r="3249" spans="1:16" x14ac:dyDescent="0.3">
      <c r="A3249" s="4">
        <v>12</v>
      </c>
      <c r="B3249" t="s">
        <v>11</v>
      </c>
      <c r="C3249" s="4">
        <v>35.76</v>
      </c>
      <c r="D3249" t="s">
        <v>29</v>
      </c>
      <c r="E3249" t="s">
        <v>17</v>
      </c>
      <c r="F3249" s="4" t="s">
        <v>25</v>
      </c>
      <c r="G3249" s="4" t="s">
        <v>15</v>
      </c>
      <c r="H3249" s="4">
        <v>1</v>
      </c>
      <c r="I3249" s="4">
        <v>3</v>
      </c>
      <c r="J3249" s="1">
        <v>45719</v>
      </c>
      <c r="K3249" s="2">
        <v>4.0371527777777777E-2</v>
      </c>
      <c r="M3249" s="4" t="str">
        <f t="shared" si="150"/>
        <v>HIGH</v>
      </c>
      <c r="N3249" s="4" t="str" cm="1">
        <f t="array" ref="N3249">_xlfn.IFS(C3249&gt;35,"HIGH",C3249&gt;25,"MIDDLE",TRUE,"LOW")</f>
        <v>HIGH</v>
      </c>
      <c r="O3249" s="4" t="str">
        <f t="shared" si="151"/>
        <v>OTHERS</v>
      </c>
      <c r="P3249" s="4" t="str">
        <f t="shared" si="152"/>
        <v>PREMINUM MORNING</v>
      </c>
    </row>
    <row r="3250" spans="1:16" x14ac:dyDescent="0.3">
      <c r="A3250" s="4">
        <v>15</v>
      </c>
      <c r="B3250" t="s">
        <v>11</v>
      </c>
      <c r="C3250" s="4">
        <v>35.76</v>
      </c>
      <c r="D3250" t="s">
        <v>12</v>
      </c>
      <c r="E3250" t="s">
        <v>17</v>
      </c>
      <c r="F3250" s="4" t="s">
        <v>25</v>
      </c>
      <c r="G3250" s="4" t="s">
        <v>15</v>
      </c>
      <c r="H3250" s="4">
        <v>1</v>
      </c>
      <c r="I3250" s="4">
        <v>3</v>
      </c>
      <c r="J3250" s="1">
        <v>45719</v>
      </c>
      <c r="K3250" s="2">
        <v>7.6527777777777783E-3</v>
      </c>
      <c r="M3250" s="4" t="str">
        <f t="shared" si="150"/>
        <v>HIGH</v>
      </c>
      <c r="N3250" s="4" t="str" cm="1">
        <f t="array" ref="N3250">_xlfn.IFS(C3250&gt;35,"HIGH",C3250&gt;25,"MIDDLE",TRUE,"LOW")</f>
        <v>HIGH</v>
      </c>
      <c r="O3250" s="4" t="str">
        <f t="shared" si="151"/>
        <v>OTHERS</v>
      </c>
      <c r="P3250" s="4" t="str">
        <f t="shared" si="152"/>
        <v>PREMINUM MORNING</v>
      </c>
    </row>
    <row r="3251" spans="1:16" x14ac:dyDescent="0.3">
      <c r="A3251" s="4">
        <v>15</v>
      </c>
      <c r="B3251" t="s">
        <v>11</v>
      </c>
      <c r="C3251" s="4">
        <v>25.96</v>
      </c>
      <c r="D3251" t="s">
        <v>18</v>
      </c>
      <c r="E3251" t="s">
        <v>17</v>
      </c>
      <c r="F3251" s="4" t="s">
        <v>25</v>
      </c>
      <c r="G3251" s="4" t="s">
        <v>15</v>
      </c>
      <c r="H3251" s="4">
        <v>1</v>
      </c>
      <c r="I3251" s="4">
        <v>3</v>
      </c>
      <c r="J3251" s="1">
        <v>45719</v>
      </c>
      <c r="K3251" s="2">
        <v>3.3319444444444443E-2</v>
      </c>
      <c r="M3251" s="4" t="str">
        <f t="shared" si="150"/>
        <v>LOW</v>
      </c>
      <c r="N3251" s="4" t="str" cm="1">
        <f t="array" ref="N3251">_xlfn.IFS(C3251&gt;35,"HIGH",C3251&gt;25,"MIDDLE",TRUE,"LOW")</f>
        <v>MIDDLE</v>
      </c>
      <c r="O3251" s="4" t="str">
        <f t="shared" si="151"/>
        <v>OTHERS</v>
      </c>
      <c r="P3251" s="4" t="str">
        <f t="shared" si="152"/>
        <v>OTHERS</v>
      </c>
    </row>
    <row r="3252" spans="1:16" x14ac:dyDescent="0.3">
      <c r="A3252" s="4">
        <v>16</v>
      </c>
      <c r="B3252" t="s">
        <v>11</v>
      </c>
      <c r="C3252" s="4">
        <v>35.76</v>
      </c>
      <c r="D3252" t="s">
        <v>21</v>
      </c>
      <c r="E3252" t="s">
        <v>17</v>
      </c>
      <c r="F3252" s="4" t="s">
        <v>25</v>
      </c>
      <c r="G3252" s="4" t="s">
        <v>15</v>
      </c>
      <c r="H3252" s="4">
        <v>1</v>
      </c>
      <c r="I3252" s="4">
        <v>3</v>
      </c>
      <c r="J3252" s="1">
        <v>45719</v>
      </c>
      <c r="K3252" s="2">
        <v>1.0306712962962964E-2</v>
      </c>
      <c r="M3252" s="4" t="str">
        <f t="shared" si="150"/>
        <v>HIGH</v>
      </c>
      <c r="N3252" s="4" t="str" cm="1">
        <f t="array" ref="N3252">_xlfn.IFS(C3252&gt;35,"HIGH",C3252&gt;25,"MIDDLE",TRUE,"LOW")</f>
        <v>HIGH</v>
      </c>
      <c r="O3252" s="4" t="str">
        <f t="shared" si="151"/>
        <v>OTHERS</v>
      </c>
      <c r="P3252" s="4" t="str">
        <f t="shared" si="152"/>
        <v>PREMINUM MORNING</v>
      </c>
    </row>
    <row r="3253" spans="1:16" x14ac:dyDescent="0.3">
      <c r="A3253" s="4">
        <v>16</v>
      </c>
      <c r="B3253" t="s">
        <v>11</v>
      </c>
      <c r="C3253" s="4">
        <v>35.76</v>
      </c>
      <c r="D3253" t="s">
        <v>12</v>
      </c>
      <c r="E3253" t="s">
        <v>17</v>
      </c>
      <c r="F3253" s="4" t="s">
        <v>25</v>
      </c>
      <c r="G3253" s="4" t="s">
        <v>15</v>
      </c>
      <c r="H3253" s="4">
        <v>1</v>
      </c>
      <c r="I3253" s="4">
        <v>3</v>
      </c>
      <c r="J3253" s="1">
        <v>45719</v>
      </c>
      <c r="K3253" s="2">
        <v>1.1518518518518518E-2</v>
      </c>
      <c r="M3253" s="4" t="str">
        <f t="shared" si="150"/>
        <v>HIGH</v>
      </c>
      <c r="N3253" s="4" t="str" cm="1">
        <f t="array" ref="N3253">_xlfn.IFS(C3253&gt;35,"HIGH",C3253&gt;25,"MIDDLE",TRUE,"LOW")</f>
        <v>HIGH</v>
      </c>
      <c r="O3253" s="4" t="str">
        <f t="shared" si="151"/>
        <v>OTHERS</v>
      </c>
      <c r="P3253" s="4" t="str">
        <f t="shared" si="152"/>
        <v>PREMINUM MORNING</v>
      </c>
    </row>
    <row r="3254" spans="1:16" x14ac:dyDescent="0.3">
      <c r="A3254" s="4">
        <v>16</v>
      </c>
      <c r="B3254" t="s">
        <v>11</v>
      </c>
      <c r="C3254" s="4">
        <v>35.76</v>
      </c>
      <c r="D3254" t="s">
        <v>12</v>
      </c>
      <c r="E3254" t="s">
        <v>17</v>
      </c>
      <c r="F3254" s="4" t="s">
        <v>25</v>
      </c>
      <c r="G3254" s="4" t="s">
        <v>15</v>
      </c>
      <c r="H3254" s="4">
        <v>1</v>
      </c>
      <c r="I3254" s="4">
        <v>3</v>
      </c>
      <c r="J3254" s="1">
        <v>45719</v>
      </c>
      <c r="K3254" s="2">
        <v>1.2813657407407406E-2</v>
      </c>
      <c r="M3254" s="4" t="str">
        <f t="shared" si="150"/>
        <v>HIGH</v>
      </c>
      <c r="N3254" s="4" t="str" cm="1">
        <f t="array" ref="N3254">_xlfn.IFS(C3254&gt;35,"HIGH",C3254&gt;25,"MIDDLE",TRUE,"LOW")</f>
        <v>HIGH</v>
      </c>
      <c r="O3254" s="4" t="str">
        <f t="shared" si="151"/>
        <v>OTHERS</v>
      </c>
      <c r="P3254" s="4" t="str">
        <f t="shared" si="152"/>
        <v>PREMINUM MORNING</v>
      </c>
    </row>
    <row r="3255" spans="1:16" x14ac:dyDescent="0.3">
      <c r="A3255" s="4">
        <v>16</v>
      </c>
      <c r="B3255" t="s">
        <v>11</v>
      </c>
      <c r="C3255" s="4">
        <v>35.76</v>
      </c>
      <c r="D3255" t="s">
        <v>29</v>
      </c>
      <c r="E3255" t="s">
        <v>17</v>
      </c>
      <c r="F3255" s="4" t="s">
        <v>25</v>
      </c>
      <c r="G3255" s="4" t="s">
        <v>15</v>
      </c>
      <c r="H3255" s="4">
        <v>1</v>
      </c>
      <c r="I3255" s="4">
        <v>3</v>
      </c>
      <c r="J3255" s="1">
        <v>45719</v>
      </c>
      <c r="K3255" s="2">
        <v>2.8116898148148151E-2</v>
      </c>
      <c r="M3255" s="4" t="str">
        <f t="shared" si="150"/>
        <v>HIGH</v>
      </c>
      <c r="N3255" s="4" t="str" cm="1">
        <f t="array" ref="N3255">_xlfn.IFS(C3255&gt;35,"HIGH",C3255&gt;25,"MIDDLE",TRUE,"LOW")</f>
        <v>HIGH</v>
      </c>
      <c r="O3255" s="4" t="str">
        <f t="shared" si="151"/>
        <v>OTHERS</v>
      </c>
      <c r="P3255" s="4" t="str">
        <f t="shared" si="152"/>
        <v>PREMINUM MORNING</v>
      </c>
    </row>
    <row r="3256" spans="1:16" x14ac:dyDescent="0.3">
      <c r="A3256" s="4">
        <v>16</v>
      </c>
      <c r="B3256" t="s">
        <v>11</v>
      </c>
      <c r="C3256" s="4">
        <v>35.76</v>
      </c>
      <c r="D3256" t="s">
        <v>29</v>
      </c>
      <c r="E3256" t="s">
        <v>17</v>
      </c>
      <c r="F3256" s="4" t="s">
        <v>25</v>
      </c>
      <c r="G3256" s="4" t="s">
        <v>15</v>
      </c>
      <c r="H3256" s="4">
        <v>1</v>
      </c>
      <c r="I3256" s="4">
        <v>3</v>
      </c>
      <c r="J3256" s="1">
        <v>45719</v>
      </c>
      <c r="K3256" s="2">
        <v>2.9428240740740741E-2</v>
      </c>
      <c r="M3256" s="4" t="str">
        <f t="shared" si="150"/>
        <v>HIGH</v>
      </c>
      <c r="N3256" s="4" t="str" cm="1">
        <f t="array" ref="N3256">_xlfn.IFS(C3256&gt;35,"HIGH",C3256&gt;25,"MIDDLE",TRUE,"LOW")</f>
        <v>HIGH</v>
      </c>
      <c r="O3256" s="4" t="str">
        <f t="shared" si="151"/>
        <v>OTHERS</v>
      </c>
      <c r="P3256" s="4" t="str">
        <f t="shared" si="152"/>
        <v>PREMINUM MORNING</v>
      </c>
    </row>
    <row r="3257" spans="1:16" x14ac:dyDescent="0.3">
      <c r="A3257" s="4">
        <v>16</v>
      </c>
      <c r="B3257" t="s">
        <v>11</v>
      </c>
      <c r="C3257" s="4">
        <v>25.96</v>
      </c>
      <c r="D3257" t="s">
        <v>18</v>
      </c>
      <c r="E3257" t="s">
        <v>17</v>
      </c>
      <c r="F3257" s="4" t="s">
        <v>25</v>
      </c>
      <c r="G3257" s="4" t="s">
        <v>15</v>
      </c>
      <c r="H3257" s="4">
        <v>1</v>
      </c>
      <c r="I3257" s="4">
        <v>3</v>
      </c>
      <c r="J3257" s="1">
        <v>45719</v>
      </c>
      <c r="K3257" s="2">
        <v>3.6245370370370372E-2</v>
      </c>
      <c r="M3257" s="4" t="str">
        <f t="shared" si="150"/>
        <v>LOW</v>
      </c>
      <c r="N3257" s="4" t="str" cm="1">
        <f t="array" ref="N3257">_xlfn.IFS(C3257&gt;35,"HIGH",C3257&gt;25,"MIDDLE",TRUE,"LOW")</f>
        <v>MIDDLE</v>
      </c>
      <c r="O3257" s="4" t="str">
        <f t="shared" si="151"/>
        <v>OTHERS</v>
      </c>
      <c r="P3257" s="4" t="str">
        <f t="shared" si="152"/>
        <v>OTHERS</v>
      </c>
    </row>
    <row r="3258" spans="1:16" x14ac:dyDescent="0.3">
      <c r="A3258" s="4">
        <v>17</v>
      </c>
      <c r="B3258" t="s">
        <v>11</v>
      </c>
      <c r="C3258" s="4">
        <v>30.86</v>
      </c>
      <c r="D3258" t="s">
        <v>19</v>
      </c>
      <c r="E3258" t="s">
        <v>20</v>
      </c>
      <c r="F3258" s="4" t="s">
        <v>25</v>
      </c>
      <c r="G3258" s="4" t="s">
        <v>15</v>
      </c>
      <c r="H3258" s="4">
        <v>1</v>
      </c>
      <c r="I3258" s="4">
        <v>3</v>
      </c>
      <c r="J3258" s="1">
        <v>45719</v>
      </c>
      <c r="K3258" s="2">
        <v>1.9939814814814813E-2</v>
      </c>
      <c r="M3258" s="4" t="str">
        <f t="shared" si="150"/>
        <v>LOW</v>
      </c>
      <c r="N3258" s="4" t="str" cm="1">
        <f t="array" ref="N3258">_xlfn.IFS(C3258&gt;35,"HIGH",C3258&gt;25,"MIDDLE",TRUE,"LOW")</f>
        <v>MIDDLE</v>
      </c>
      <c r="O3258" s="4" t="str">
        <f t="shared" si="151"/>
        <v>OTHERS</v>
      </c>
      <c r="P3258" s="4" t="str">
        <f t="shared" si="152"/>
        <v>OTHERS</v>
      </c>
    </row>
    <row r="3259" spans="1:16" x14ac:dyDescent="0.3">
      <c r="A3259" s="4">
        <v>17</v>
      </c>
      <c r="B3259" t="s">
        <v>11</v>
      </c>
      <c r="C3259" s="4">
        <v>25.96</v>
      </c>
      <c r="D3259" t="s">
        <v>18</v>
      </c>
      <c r="E3259" t="s">
        <v>20</v>
      </c>
      <c r="F3259" s="4" t="s">
        <v>25</v>
      </c>
      <c r="G3259" s="4" t="s">
        <v>15</v>
      </c>
      <c r="H3259" s="4">
        <v>1</v>
      </c>
      <c r="I3259" s="4">
        <v>3</v>
      </c>
      <c r="J3259" s="1">
        <v>45719</v>
      </c>
      <c r="K3259" s="2">
        <v>2.1787037037037039E-2</v>
      </c>
      <c r="M3259" s="4" t="str">
        <f t="shared" si="150"/>
        <v>LOW</v>
      </c>
      <c r="N3259" s="4" t="str" cm="1">
        <f t="array" ref="N3259">_xlfn.IFS(C3259&gt;35,"HIGH",C3259&gt;25,"MIDDLE",TRUE,"LOW")</f>
        <v>MIDDLE</v>
      </c>
      <c r="O3259" s="4" t="str">
        <f t="shared" si="151"/>
        <v>OTHERS</v>
      </c>
      <c r="P3259" s="4" t="str">
        <f t="shared" si="152"/>
        <v>OTHERS</v>
      </c>
    </row>
    <row r="3260" spans="1:16" x14ac:dyDescent="0.3">
      <c r="A3260" s="4">
        <v>17</v>
      </c>
      <c r="B3260" t="s">
        <v>11</v>
      </c>
      <c r="C3260" s="4">
        <v>35.76</v>
      </c>
      <c r="D3260" t="s">
        <v>16</v>
      </c>
      <c r="E3260" t="s">
        <v>20</v>
      </c>
      <c r="F3260" s="4" t="s">
        <v>25</v>
      </c>
      <c r="G3260" s="4" t="s">
        <v>15</v>
      </c>
      <c r="H3260" s="4">
        <v>1</v>
      </c>
      <c r="I3260" s="4">
        <v>3</v>
      </c>
      <c r="J3260" s="1">
        <v>45719</v>
      </c>
      <c r="K3260" s="2">
        <v>2.2435185185185186E-2</v>
      </c>
      <c r="M3260" s="4" t="str">
        <f t="shared" si="150"/>
        <v>HIGH</v>
      </c>
      <c r="N3260" s="4" t="str" cm="1">
        <f t="array" ref="N3260">_xlfn.IFS(C3260&gt;35,"HIGH",C3260&gt;25,"MIDDLE",TRUE,"LOW")</f>
        <v>HIGH</v>
      </c>
      <c r="O3260" s="4" t="str">
        <f t="shared" si="151"/>
        <v>OTHERS</v>
      </c>
      <c r="P3260" s="4" t="str">
        <f t="shared" si="152"/>
        <v>PREMINUM MORNING</v>
      </c>
    </row>
    <row r="3261" spans="1:16" x14ac:dyDescent="0.3">
      <c r="A3261" s="4">
        <v>17</v>
      </c>
      <c r="B3261" t="s">
        <v>11</v>
      </c>
      <c r="C3261" s="4">
        <v>25.96</v>
      </c>
      <c r="D3261" t="s">
        <v>18</v>
      </c>
      <c r="E3261" t="s">
        <v>20</v>
      </c>
      <c r="F3261" s="4" t="s">
        <v>25</v>
      </c>
      <c r="G3261" s="4" t="s">
        <v>15</v>
      </c>
      <c r="H3261" s="4">
        <v>1</v>
      </c>
      <c r="I3261" s="4">
        <v>3</v>
      </c>
      <c r="J3261" s="1">
        <v>45719</v>
      </c>
      <c r="K3261" s="2">
        <v>2.2902777777777779E-2</v>
      </c>
      <c r="M3261" s="4" t="str">
        <f t="shared" si="150"/>
        <v>LOW</v>
      </c>
      <c r="N3261" s="4" t="str" cm="1">
        <f t="array" ref="N3261">_xlfn.IFS(C3261&gt;35,"HIGH",C3261&gt;25,"MIDDLE",TRUE,"LOW")</f>
        <v>MIDDLE</v>
      </c>
      <c r="O3261" s="4" t="str">
        <f t="shared" si="151"/>
        <v>OTHERS</v>
      </c>
      <c r="P3261" s="4" t="str">
        <f t="shared" si="152"/>
        <v>OTHERS</v>
      </c>
    </row>
    <row r="3262" spans="1:16" x14ac:dyDescent="0.3">
      <c r="A3262" s="4">
        <v>17</v>
      </c>
      <c r="B3262" t="s">
        <v>11</v>
      </c>
      <c r="C3262" s="4">
        <v>35.76</v>
      </c>
      <c r="D3262" t="s">
        <v>16</v>
      </c>
      <c r="E3262" t="s">
        <v>20</v>
      </c>
      <c r="F3262" s="4" t="s">
        <v>25</v>
      </c>
      <c r="G3262" s="4" t="s">
        <v>15</v>
      </c>
      <c r="H3262" s="4">
        <v>1</v>
      </c>
      <c r="I3262" s="4">
        <v>3</v>
      </c>
      <c r="J3262" s="1">
        <v>45719</v>
      </c>
      <c r="K3262" s="2">
        <v>3.9961805555555556E-2</v>
      </c>
      <c r="M3262" s="4" t="str">
        <f t="shared" si="150"/>
        <v>HIGH</v>
      </c>
      <c r="N3262" s="4" t="str" cm="1">
        <f t="array" ref="N3262">_xlfn.IFS(C3262&gt;35,"HIGH",C3262&gt;25,"MIDDLE",TRUE,"LOW")</f>
        <v>HIGH</v>
      </c>
      <c r="O3262" s="4" t="str">
        <f t="shared" si="151"/>
        <v>OTHERS</v>
      </c>
      <c r="P3262" s="4" t="str">
        <f t="shared" si="152"/>
        <v>PREMINUM MORNING</v>
      </c>
    </row>
    <row r="3263" spans="1:16" x14ac:dyDescent="0.3">
      <c r="A3263" s="4">
        <v>17</v>
      </c>
      <c r="B3263" t="s">
        <v>11</v>
      </c>
      <c r="C3263" s="4">
        <v>35.76</v>
      </c>
      <c r="D3263" t="s">
        <v>16</v>
      </c>
      <c r="E3263" t="s">
        <v>20</v>
      </c>
      <c r="F3263" s="4" t="s">
        <v>25</v>
      </c>
      <c r="G3263" s="4" t="s">
        <v>15</v>
      </c>
      <c r="H3263" s="4">
        <v>1</v>
      </c>
      <c r="I3263" s="4">
        <v>3</v>
      </c>
      <c r="J3263" s="1">
        <v>45719</v>
      </c>
      <c r="K3263" s="2">
        <v>4.0593750000000005E-2</v>
      </c>
      <c r="M3263" s="4" t="str">
        <f t="shared" si="150"/>
        <v>HIGH</v>
      </c>
      <c r="N3263" s="4" t="str" cm="1">
        <f t="array" ref="N3263">_xlfn.IFS(C3263&gt;35,"HIGH",C3263&gt;25,"MIDDLE",TRUE,"LOW")</f>
        <v>HIGH</v>
      </c>
      <c r="O3263" s="4" t="str">
        <f t="shared" si="151"/>
        <v>OTHERS</v>
      </c>
      <c r="P3263" s="4" t="str">
        <f t="shared" si="152"/>
        <v>PREMINUM MORNING</v>
      </c>
    </row>
    <row r="3264" spans="1:16" x14ac:dyDescent="0.3">
      <c r="A3264" s="4">
        <v>18</v>
      </c>
      <c r="B3264" t="s">
        <v>11</v>
      </c>
      <c r="C3264" s="4">
        <v>30.86</v>
      </c>
      <c r="D3264" t="s">
        <v>19</v>
      </c>
      <c r="E3264" t="s">
        <v>20</v>
      </c>
      <c r="F3264" s="4" t="s">
        <v>25</v>
      </c>
      <c r="G3264" s="4" t="s">
        <v>15</v>
      </c>
      <c r="H3264" s="4">
        <v>1</v>
      </c>
      <c r="I3264" s="4">
        <v>3</v>
      </c>
      <c r="J3264" s="1">
        <v>45719</v>
      </c>
      <c r="K3264" s="2">
        <v>2.1412037037037038E-3</v>
      </c>
      <c r="M3264" s="4" t="str">
        <f t="shared" si="150"/>
        <v>LOW</v>
      </c>
      <c r="N3264" s="4" t="str" cm="1">
        <f t="array" ref="N3264">_xlfn.IFS(C3264&gt;35,"HIGH",C3264&gt;25,"MIDDLE",TRUE,"LOW")</f>
        <v>MIDDLE</v>
      </c>
      <c r="O3264" s="4" t="str">
        <f t="shared" si="151"/>
        <v>OTHERS</v>
      </c>
      <c r="P3264" s="4" t="str">
        <f t="shared" si="152"/>
        <v>OTHERS</v>
      </c>
    </row>
    <row r="3265" spans="1:16" x14ac:dyDescent="0.3">
      <c r="A3265" s="4">
        <v>18</v>
      </c>
      <c r="B3265" t="s">
        <v>11</v>
      </c>
      <c r="C3265" s="4">
        <v>35.76</v>
      </c>
      <c r="D3265" t="s">
        <v>12</v>
      </c>
      <c r="E3265" t="s">
        <v>20</v>
      </c>
      <c r="F3265" s="4" t="s">
        <v>25</v>
      </c>
      <c r="G3265" s="4" t="s">
        <v>15</v>
      </c>
      <c r="H3265" s="4">
        <v>1</v>
      </c>
      <c r="I3265" s="4">
        <v>3</v>
      </c>
      <c r="J3265" s="1">
        <v>45719</v>
      </c>
      <c r="K3265" s="2">
        <v>3.2553240740740737E-2</v>
      </c>
      <c r="M3265" s="4" t="str">
        <f t="shared" si="150"/>
        <v>HIGH</v>
      </c>
      <c r="N3265" s="4" t="str" cm="1">
        <f t="array" ref="N3265">_xlfn.IFS(C3265&gt;35,"HIGH",C3265&gt;25,"MIDDLE",TRUE,"LOW")</f>
        <v>HIGH</v>
      </c>
      <c r="O3265" s="4" t="str">
        <f t="shared" si="151"/>
        <v>OTHERS</v>
      </c>
      <c r="P3265" s="4" t="str">
        <f t="shared" si="152"/>
        <v>PREMINUM MORNING</v>
      </c>
    </row>
    <row r="3266" spans="1:16" x14ac:dyDescent="0.3">
      <c r="A3266" s="4">
        <v>7</v>
      </c>
      <c r="B3266" t="s">
        <v>11</v>
      </c>
      <c r="C3266" s="4">
        <v>35.76</v>
      </c>
      <c r="D3266" t="s">
        <v>29</v>
      </c>
      <c r="E3266" t="s">
        <v>13</v>
      </c>
      <c r="F3266" s="4" t="s">
        <v>27</v>
      </c>
      <c r="G3266" s="4" t="s">
        <v>15</v>
      </c>
      <c r="H3266" s="4">
        <v>2</v>
      </c>
      <c r="I3266" s="4">
        <v>3</v>
      </c>
      <c r="J3266" s="1">
        <v>45720</v>
      </c>
      <c r="K3266" s="2">
        <v>1.3447916666666667E-2</v>
      </c>
      <c r="M3266" s="4" t="str">
        <f t="shared" si="150"/>
        <v>HIGH</v>
      </c>
      <c r="N3266" s="4" t="str" cm="1">
        <f t="array" ref="N3266">_xlfn.IFS(C3266&gt;35,"HIGH",C3266&gt;25,"MIDDLE",TRUE,"LOW")</f>
        <v>HIGH</v>
      </c>
      <c r="O3266" s="4" t="str">
        <f t="shared" si="151"/>
        <v>PREMINUM MORNING</v>
      </c>
      <c r="P3266" s="4" t="str">
        <f t="shared" si="152"/>
        <v>PREMINUM MORNING</v>
      </c>
    </row>
    <row r="3267" spans="1:16" x14ac:dyDescent="0.3">
      <c r="A3267" s="4">
        <v>7</v>
      </c>
      <c r="B3267" t="s">
        <v>11</v>
      </c>
      <c r="C3267" s="4">
        <v>25.96</v>
      </c>
      <c r="D3267" t="s">
        <v>18</v>
      </c>
      <c r="E3267" t="s">
        <v>13</v>
      </c>
      <c r="F3267" s="4" t="s">
        <v>27</v>
      </c>
      <c r="G3267" s="4" t="s">
        <v>15</v>
      </c>
      <c r="H3267" s="4">
        <v>2</v>
      </c>
      <c r="I3267" s="4">
        <v>3</v>
      </c>
      <c r="J3267" s="1">
        <v>45720</v>
      </c>
      <c r="K3267" s="2">
        <v>2.2168981481481484E-2</v>
      </c>
      <c r="M3267" s="4" t="str">
        <f t="shared" ref="M3267:M3330" si="153">IF(C3267&gt;35,"HIGH","LOW")</f>
        <v>LOW</v>
      </c>
      <c r="N3267" s="4" t="str" cm="1">
        <f t="array" ref="N3267">_xlfn.IFS(C3267&gt;35,"HIGH",C3267&gt;25,"MIDDLE",TRUE,"LOW")</f>
        <v>MIDDLE</v>
      </c>
      <c r="O3267" s="4" t="str">
        <f t="shared" ref="O3267:O3330" si="154">IF(AND(C3267&gt;35,E3267="MORNING"),"PREMINUM MORNING","OTHERS")</f>
        <v>OTHERS</v>
      </c>
      <c r="P3267" s="4" t="str">
        <f t="shared" ref="P3267:P3330" si="155">IF(OR(C3267&gt;35,E3267="MORNING"),"PREMINUM MORNING","OTHERS")</f>
        <v>PREMINUM MORNING</v>
      </c>
    </row>
    <row r="3268" spans="1:16" x14ac:dyDescent="0.3">
      <c r="A3268" s="4">
        <v>8</v>
      </c>
      <c r="B3268" t="s">
        <v>11</v>
      </c>
      <c r="C3268" s="4">
        <v>30.86</v>
      </c>
      <c r="D3268" t="s">
        <v>19</v>
      </c>
      <c r="E3268" t="s">
        <v>13</v>
      </c>
      <c r="F3268" s="4" t="s">
        <v>27</v>
      </c>
      <c r="G3268" s="4" t="s">
        <v>15</v>
      </c>
      <c r="H3268" s="4">
        <v>2</v>
      </c>
      <c r="I3268" s="4">
        <v>3</v>
      </c>
      <c r="J3268" s="1">
        <v>45720</v>
      </c>
      <c r="K3268" s="2">
        <v>3.5940972222222221E-2</v>
      </c>
      <c r="M3268" s="4" t="str">
        <f t="shared" si="153"/>
        <v>LOW</v>
      </c>
      <c r="N3268" s="4" t="str" cm="1">
        <f t="array" ref="N3268">_xlfn.IFS(C3268&gt;35,"HIGH",C3268&gt;25,"MIDDLE",TRUE,"LOW")</f>
        <v>MIDDLE</v>
      </c>
      <c r="O3268" s="4" t="str">
        <f t="shared" si="154"/>
        <v>OTHERS</v>
      </c>
      <c r="P3268" s="4" t="str">
        <f t="shared" si="155"/>
        <v>PREMINUM MORNING</v>
      </c>
    </row>
    <row r="3269" spans="1:16" x14ac:dyDescent="0.3">
      <c r="A3269" s="4">
        <v>9</v>
      </c>
      <c r="B3269" t="s">
        <v>11</v>
      </c>
      <c r="C3269" s="4">
        <v>25.96</v>
      </c>
      <c r="D3269" t="s">
        <v>18</v>
      </c>
      <c r="E3269" t="s">
        <v>13</v>
      </c>
      <c r="F3269" s="4" t="s">
        <v>27</v>
      </c>
      <c r="G3269" s="4" t="s">
        <v>15</v>
      </c>
      <c r="H3269" s="4">
        <v>2</v>
      </c>
      <c r="I3269" s="4">
        <v>3</v>
      </c>
      <c r="J3269" s="1">
        <v>45720</v>
      </c>
      <c r="K3269" s="2">
        <v>6.619212962962963E-3</v>
      </c>
      <c r="M3269" s="4" t="str">
        <f t="shared" si="153"/>
        <v>LOW</v>
      </c>
      <c r="N3269" s="4" t="str" cm="1">
        <f t="array" ref="N3269">_xlfn.IFS(C3269&gt;35,"HIGH",C3269&gt;25,"MIDDLE",TRUE,"LOW")</f>
        <v>MIDDLE</v>
      </c>
      <c r="O3269" s="4" t="str">
        <f t="shared" si="154"/>
        <v>OTHERS</v>
      </c>
      <c r="P3269" s="4" t="str">
        <f t="shared" si="155"/>
        <v>PREMINUM MORNING</v>
      </c>
    </row>
    <row r="3270" spans="1:16" x14ac:dyDescent="0.3">
      <c r="A3270" s="4">
        <v>9</v>
      </c>
      <c r="B3270" t="s">
        <v>11</v>
      </c>
      <c r="C3270" s="4">
        <v>25.96</v>
      </c>
      <c r="D3270" t="s">
        <v>18</v>
      </c>
      <c r="E3270" t="s">
        <v>13</v>
      </c>
      <c r="F3270" s="4" t="s">
        <v>27</v>
      </c>
      <c r="G3270" s="4" t="s">
        <v>15</v>
      </c>
      <c r="H3270" s="4">
        <v>2</v>
      </c>
      <c r="I3270" s="4">
        <v>3</v>
      </c>
      <c r="J3270" s="1">
        <v>45720</v>
      </c>
      <c r="K3270" s="2">
        <v>7.2013888888888891E-3</v>
      </c>
      <c r="M3270" s="4" t="str">
        <f t="shared" si="153"/>
        <v>LOW</v>
      </c>
      <c r="N3270" s="4" t="str" cm="1">
        <f t="array" ref="N3270">_xlfn.IFS(C3270&gt;35,"HIGH",C3270&gt;25,"MIDDLE",TRUE,"LOW")</f>
        <v>MIDDLE</v>
      </c>
      <c r="O3270" s="4" t="str">
        <f t="shared" si="154"/>
        <v>OTHERS</v>
      </c>
      <c r="P3270" s="4" t="str">
        <f t="shared" si="155"/>
        <v>PREMINUM MORNING</v>
      </c>
    </row>
    <row r="3271" spans="1:16" x14ac:dyDescent="0.3">
      <c r="A3271" s="4">
        <v>9</v>
      </c>
      <c r="B3271" t="s">
        <v>11</v>
      </c>
      <c r="C3271" s="4">
        <v>25.96</v>
      </c>
      <c r="D3271" t="s">
        <v>18</v>
      </c>
      <c r="E3271" t="s">
        <v>13</v>
      </c>
      <c r="F3271" s="4" t="s">
        <v>27</v>
      </c>
      <c r="G3271" s="4" t="s">
        <v>15</v>
      </c>
      <c r="H3271" s="4">
        <v>2</v>
      </c>
      <c r="I3271" s="4">
        <v>3</v>
      </c>
      <c r="J3271" s="1">
        <v>45720</v>
      </c>
      <c r="K3271" s="2">
        <v>4.0708333333333332E-2</v>
      </c>
      <c r="M3271" s="4" t="str">
        <f t="shared" si="153"/>
        <v>LOW</v>
      </c>
      <c r="N3271" s="4" t="str" cm="1">
        <f t="array" ref="N3271">_xlfn.IFS(C3271&gt;35,"HIGH",C3271&gt;25,"MIDDLE",TRUE,"LOW")</f>
        <v>MIDDLE</v>
      </c>
      <c r="O3271" s="4" t="str">
        <f t="shared" si="154"/>
        <v>OTHERS</v>
      </c>
      <c r="P3271" s="4" t="str">
        <f t="shared" si="155"/>
        <v>PREMINUM MORNING</v>
      </c>
    </row>
    <row r="3272" spans="1:16" x14ac:dyDescent="0.3">
      <c r="A3272" s="4">
        <v>11</v>
      </c>
      <c r="B3272" t="s">
        <v>11</v>
      </c>
      <c r="C3272" s="4">
        <v>30.86</v>
      </c>
      <c r="D3272" t="s">
        <v>19</v>
      </c>
      <c r="E3272" t="s">
        <v>13</v>
      </c>
      <c r="F3272" s="4" t="s">
        <v>27</v>
      </c>
      <c r="G3272" s="4" t="s">
        <v>15</v>
      </c>
      <c r="H3272" s="4">
        <v>2</v>
      </c>
      <c r="I3272" s="4">
        <v>3</v>
      </c>
      <c r="J3272" s="1">
        <v>45720</v>
      </c>
      <c r="K3272" s="2">
        <v>2.8009259259259259E-3</v>
      </c>
      <c r="M3272" s="4" t="str">
        <f t="shared" si="153"/>
        <v>LOW</v>
      </c>
      <c r="N3272" s="4" t="str" cm="1">
        <f t="array" ref="N3272">_xlfn.IFS(C3272&gt;35,"HIGH",C3272&gt;25,"MIDDLE",TRUE,"LOW")</f>
        <v>MIDDLE</v>
      </c>
      <c r="O3272" s="4" t="str">
        <f t="shared" si="154"/>
        <v>OTHERS</v>
      </c>
      <c r="P3272" s="4" t="str">
        <f t="shared" si="155"/>
        <v>PREMINUM MORNING</v>
      </c>
    </row>
    <row r="3273" spans="1:16" x14ac:dyDescent="0.3">
      <c r="A3273" s="4">
        <v>11</v>
      </c>
      <c r="B3273" t="s">
        <v>11</v>
      </c>
      <c r="C3273" s="4">
        <v>25.96</v>
      </c>
      <c r="D3273" t="s">
        <v>18</v>
      </c>
      <c r="E3273" t="s">
        <v>13</v>
      </c>
      <c r="F3273" s="4" t="s">
        <v>27</v>
      </c>
      <c r="G3273" s="4" t="s">
        <v>15</v>
      </c>
      <c r="H3273" s="4">
        <v>2</v>
      </c>
      <c r="I3273" s="4">
        <v>3</v>
      </c>
      <c r="J3273" s="1">
        <v>45720</v>
      </c>
      <c r="K3273" s="2">
        <v>3.5532407407407409E-3</v>
      </c>
      <c r="M3273" s="4" t="str">
        <f t="shared" si="153"/>
        <v>LOW</v>
      </c>
      <c r="N3273" s="4" t="str" cm="1">
        <f t="array" ref="N3273">_xlfn.IFS(C3273&gt;35,"HIGH",C3273&gt;25,"MIDDLE",TRUE,"LOW")</f>
        <v>MIDDLE</v>
      </c>
      <c r="O3273" s="4" t="str">
        <f t="shared" si="154"/>
        <v>OTHERS</v>
      </c>
      <c r="P3273" s="4" t="str">
        <f t="shared" si="155"/>
        <v>PREMINUM MORNING</v>
      </c>
    </row>
    <row r="3274" spans="1:16" x14ac:dyDescent="0.3">
      <c r="A3274" s="4">
        <v>11</v>
      </c>
      <c r="B3274" t="s">
        <v>11</v>
      </c>
      <c r="C3274" s="4">
        <v>25.96</v>
      </c>
      <c r="D3274" t="s">
        <v>18</v>
      </c>
      <c r="E3274" t="s">
        <v>13</v>
      </c>
      <c r="F3274" s="4" t="s">
        <v>27</v>
      </c>
      <c r="G3274" s="4" t="s">
        <v>15</v>
      </c>
      <c r="H3274" s="4">
        <v>2</v>
      </c>
      <c r="I3274" s="4">
        <v>3</v>
      </c>
      <c r="J3274" s="1">
        <v>45720</v>
      </c>
      <c r="K3274" s="2">
        <v>3.2420138888888887E-2</v>
      </c>
      <c r="M3274" s="4" t="str">
        <f t="shared" si="153"/>
        <v>LOW</v>
      </c>
      <c r="N3274" s="4" t="str" cm="1">
        <f t="array" ref="N3274">_xlfn.IFS(C3274&gt;35,"HIGH",C3274&gt;25,"MIDDLE",TRUE,"LOW")</f>
        <v>MIDDLE</v>
      </c>
      <c r="O3274" s="4" t="str">
        <f t="shared" si="154"/>
        <v>OTHERS</v>
      </c>
      <c r="P3274" s="4" t="str">
        <f t="shared" si="155"/>
        <v>PREMINUM MORNING</v>
      </c>
    </row>
    <row r="3275" spans="1:16" x14ac:dyDescent="0.3">
      <c r="A3275" s="4">
        <v>11</v>
      </c>
      <c r="B3275" t="s">
        <v>11</v>
      </c>
      <c r="C3275" s="4">
        <v>25.96</v>
      </c>
      <c r="D3275" t="s">
        <v>18</v>
      </c>
      <c r="E3275" t="s">
        <v>13</v>
      </c>
      <c r="F3275" s="4" t="s">
        <v>27</v>
      </c>
      <c r="G3275" s="4" t="s">
        <v>15</v>
      </c>
      <c r="H3275" s="4">
        <v>2</v>
      </c>
      <c r="I3275" s="4">
        <v>3</v>
      </c>
      <c r="J3275" s="1">
        <v>45720</v>
      </c>
      <c r="K3275" s="2">
        <v>3.2922453703703704E-2</v>
      </c>
      <c r="M3275" s="4" t="str">
        <f t="shared" si="153"/>
        <v>LOW</v>
      </c>
      <c r="N3275" s="4" t="str" cm="1">
        <f t="array" ref="N3275">_xlfn.IFS(C3275&gt;35,"HIGH",C3275&gt;25,"MIDDLE",TRUE,"LOW")</f>
        <v>MIDDLE</v>
      </c>
      <c r="O3275" s="4" t="str">
        <f t="shared" si="154"/>
        <v>OTHERS</v>
      </c>
      <c r="P3275" s="4" t="str">
        <f t="shared" si="155"/>
        <v>PREMINUM MORNING</v>
      </c>
    </row>
    <row r="3276" spans="1:16" x14ac:dyDescent="0.3">
      <c r="A3276" s="4">
        <v>11</v>
      </c>
      <c r="B3276" t="s">
        <v>11</v>
      </c>
      <c r="C3276" s="4">
        <v>25.96</v>
      </c>
      <c r="D3276" t="s">
        <v>18</v>
      </c>
      <c r="E3276" t="s">
        <v>13</v>
      </c>
      <c r="F3276" s="4" t="s">
        <v>27</v>
      </c>
      <c r="G3276" s="4" t="s">
        <v>15</v>
      </c>
      <c r="H3276" s="4">
        <v>2</v>
      </c>
      <c r="I3276" s="4">
        <v>3</v>
      </c>
      <c r="J3276" s="1">
        <v>45720</v>
      </c>
      <c r="K3276" s="2">
        <v>3.5819444444444445E-2</v>
      </c>
      <c r="M3276" s="4" t="str">
        <f t="shared" si="153"/>
        <v>LOW</v>
      </c>
      <c r="N3276" s="4" t="str" cm="1">
        <f t="array" ref="N3276">_xlfn.IFS(C3276&gt;35,"HIGH",C3276&gt;25,"MIDDLE",TRUE,"LOW")</f>
        <v>MIDDLE</v>
      </c>
      <c r="O3276" s="4" t="str">
        <f t="shared" si="154"/>
        <v>OTHERS</v>
      </c>
      <c r="P3276" s="4" t="str">
        <f t="shared" si="155"/>
        <v>PREMINUM MORNING</v>
      </c>
    </row>
    <row r="3277" spans="1:16" x14ac:dyDescent="0.3">
      <c r="A3277" s="4">
        <v>12</v>
      </c>
      <c r="B3277" t="s">
        <v>11</v>
      </c>
      <c r="C3277" s="4">
        <v>35.76</v>
      </c>
      <c r="D3277" t="s">
        <v>21</v>
      </c>
      <c r="E3277" t="s">
        <v>17</v>
      </c>
      <c r="F3277" s="4" t="s">
        <v>27</v>
      </c>
      <c r="G3277" s="4" t="s">
        <v>15</v>
      </c>
      <c r="H3277" s="4">
        <v>2</v>
      </c>
      <c r="I3277" s="4">
        <v>3</v>
      </c>
      <c r="J3277" s="1">
        <v>45720</v>
      </c>
      <c r="K3277" s="2">
        <v>1.8046296296296296E-2</v>
      </c>
      <c r="M3277" s="4" t="str">
        <f t="shared" si="153"/>
        <v>HIGH</v>
      </c>
      <c r="N3277" s="4" t="str" cm="1">
        <f t="array" ref="N3277">_xlfn.IFS(C3277&gt;35,"HIGH",C3277&gt;25,"MIDDLE",TRUE,"LOW")</f>
        <v>HIGH</v>
      </c>
      <c r="O3277" s="4" t="str">
        <f t="shared" si="154"/>
        <v>OTHERS</v>
      </c>
      <c r="P3277" s="4" t="str">
        <f t="shared" si="155"/>
        <v>PREMINUM MORNING</v>
      </c>
    </row>
    <row r="3278" spans="1:16" x14ac:dyDescent="0.3">
      <c r="A3278" s="4">
        <v>16</v>
      </c>
      <c r="B3278" t="s">
        <v>11</v>
      </c>
      <c r="C3278" s="4">
        <v>25.96</v>
      </c>
      <c r="D3278" t="s">
        <v>18</v>
      </c>
      <c r="E3278" t="s">
        <v>17</v>
      </c>
      <c r="F3278" s="4" t="s">
        <v>27</v>
      </c>
      <c r="G3278" s="4" t="s">
        <v>15</v>
      </c>
      <c r="H3278" s="4">
        <v>2</v>
      </c>
      <c r="I3278" s="4">
        <v>3</v>
      </c>
      <c r="J3278" s="1">
        <v>45720</v>
      </c>
      <c r="K3278" s="2">
        <v>3.400925925925926E-2</v>
      </c>
      <c r="M3278" s="4" t="str">
        <f t="shared" si="153"/>
        <v>LOW</v>
      </c>
      <c r="N3278" s="4" t="str" cm="1">
        <f t="array" ref="N3278">_xlfn.IFS(C3278&gt;35,"HIGH",C3278&gt;25,"MIDDLE",TRUE,"LOW")</f>
        <v>MIDDLE</v>
      </c>
      <c r="O3278" s="4" t="str">
        <f t="shared" si="154"/>
        <v>OTHERS</v>
      </c>
      <c r="P3278" s="4" t="str">
        <f t="shared" si="155"/>
        <v>OTHERS</v>
      </c>
    </row>
    <row r="3279" spans="1:16" x14ac:dyDescent="0.3">
      <c r="A3279" s="4">
        <v>18</v>
      </c>
      <c r="B3279" t="s">
        <v>11</v>
      </c>
      <c r="C3279" s="4">
        <v>35.76</v>
      </c>
      <c r="D3279" t="s">
        <v>21</v>
      </c>
      <c r="E3279" t="s">
        <v>20</v>
      </c>
      <c r="F3279" s="4" t="s">
        <v>27</v>
      </c>
      <c r="G3279" s="4" t="s">
        <v>15</v>
      </c>
      <c r="H3279" s="4">
        <v>2</v>
      </c>
      <c r="I3279" s="4">
        <v>3</v>
      </c>
      <c r="J3279" s="1">
        <v>45720</v>
      </c>
      <c r="K3279" s="2">
        <v>3.0114583333333333E-2</v>
      </c>
      <c r="M3279" s="4" t="str">
        <f t="shared" si="153"/>
        <v>HIGH</v>
      </c>
      <c r="N3279" s="4" t="str" cm="1">
        <f t="array" ref="N3279">_xlfn.IFS(C3279&gt;35,"HIGH",C3279&gt;25,"MIDDLE",TRUE,"LOW")</f>
        <v>HIGH</v>
      </c>
      <c r="O3279" s="4" t="str">
        <f t="shared" si="154"/>
        <v>OTHERS</v>
      </c>
      <c r="P3279" s="4" t="str">
        <f t="shared" si="155"/>
        <v>PREMINUM MORNING</v>
      </c>
    </row>
    <row r="3280" spans="1:16" x14ac:dyDescent="0.3">
      <c r="A3280" s="4">
        <v>19</v>
      </c>
      <c r="B3280" t="s">
        <v>11</v>
      </c>
      <c r="C3280" s="4">
        <v>35.76</v>
      </c>
      <c r="D3280" t="s">
        <v>12</v>
      </c>
      <c r="E3280" t="s">
        <v>20</v>
      </c>
      <c r="F3280" s="4" t="s">
        <v>27</v>
      </c>
      <c r="G3280" s="4" t="s">
        <v>15</v>
      </c>
      <c r="H3280" s="4">
        <v>2</v>
      </c>
      <c r="I3280" s="4">
        <v>3</v>
      </c>
      <c r="J3280" s="1">
        <v>45720</v>
      </c>
      <c r="K3280" s="2">
        <v>7.0543981481481482E-3</v>
      </c>
      <c r="M3280" s="4" t="str">
        <f t="shared" si="153"/>
        <v>HIGH</v>
      </c>
      <c r="N3280" s="4" t="str" cm="1">
        <f t="array" ref="N3280">_xlfn.IFS(C3280&gt;35,"HIGH",C3280&gt;25,"MIDDLE",TRUE,"LOW")</f>
        <v>HIGH</v>
      </c>
      <c r="O3280" s="4" t="str">
        <f t="shared" si="154"/>
        <v>OTHERS</v>
      </c>
      <c r="P3280" s="4" t="str">
        <f t="shared" si="155"/>
        <v>PREMINUM MORNING</v>
      </c>
    </row>
    <row r="3281" spans="1:16" x14ac:dyDescent="0.3">
      <c r="A3281" s="4">
        <v>20</v>
      </c>
      <c r="B3281" t="s">
        <v>11</v>
      </c>
      <c r="C3281" s="4">
        <v>35.76</v>
      </c>
      <c r="D3281" t="s">
        <v>12</v>
      </c>
      <c r="E3281" t="s">
        <v>20</v>
      </c>
      <c r="F3281" s="4" t="s">
        <v>27</v>
      </c>
      <c r="G3281" s="4" t="s">
        <v>15</v>
      </c>
      <c r="H3281" s="4">
        <v>2</v>
      </c>
      <c r="I3281" s="4">
        <v>3</v>
      </c>
      <c r="J3281" s="1">
        <v>45720</v>
      </c>
      <c r="K3281" s="2">
        <v>6.2569444444444443E-3</v>
      </c>
      <c r="M3281" s="4" t="str">
        <f t="shared" si="153"/>
        <v>HIGH</v>
      </c>
      <c r="N3281" s="4" t="str" cm="1">
        <f t="array" ref="N3281">_xlfn.IFS(C3281&gt;35,"HIGH",C3281&gt;25,"MIDDLE",TRUE,"LOW")</f>
        <v>HIGH</v>
      </c>
      <c r="O3281" s="4" t="str">
        <f t="shared" si="154"/>
        <v>OTHERS</v>
      </c>
      <c r="P3281" s="4" t="str">
        <f t="shared" si="155"/>
        <v>PREMINUM MORNING</v>
      </c>
    </row>
    <row r="3282" spans="1:16" x14ac:dyDescent="0.3">
      <c r="A3282" s="4">
        <v>8</v>
      </c>
      <c r="B3282" t="s">
        <v>11</v>
      </c>
      <c r="C3282" s="4">
        <v>30.86</v>
      </c>
      <c r="D3282" t="s">
        <v>19</v>
      </c>
      <c r="E3282" t="s">
        <v>13</v>
      </c>
      <c r="F3282" s="4" t="s">
        <v>28</v>
      </c>
      <c r="G3282" s="4" t="s">
        <v>15</v>
      </c>
      <c r="H3282" s="4">
        <v>3</v>
      </c>
      <c r="I3282" s="4">
        <v>3</v>
      </c>
      <c r="J3282" s="1">
        <v>45721</v>
      </c>
      <c r="K3282" s="2">
        <v>2.7680555555555555E-2</v>
      </c>
      <c r="M3282" s="4" t="str">
        <f t="shared" si="153"/>
        <v>LOW</v>
      </c>
      <c r="N3282" s="4" t="str" cm="1">
        <f t="array" ref="N3282">_xlfn.IFS(C3282&gt;35,"HIGH",C3282&gt;25,"MIDDLE",TRUE,"LOW")</f>
        <v>MIDDLE</v>
      </c>
      <c r="O3282" s="4" t="str">
        <f t="shared" si="154"/>
        <v>OTHERS</v>
      </c>
      <c r="P3282" s="4" t="str">
        <f t="shared" si="155"/>
        <v>PREMINUM MORNING</v>
      </c>
    </row>
    <row r="3283" spans="1:16" x14ac:dyDescent="0.3">
      <c r="A3283" s="4">
        <v>9</v>
      </c>
      <c r="B3283" t="s">
        <v>11</v>
      </c>
      <c r="C3283" s="4">
        <v>25.96</v>
      </c>
      <c r="D3283" t="s">
        <v>18</v>
      </c>
      <c r="E3283" t="s">
        <v>13</v>
      </c>
      <c r="F3283" s="4" t="s">
        <v>28</v>
      </c>
      <c r="G3283" s="4" t="s">
        <v>15</v>
      </c>
      <c r="H3283" s="4">
        <v>3</v>
      </c>
      <c r="I3283" s="4">
        <v>3</v>
      </c>
      <c r="J3283" s="1">
        <v>45721</v>
      </c>
      <c r="K3283" s="2">
        <v>2.6670138888888893E-2</v>
      </c>
      <c r="M3283" s="4" t="str">
        <f t="shared" si="153"/>
        <v>LOW</v>
      </c>
      <c r="N3283" s="4" t="str" cm="1">
        <f t="array" ref="N3283">_xlfn.IFS(C3283&gt;35,"HIGH",C3283&gt;25,"MIDDLE",TRUE,"LOW")</f>
        <v>MIDDLE</v>
      </c>
      <c r="O3283" s="4" t="str">
        <f t="shared" si="154"/>
        <v>OTHERS</v>
      </c>
      <c r="P3283" s="4" t="str">
        <f t="shared" si="155"/>
        <v>PREMINUM MORNING</v>
      </c>
    </row>
    <row r="3284" spans="1:16" x14ac:dyDescent="0.3">
      <c r="A3284" s="4">
        <v>10</v>
      </c>
      <c r="B3284" t="s">
        <v>11</v>
      </c>
      <c r="C3284" s="4">
        <v>25.96</v>
      </c>
      <c r="D3284" t="s">
        <v>18</v>
      </c>
      <c r="E3284" t="s">
        <v>13</v>
      </c>
      <c r="F3284" s="4" t="s">
        <v>28</v>
      </c>
      <c r="G3284" s="4" t="s">
        <v>15</v>
      </c>
      <c r="H3284" s="4">
        <v>3</v>
      </c>
      <c r="I3284" s="4">
        <v>3</v>
      </c>
      <c r="J3284" s="1">
        <v>45721</v>
      </c>
      <c r="K3284" s="2">
        <v>8.599537037037037E-4</v>
      </c>
      <c r="M3284" s="4" t="str">
        <f t="shared" si="153"/>
        <v>LOW</v>
      </c>
      <c r="N3284" s="4" t="str" cm="1">
        <f t="array" ref="N3284">_xlfn.IFS(C3284&gt;35,"HIGH",C3284&gt;25,"MIDDLE",TRUE,"LOW")</f>
        <v>MIDDLE</v>
      </c>
      <c r="O3284" s="4" t="str">
        <f t="shared" si="154"/>
        <v>OTHERS</v>
      </c>
      <c r="P3284" s="4" t="str">
        <f t="shared" si="155"/>
        <v>PREMINUM MORNING</v>
      </c>
    </row>
    <row r="3285" spans="1:16" x14ac:dyDescent="0.3">
      <c r="A3285" s="4">
        <v>10</v>
      </c>
      <c r="B3285" t="s">
        <v>11</v>
      </c>
      <c r="C3285" s="4">
        <v>25.96</v>
      </c>
      <c r="D3285" t="s">
        <v>18</v>
      </c>
      <c r="E3285" t="s">
        <v>13</v>
      </c>
      <c r="F3285" s="4" t="s">
        <v>28</v>
      </c>
      <c r="G3285" s="4" t="s">
        <v>15</v>
      </c>
      <c r="H3285" s="4">
        <v>3</v>
      </c>
      <c r="I3285" s="4">
        <v>3</v>
      </c>
      <c r="J3285" s="1">
        <v>45721</v>
      </c>
      <c r="K3285" s="2">
        <v>1.4386574074074074E-3</v>
      </c>
      <c r="M3285" s="4" t="str">
        <f t="shared" si="153"/>
        <v>LOW</v>
      </c>
      <c r="N3285" s="4" t="str" cm="1">
        <f t="array" ref="N3285">_xlfn.IFS(C3285&gt;35,"HIGH",C3285&gt;25,"MIDDLE",TRUE,"LOW")</f>
        <v>MIDDLE</v>
      </c>
      <c r="O3285" s="4" t="str">
        <f t="shared" si="154"/>
        <v>OTHERS</v>
      </c>
      <c r="P3285" s="4" t="str">
        <f t="shared" si="155"/>
        <v>PREMINUM MORNING</v>
      </c>
    </row>
    <row r="3286" spans="1:16" x14ac:dyDescent="0.3">
      <c r="A3286" s="4">
        <v>10</v>
      </c>
      <c r="B3286" t="s">
        <v>11</v>
      </c>
      <c r="C3286" s="4">
        <v>35.76</v>
      </c>
      <c r="D3286" t="s">
        <v>29</v>
      </c>
      <c r="E3286" t="s">
        <v>13</v>
      </c>
      <c r="F3286" s="4" t="s">
        <v>28</v>
      </c>
      <c r="G3286" s="4" t="s">
        <v>15</v>
      </c>
      <c r="H3286" s="4">
        <v>3</v>
      </c>
      <c r="I3286" s="4">
        <v>3</v>
      </c>
      <c r="J3286" s="1">
        <v>45721</v>
      </c>
      <c r="K3286" s="2">
        <v>7.5289351851851854E-3</v>
      </c>
      <c r="M3286" s="4" t="str">
        <f t="shared" si="153"/>
        <v>HIGH</v>
      </c>
      <c r="N3286" s="4" t="str" cm="1">
        <f t="array" ref="N3286">_xlfn.IFS(C3286&gt;35,"HIGH",C3286&gt;25,"MIDDLE",TRUE,"LOW")</f>
        <v>HIGH</v>
      </c>
      <c r="O3286" s="4" t="str">
        <f t="shared" si="154"/>
        <v>PREMINUM MORNING</v>
      </c>
      <c r="P3286" s="4" t="str">
        <f t="shared" si="155"/>
        <v>PREMINUM MORNING</v>
      </c>
    </row>
    <row r="3287" spans="1:16" x14ac:dyDescent="0.3">
      <c r="A3287" s="4">
        <v>10</v>
      </c>
      <c r="B3287" t="s">
        <v>11</v>
      </c>
      <c r="C3287" s="4">
        <v>30.86</v>
      </c>
      <c r="D3287" t="s">
        <v>19</v>
      </c>
      <c r="E3287" t="s">
        <v>13</v>
      </c>
      <c r="F3287" s="4" t="s">
        <v>28</v>
      </c>
      <c r="G3287" s="4" t="s">
        <v>15</v>
      </c>
      <c r="H3287" s="4">
        <v>3</v>
      </c>
      <c r="I3287" s="4">
        <v>3</v>
      </c>
      <c r="J3287" s="1">
        <v>45721</v>
      </c>
      <c r="K3287" s="2">
        <v>2.8180555555555559E-2</v>
      </c>
      <c r="M3287" s="4" t="str">
        <f t="shared" si="153"/>
        <v>LOW</v>
      </c>
      <c r="N3287" s="4" t="str" cm="1">
        <f t="array" ref="N3287">_xlfn.IFS(C3287&gt;35,"HIGH",C3287&gt;25,"MIDDLE",TRUE,"LOW")</f>
        <v>MIDDLE</v>
      </c>
      <c r="O3287" s="4" t="str">
        <f t="shared" si="154"/>
        <v>OTHERS</v>
      </c>
      <c r="P3287" s="4" t="str">
        <f t="shared" si="155"/>
        <v>PREMINUM MORNING</v>
      </c>
    </row>
    <row r="3288" spans="1:16" x14ac:dyDescent="0.3">
      <c r="A3288" s="4">
        <v>11</v>
      </c>
      <c r="B3288" t="s">
        <v>11</v>
      </c>
      <c r="C3288" s="4">
        <v>35.76</v>
      </c>
      <c r="D3288" t="s">
        <v>29</v>
      </c>
      <c r="E3288" t="s">
        <v>13</v>
      </c>
      <c r="F3288" s="4" t="s">
        <v>28</v>
      </c>
      <c r="G3288" s="4" t="s">
        <v>15</v>
      </c>
      <c r="H3288" s="4">
        <v>3</v>
      </c>
      <c r="I3288" s="4">
        <v>3</v>
      </c>
      <c r="J3288" s="1">
        <v>45721</v>
      </c>
      <c r="K3288" s="2">
        <v>5.9212962962962969E-3</v>
      </c>
      <c r="M3288" s="4" t="str">
        <f t="shared" si="153"/>
        <v>HIGH</v>
      </c>
      <c r="N3288" s="4" t="str" cm="1">
        <f t="array" ref="N3288">_xlfn.IFS(C3288&gt;35,"HIGH",C3288&gt;25,"MIDDLE",TRUE,"LOW")</f>
        <v>HIGH</v>
      </c>
      <c r="O3288" s="4" t="str">
        <f t="shared" si="154"/>
        <v>PREMINUM MORNING</v>
      </c>
      <c r="P3288" s="4" t="str">
        <f t="shared" si="155"/>
        <v>PREMINUM MORNING</v>
      </c>
    </row>
    <row r="3289" spans="1:16" x14ac:dyDescent="0.3">
      <c r="A3289" s="4">
        <v>11</v>
      </c>
      <c r="B3289" t="s">
        <v>11</v>
      </c>
      <c r="C3289" s="4">
        <v>35.76</v>
      </c>
      <c r="D3289" t="s">
        <v>21</v>
      </c>
      <c r="E3289" t="s">
        <v>13</v>
      </c>
      <c r="F3289" s="4" t="s">
        <v>28</v>
      </c>
      <c r="G3289" s="4" t="s">
        <v>15</v>
      </c>
      <c r="H3289" s="4">
        <v>3</v>
      </c>
      <c r="I3289" s="4">
        <v>3</v>
      </c>
      <c r="J3289" s="1">
        <v>45721</v>
      </c>
      <c r="K3289" s="2">
        <v>7.5717592592592598E-3</v>
      </c>
      <c r="M3289" s="4" t="str">
        <f t="shared" si="153"/>
        <v>HIGH</v>
      </c>
      <c r="N3289" s="4" t="str" cm="1">
        <f t="array" ref="N3289">_xlfn.IFS(C3289&gt;35,"HIGH",C3289&gt;25,"MIDDLE",TRUE,"LOW")</f>
        <v>HIGH</v>
      </c>
      <c r="O3289" s="4" t="str">
        <f t="shared" si="154"/>
        <v>PREMINUM MORNING</v>
      </c>
      <c r="P3289" s="4" t="str">
        <f t="shared" si="155"/>
        <v>PREMINUM MORNING</v>
      </c>
    </row>
    <row r="3290" spans="1:16" x14ac:dyDescent="0.3">
      <c r="A3290" s="4">
        <v>11</v>
      </c>
      <c r="B3290" t="s">
        <v>11</v>
      </c>
      <c r="C3290" s="4">
        <v>25.96</v>
      </c>
      <c r="D3290" t="s">
        <v>18</v>
      </c>
      <c r="E3290" t="s">
        <v>13</v>
      </c>
      <c r="F3290" s="4" t="s">
        <v>28</v>
      </c>
      <c r="G3290" s="4" t="s">
        <v>15</v>
      </c>
      <c r="H3290" s="4">
        <v>3</v>
      </c>
      <c r="I3290" s="4">
        <v>3</v>
      </c>
      <c r="J3290" s="1">
        <v>45721</v>
      </c>
      <c r="K3290" s="2">
        <v>2.6981481481481478E-2</v>
      </c>
      <c r="M3290" s="4" t="str">
        <f t="shared" si="153"/>
        <v>LOW</v>
      </c>
      <c r="N3290" s="4" t="str" cm="1">
        <f t="array" ref="N3290">_xlfn.IFS(C3290&gt;35,"HIGH",C3290&gt;25,"MIDDLE",TRUE,"LOW")</f>
        <v>MIDDLE</v>
      </c>
      <c r="O3290" s="4" t="str">
        <f t="shared" si="154"/>
        <v>OTHERS</v>
      </c>
      <c r="P3290" s="4" t="str">
        <f t="shared" si="155"/>
        <v>PREMINUM MORNING</v>
      </c>
    </row>
    <row r="3291" spans="1:16" x14ac:dyDescent="0.3">
      <c r="A3291" s="4">
        <v>11</v>
      </c>
      <c r="B3291" t="s">
        <v>11</v>
      </c>
      <c r="C3291" s="4">
        <v>25.96</v>
      </c>
      <c r="D3291" t="s">
        <v>18</v>
      </c>
      <c r="E3291" t="s">
        <v>13</v>
      </c>
      <c r="F3291" s="4" t="s">
        <v>28</v>
      </c>
      <c r="G3291" s="4" t="s">
        <v>15</v>
      </c>
      <c r="H3291" s="4">
        <v>3</v>
      </c>
      <c r="I3291" s="4">
        <v>3</v>
      </c>
      <c r="J3291" s="1">
        <v>45721</v>
      </c>
      <c r="K3291" s="2">
        <v>2.8731481481481483E-2</v>
      </c>
      <c r="M3291" s="4" t="str">
        <f t="shared" si="153"/>
        <v>LOW</v>
      </c>
      <c r="N3291" s="4" t="str" cm="1">
        <f t="array" ref="N3291">_xlfn.IFS(C3291&gt;35,"HIGH",C3291&gt;25,"MIDDLE",TRUE,"LOW")</f>
        <v>MIDDLE</v>
      </c>
      <c r="O3291" s="4" t="str">
        <f t="shared" si="154"/>
        <v>OTHERS</v>
      </c>
      <c r="P3291" s="4" t="str">
        <f t="shared" si="155"/>
        <v>PREMINUM MORNING</v>
      </c>
    </row>
    <row r="3292" spans="1:16" x14ac:dyDescent="0.3">
      <c r="A3292" s="4">
        <v>12</v>
      </c>
      <c r="B3292" t="s">
        <v>11</v>
      </c>
      <c r="C3292" s="4">
        <v>25.96</v>
      </c>
      <c r="D3292" t="s">
        <v>18</v>
      </c>
      <c r="E3292" t="s">
        <v>17</v>
      </c>
      <c r="F3292" s="4" t="s">
        <v>28</v>
      </c>
      <c r="G3292" s="4" t="s">
        <v>15</v>
      </c>
      <c r="H3292" s="4">
        <v>3</v>
      </c>
      <c r="I3292" s="4">
        <v>3</v>
      </c>
      <c r="J3292" s="1">
        <v>45721</v>
      </c>
      <c r="K3292" s="2">
        <v>8.9849537037037033E-3</v>
      </c>
      <c r="M3292" s="4" t="str">
        <f t="shared" si="153"/>
        <v>LOW</v>
      </c>
      <c r="N3292" s="4" t="str" cm="1">
        <f t="array" ref="N3292">_xlfn.IFS(C3292&gt;35,"HIGH",C3292&gt;25,"MIDDLE",TRUE,"LOW")</f>
        <v>MIDDLE</v>
      </c>
      <c r="O3292" s="4" t="str">
        <f t="shared" si="154"/>
        <v>OTHERS</v>
      </c>
      <c r="P3292" s="4" t="str">
        <f t="shared" si="155"/>
        <v>OTHERS</v>
      </c>
    </row>
    <row r="3293" spans="1:16" x14ac:dyDescent="0.3">
      <c r="A3293" s="4">
        <v>15</v>
      </c>
      <c r="B3293" t="s">
        <v>11</v>
      </c>
      <c r="C3293" s="4">
        <v>35.76</v>
      </c>
      <c r="D3293" t="s">
        <v>12</v>
      </c>
      <c r="E3293" t="s">
        <v>17</v>
      </c>
      <c r="F3293" s="4" t="s">
        <v>28</v>
      </c>
      <c r="G3293" s="4" t="s">
        <v>15</v>
      </c>
      <c r="H3293" s="4">
        <v>3</v>
      </c>
      <c r="I3293" s="4">
        <v>3</v>
      </c>
      <c r="J3293" s="1">
        <v>45721</v>
      </c>
      <c r="K3293" s="2">
        <v>5.4467592592592597E-3</v>
      </c>
      <c r="M3293" s="4" t="str">
        <f t="shared" si="153"/>
        <v>HIGH</v>
      </c>
      <c r="N3293" s="4" t="str" cm="1">
        <f t="array" ref="N3293">_xlfn.IFS(C3293&gt;35,"HIGH",C3293&gt;25,"MIDDLE",TRUE,"LOW")</f>
        <v>HIGH</v>
      </c>
      <c r="O3293" s="4" t="str">
        <f t="shared" si="154"/>
        <v>OTHERS</v>
      </c>
      <c r="P3293" s="4" t="str">
        <f t="shared" si="155"/>
        <v>PREMINUM MORNING</v>
      </c>
    </row>
    <row r="3294" spans="1:16" x14ac:dyDescent="0.3">
      <c r="A3294" s="4">
        <v>15</v>
      </c>
      <c r="B3294" t="s">
        <v>11</v>
      </c>
      <c r="C3294" s="4">
        <v>35.76</v>
      </c>
      <c r="D3294" t="s">
        <v>12</v>
      </c>
      <c r="E3294" t="s">
        <v>17</v>
      </c>
      <c r="F3294" s="4" t="s">
        <v>28</v>
      </c>
      <c r="G3294" s="4" t="s">
        <v>15</v>
      </c>
      <c r="H3294" s="4">
        <v>3</v>
      </c>
      <c r="I3294" s="4">
        <v>3</v>
      </c>
      <c r="J3294" s="1">
        <v>45721</v>
      </c>
      <c r="K3294" s="2">
        <v>1.4997685185185185E-2</v>
      </c>
      <c r="M3294" s="4" t="str">
        <f t="shared" si="153"/>
        <v>HIGH</v>
      </c>
      <c r="N3294" s="4" t="str" cm="1">
        <f t="array" ref="N3294">_xlfn.IFS(C3294&gt;35,"HIGH",C3294&gt;25,"MIDDLE",TRUE,"LOW")</f>
        <v>HIGH</v>
      </c>
      <c r="O3294" s="4" t="str">
        <f t="shared" si="154"/>
        <v>OTHERS</v>
      </c>
      <c r="P3294" s="4" t="str">
        <f t="shared" si="155"/>
        <v>PREMINUM MORNING</v>
      </c>
    </row>
    <row r="3295" spans="1:16" x14ac:dyDescent="0.3">
      <c r="A3295" s="4">
        <v>15</v>
      </c>
      <c r="B3295" t="s">
        <v>11</v>
      </c>
      <c r="C3295" s="4">
        <v>35.76</v>
      </c>
      <c r="D3295" t="s">
        <v>16</v>
      </c>
      <c r="E3295" t="s">
        <v>17</v>
      </c>
      <c r="F3295" s="4" t="s">
        <v>28</v>
      </c>
      <c r="G3295" s="4" t="s">
        <v>15</v>
      </c>
      <c r="H3295" s="4">
        <v>3</v>
      </c>
      <c r="I3295" s="4">
        <v>3</v>
      </c>
      <c r="J3295" s="1">
        <v>45721</v>
      </c>
      <c r="K3295" s="2">
        <v>1.7493055555555557E-2</v>
      </c>
      <c r="M3295" s="4" t="str">
        <f t="shared" si="153"/>
        <v>HIGH</v>
      </c>
      <c r="N3295" s="4" t="str" cm="1">
        <f t="array" ref="N3295">_xlfn.IFS(C3295&gt;35,"HIGH",C3295&gt;25,"MIDDLE",TRUE,"LOW")</f>
        <v>HIGH</v>
      </c>
      <c r="O3295" s="4" t="str">
        <f t="shared" si="154"/>
        <v>OTHERS</v>
      </c>
      <c r="P3295" s="4" t="str">
        <f t="shared" si="155"/>
        <v>PREMINUM MORNING</v>
      </c>
    </row>
    <row r="3296" spans="1:16" x14ac:dyDescent="0.3">
      <c r="A3296" s="4">
        <v>17</v>
      </c>
      <c r="B3296" t="s">
        <v>11</v>
      </c>
      <c r="C3296" s="4">
        <v>30.86</v>
      </c>
      <c r="D3296" t="s">
        <v>19</v>
      </c>
      <c r="E3296" t="s">
        <v>20</v>
      </c>
      <c r="F3296" s="4" t="s">
        <v>28</v>
      </c>
      <c r="G3296" s="4" t="s">
        <v>15</v>
      </c>
      <c r="H3296" s="4">
        <v>3</v>
      </c>
      <c r="I3296" s="4">
        <v>3</v>
      </c>
      <c r="J3296" s="1">
        <v>45721</v>
      </c>
      <c r="K3296" s="2">
        <v>6.9097222222222225E-3</v>
      </c>
      <c r="M3296" s="4" t="str">
        <f t="shared" si="153"/>
        <v>LOW</v>
      </c>
      <c r="N3296" s="4" t="str" cm="1">
        <f t="array" ref="N3296">_xlfn.IFS(C3296&gt;35,"HIGH",C3296&gt;25,"MIDDLE",TRUE,"LOW")</f>
        <v>MIDDLE</v>
      </c>
      <c r="O3296" s="4" t="str">
        <f t="shared" si="154"/>
        <v>OTHERS</v>
      </c>
      <c r="P3296" s="4" t="str">
        <f t="shared" si="155"/>
        <v>OTHERS</v>
      </c>
    </row>
    <row r="3297" spans="1:16" x14ac:dyDescent="0.3">
      <c r="A3297" s="4">
        <v>17</v>
      </c>
      <c r="B3297" t="s">
        <v>11</v>
      </c>
      <c r="C3297" s="4">
        <v>21.06</v>
      </c>
      <c r="D3297" t="s">
        <v>26</v>
      </c>
      <c r="E3297" t="s">
        <v>20</v>
      </c>
      <c r="F3297" s="4" t="s">
        <v>28</v>
      </c>
      <c r="G3297" s="4" t="s">
        <v>15</v>
      </c>
      <c r="H3297" s="4">
        <v>3</v>
      </c>
      <c r="I3297" s="4">
        <v>3</v>
      </c>
      <c r="J3297" s="1">
        <v>45721</v>
      </c>
      <c r="K3297" s="2">
        <v>1.1384259259259259E-2</v>
      </c>
      <c r="M3297" s="4" t="str">
        <f t="shared" si="153"/>
        <v>LOW</v>
      </c>
      <c r="N3297" s="4" t="str" cm="1">
        <f t="array" ref="N3297">_xlfn.IFS(C3297&gt;35,"HIGH",C3297&gt;25,"MIDDLE",TRUE,"LOW")</f>
        <v>LOW</v>
      </c>
      <c r="O3297" s="4" t="str">
        <f t="shared" si="154"/>
        <v>OTHERS</v>
      </c>
      <c r="P3297" s="4" t="str">
        <f t="shared" si="155"/>
        <v>OTHERS</v>
      </c>
    </row>
    <row r="3298" spans="1:16" x14ac:dyDescent="0.3">
      <c r="A3298" s="4">
        <v>17</v>
      </c>
      <c r="B3298" t="s">
        <v>11</v>
      </c>
      <c r="C3298" s="4">
        <v>35.76</v>
      </c>
      <c r="D3298" t="s">
        <v>12</v>
      </c>
      <c r="E3298" t="s">
        <v>20</v>
      </c>
      <c r="F3298" s="4" t="s">
        <v>28</v>
      </c>
      <c r="G3298" s="4" t="s">
        <v>15</v>
      </c>
      <c r="H3298" s="4">
        <v>3</v>
      </c>
      <c r="I3298" s="4">
        <v>3</v>
      </c>
      <c r="J3298" s="1">
        <v>45721</v>
      </c>
      <c r="K3298" s="2">
        <v>2.2001157407407407E-2</v>
      </c>
      <c r="M3298" s="4" t="str">
        <f t="shared" si="153"/>
        <v>HIGH</v>
      </c>
      <c r="N3298" s="4" t="str" cm="1">
        <f t="array" ref="N3298">_xlfn.IFS(C3298&gt;35,"HIGH",C3298&gt;25,"MIDDLE",TRUE,"LOW")</f>
        <v>HIGH</v>
      </c>
      <c r="O3298" s="4" t="str">
        <f t="shared" si="154"/>
        <v>OTHERS</v>
      </c>
      <c r="P3298" s="4" t="str">
        <f t="shared" si="155"/>
        <v>PREMINUM MORNING</v>
      </c>
    </row>
    <row r="3299" spans="1:16" x14ac:dyDescent="0.3">
      <c r="A3299" s="4">
        <v>18</v>
      </c>
      <c r="B3299" t="s">
        <v>11</v>
      </c>
      <c r="C3299" s="4">
        <v>35.76</v>
      </c>
      <c r="D3299" t="s">
        <v>29</v>
      </c>
      <c r="E3299" t="s">
        <v>20</v>
      </c>
      <c r="F3299" s="4" t="s">
        <v>28</v>
      </c>
      <c r="G3299" s="4" t="s">
        <v>15</v>
      </c>
      <c r="H3299" s="4">
        <v>3</v>
      </c>
      <c r="I3299" s="4">
        <v>3</v>
      </c>
      <c r="J3299" s="1">
        <v>45721</v>
      </c>
      <c r="K3299" s="2">
        <v>9.3402777777777772E-3</v>
      </c>
      <c r="M3299" s="4" t="str">
        <f t="shared" si="153"/>
        <v>HIGH</v>
      </c>
      <c r="N3299" s="4" t="str" cm="1">
        <f t="array" ref="N3299">_xlfn.IFS(C3299&gt;35,"HIGH",C3299&gt;25,"MIDDLE",TRUE,"LOW")</f>
        <v>HIGH</v>
      </c>
      <c r="O3299" s="4" t="str">
        <f t="shared" si="154"/>
        <v>OTHERS</v>
      </c>
      <c r="P3299" s="4" t="str">
        <f t="shared" si="155"/>
        <v>PREMINUM MORNING</v>
      </c>
    </row>
    <row r="3300" spans="1:16" x14ac:dyDescent="0.3">
      <c r="A3300" s="4">
        <v>19</v>
      </c>
      <c r="B3300" t="s">
        <v>11</v>
      </c>
      <c r="C3300" s="4">
        <v>35.76</v>
      </c>
      <c r="D3300" t="s">
        <v>21</v>
      </c>
      <c r="E3300" t="s">
        <v>20</v>
      </c>
      <c r="F3300" s="4" t="s">
        <v>28</v>
      </c>
      <c r="G3300" s="4" t="s">
        <v>15</v>
      </c>
      <c r="H3300" s="4">
        <v>3</v>
      </c>
      <c r="I3300" s="4">
        <v>3</v>
      </c>
      <c r="J3300" s="1">
        <v>45721</v>
      </c>
      <c r="K3300" s="2">
        <v>2.0462962962962965E-3</v>
      </c>
      <c r="M3300" s="4" t="str">
        <f t="shared" si="153"/>
        <v>HIGH</v>
      </c>
      <c r="N3300" s="4" t="str" cm="1">
        <f t="array" ref="N3300">_xlfn.IFS(C3300&gt;35,"HIGH",C3300&gt;25,"MIDDLE",TRUE,"LOW")</f>
        <v>HIGH</v>
      </c>
      <c r="O3300" s="4" t="str">
        <f t="shared" si="154"/>
        <v>OTHERS</v>
      </c>
      <c r="P3300" s="4" t="str">
        <f t="shared" si="155"/>
        <v>PREMINUM MORNING</v>
      </c>
    </row>
    <row r="3301" spans="1:16" x14ac:dyDescent="0.3">
      <c r="A3301" s="4">
        <v>9</v>
      </c>
      <c r="B3301" t="s">
        <v>11</v>
      </c>
      <c r="C3301" s="4">
        <v>35.76</v>
      </c>
      <c r="D3301" t="s">
        <v>16</v>
      </c>
      <c r="E3301" t="s">
        <v>13</v>
      </c>
      <c r="F3301" s="4" t="s">
        <v>30</v>
      </c>
      <c r="G3301" s="4" t="s">
        <v>15</v>
      </c>
      <c r="H3301" s="4">
        <v>4</v>
      </c>
      <c r="I3301" s="4">
        <v>3</v>
      </c>
      <c r="J3301" s="1">
        <v>45722</v>
      </c>
      <c r="K3301" s="2">
        <v>2.3371527777777776E-2</v>
      </c>
      <c r="M3301" s="4" t="str">
        <f t="shared" si="153"/>
        <v>HIGH</v>
      </c>
      <c r="N3301" s="4" t="str" cm="1">
        <f t="array" ref="N3301">_xlfn.IFS(C3301&gt;35,"HIGH",C3301&gt;25,"MIDDLE",TRUE,"LOW")</f>
        <v>HIGH</v>
      </c>
      <c r="O3301" s="4" t="str">
        <f t="shared" si="154"/>
        <v>PREMINUM MORNING</v>
      </c>
      <c r="P3301" s="4" t="str">
        <f t="shared" si="155"/>
        <v>PREMINUM MORNING</v>
      </c>
    </row>
    <row r="3302" spans="1:16" x14ac:dyDescent="0.3">
      <c r="A3302" s="4">
        <v>9</v>
      </c>
      <c r="B3302" t="s">
        <v>11</v>
      </c>
      <c r="C3302" s="4">
        <v>21.06</v>
      </c>
      <c r="D3302" t="s">
        <v>26</v>
      </c>
      <c r="E3302" t="s">
        <v>13</v>
      </c>
      <c r="F3302" s="4" t="s">
        <v>30</v>
      </c>
      <c r="G3302" s="4" t="s">
        <v>15</v>
      </c>
      <c r="H3302" s="4">
        <v>4</v>
      </c>
      <c r="I3302" s="4">
        <v>3</v>
      </c>
      <c r="J3302" s="1">
        <v>45722</v>
      </c>
      <c r="K3302" s="2">
        <v>2.4917824074074075E-2</v>
      </c>
      <c r="M3302" s="4" t="str">
        <f t="shared" si="153"/>
        <v>LOW</v>
      </c>
      <c r="N3302" s="4" t="str" cm="1">
        <f t="array" ref="N3302">_xlfn.IFS(C3302&gt;35,"HIGH",C3302&gt;25,"MIDDLE",TRUE,"LOW")</f>
        <v>LOW</v>
      </c>
      <c r="O3302" s="4" t="str">
        <f t="shared" si="154"/>
        <v>OTHERS</v>
      </c>
      <c r="P3302" s="4" t="str">
        <f t="shared" si="155"/>
        <v>PREMINUM MORNING</v>
      </c>
    </row>
    <row r="3303" spans="1:16" x14ac:dyDescent="0.3">
      <c r="A3303" s="4">
        <v>10</v>
      </c>
      <c r="B3303" t="s">
        <v>11</v>
      </c>
      <c r="C3303" s="4">
        <v>30.86</v>
      </c>
      <c r="D3303" t="s">
        <v>19</v>
      </c>
      <c r="E3303" t="s">
        <v>13</v>
      </c>
      <c r="F3303" s="4" t="s">
        <v>30</v>
      </c>
      <c r="G3303" s="4" t="s">
        <v>15</v>
      </c>
      <c r="H3303" s="4">
        <v>4</v>
      </c>
      <c r="I3303" s="4">
        <v>3</v>
      </c>
      <c r="J3303" s="1">
        <v>45722</v>
      </c>
      <c r="K3303" s="2">
        <v>3.33900462962963E-2</v>
      </c>
      <c r="M3303" s="4" t="str">
        <f t="shared" si="153"/>
        <v>LOW</v>
      </c>
      <c r="N3303" s="4" t="str" cm="1">
        <f t="array" ref="N3303">_xlfn.IFS(C3303&gt;35,"HIGH",C3303&gt;25,"MIDDLE",TRUE,"LOW")</f>
        <v>MIDDLE</v>
      </c>
      <c r="O3303" s="4" t="str">
        <f t="shared" si="154"/>
        <v>OTHERS</v>
      </c>
      <c r="P3303" s="4" t="str">
        <f t="shared" si="155"/>
        <v>PREMINUM MORNING</v>
      </c>
    </row>
    <row r="3304" spans="1:16" x14ac:dyDescent="0.3">
      <c r="A3304" s="4">
        <v>10</v>
      </c>
      <c r="B3304" t="s">
        <v>11</v>
      </c>
      <c r="C3304" s="4">
        <v>25.96</v>
      </c>
      <c r="D3304" t="s">
        <v>18</v>
      </c>
      <c r="E3304" t="s">
        <v>13</v>
      </c>
      <c r="F3304" s="4" t="s">
        <v>30</v>
      </c>
      <c r="G3304" s="4" t="s">
        <v>15</v>
      </c>
      <c r="H3304" s="4">
        <v>4</v>
      </c>
      <c r="I3304" s="4">
        <v>3</v>
      </c>
      <c r="J3304" s="1">
        <v>45722</v>
      </c>
      <c r="K3304" s="2">
        <v>3.94375E-2</v>
      </c>
      <c r="M3304" s="4" t="str">
        <f t="shared" si="153"/>
        <v>LOW</v>
      </c>
      <c r="N3304" s="4" t="str" cm="1">
        <f t="array" ref="N3304">_xlfn.IFS(C3304&gt;35,"HIGH",C3304&gt;25,"MIDDLE",TRUE,"LOW")</f>
        <v>MIDDLE</v>
      </c>
      <c r="O3304" s="4" t="str">
        <f t="shared" si="154"/>
        <v>OTHERS</v>
      </c>
      <c r="P3304" s="4" t="str">
        <f t="shared" si="155"/>
        <v>PREMINUM MORNING</v>
      </c>
    </row>
    <row r="3305" spans="1:16" x14ac:dyDescent="0.3">
      <c r="A3305" s="4">
        <v>10</v>
      </c>
      <c r="B3305" t="s">
        <v>11</v>
      </c>
      <c r="C3305" s="4">
        <v>25.96</v>
      </c>
      <c r="D3305" t="s">
        <v>18</v>
      </c>
      <c r="E3305" t="s">
        <v>13</v>
      </c>
      <c r="F3305" s="4" t="s">
        <v>30</v>
      </c>
      <c r="G3305" s="4" t="s">
        <v>15</v>
      </c>
      <c r="H3305" s="4">
        <v>4</v>
      </c>
      <c r="I3305" s="4">
        <v>3</v>
      </c>
      <c r="J3305" s="1">
        <v>45722</v>
      </c>
      <c r="K3305" s="2">
        <v>3.9988425925925927E-2</v>
      </c>
      <c r="M3305" s="4" t="str">
        <f t="shared" si="153"/>
        <v>LOW</v>
      </c>
      <c r="N3305" s="4" t="str" cm="1">
        <f t="array" ref="N3305">_xlfn.IFS(C3305&gt;35,"HIGH",C3305&gt;25,"MIDDLE",TRUE,"LOW")</f>
        <v>MIDDLE</v>
      </c>
      <c r="O3305" s="4" t="str">
        <f t="shared" si="154"/>
        <v>OTHERS</v>
      </c>
      <c r="P3305" s="4" t="str">
        <f t="shared" si="155"/>
        <v>PREMINUM MORNING</v>
      </c>
    </row>
    <row r="3306" spans="1:16" x14ac:dyDescent="0.3">
      <c r="A3306" s="4">
        <v>11</v>
      </c>
      <c r="B3306" t="s">
        <v>11</v>
      </c>
      <c r="C3306" s="4">
        <v>25.96</v>
      </c>
      <c r="D3306" t="s">
        <v>18</v>
      </c>
      <c r="E3306" t="s">
        <v>13</v>
      </c>
      <c r="F3306" s="4" t="s">
        <v>30</v>
      </c>
      <c r="G3306" s="4" t="s">
        <v>15</v>
      </c>
      <c r="H3306" s="4">
        <v>4</v>
      </c>
      <c r="I3306" s="4">
        <v>3</v>
      </c>
      <c r="J3306" s="1">
        <v>45722</v>
      </c>
      <c r="K3306" s="2">
        <v>3.9768518518518521E-3</v>
      </c>
      <c r="M3306" s="4" t="str">
        <f t="shared" si="153"/>
        <v>LOW</v>
      </c>
      <c r="N3306" s="4" t="str" cm="1">
        <f t="array" ref="N3306">_xlfn.IFS(C3306&gt;35,"HIGH",C3306&gt;25,"MIDDLE",TRUE,"LOW")</f>
        <v>MIDDLE</v>
      </c>
      <c r="O3306" s="4" t="str">
        <f t="shared" si="154"/>
        <v>OTHERS</v>
      </c>
      <c r="P3306" s="4" t="str">
        <f t="shared" si="155"/>
        <v>PREMINUM MORNING</v>
      </c>
    </row>
    <row r="3307" spans="1:16" x14ac:dyDescent="0.3">
      <c r="A3307" s="4">
        <v>11</v>
      </c>
      <c r="B3307" t="s">
        <v>11</v>
      </c>
      <c r="C3307" s="4">
        <v>35.76</v>
      </c>
      <c r="D3307" t="s">
        <v>29</v>
      </c>
      <c r="E3307" t="s">
        <v>13</v>
      </c>
      <c r="F3307" s="4" t="s">
        <v>30</v>
      </c>
      <c r="G3307" s="4" t="s">
        <v>15</v>
      </c>
      <c r="H3307" s="4">
        <v>4</v>
      </c>
      <c r="I3307" s="4">
        <v>3</v>
      </c>
      <c r="J3307" s="1">
        <v>45722</v>
      </c>
      <c r="K3307" s="2">
        <v>1.224537037037037E-2</v>
      </c>
      <c r="M3307" s="4" t="str">
        <f t="shared" si="153"/>
        <v>HIGH</v>
      </c>
      <c r="N3307" s="4" t="str" cm="1">
        <f t="array" ref="N3307">_xlfn.IFS(C3307&gt;35,"HIGH",C3307&gt;25,"MIDDLE",TRUE,"LOW")</f>
        <v>HIGH</v>
      </c>
      <c r="O3307" s="4" t="str">
        <f t="shared" si="154"/>
        <v>PREMINUM MORNING</v>
      </c>
      <c r="P3307" s="4" t="str">
        <f t="shared" si="155"/>
        <v>PREMINUM MORNING</v>
      </c>
    </row>
    <row r="3308" spans="1:16" x14ac:dyDescent="0.3">
      <c r="A3308" s="4">
        <v>13</v>
      </c>
      <c r="B3308" t="s">
        <v>11</v>
      </c>
      <c r="C3308" s="4">
        <v>35.76</v>
      </c>
      <c r="D3308" t="s">
        <v>12</v>
      </c>
      <c r="E3308" t="s">
        <v>17</v>
      </c>
      <c r="F3308" s="4" t="s">
        <v>30</v>
      </c>
      <c r="G3308" s="4" t="s">
        <v>15</v>
      </c>
      <c r="H3308" s="4">
        <v>4</v>
      </c>
      <c r="I3308" s="4">
        <v>3</v>
      </c>
      <c r="J3308" s="1">
        <v>45722</v>
      </c>
      <c r="K3308" s="2">
        <v>3.5799768518518515E-2</v>
      </c>
      <c r="M3308" s="4" t="str">
        <f t="shared" si="153"/>
        <v>HIGH</v>
      </c>
      <c r="N3308" s="4" t="str" cm="1">
        <f t="array" ref="N3308">_xlfn.IFS(C3308&gt;35,"HIGH",C3308&gt;25,"MIDDLE",TRUE,"LOW")</f>
        <v>HIGH</v>
      </c>
      <c r="O3308" s="4" t="str">
        <f t="shared" si="154"/>
        <v>OTHERS</v>
      </c>
      <c r="P3308" s="4" t="str">
        <f t="shared" si="155"/>
        <v>PREMINUM MORNING</v>
      </c>
    </row>
    <row r="3309" spans="1:16" x14ac:dyDescent="0.3">
      <c r="A3309" s="4">
        <v>16</v>
      </c>
      <c r="B3309" t="s">
        <v>11</v>
      </c>
      <c r="C3309" s="4">
        <v>30.86</v>
      </c>
      <c r="D3309" t="s">
        <v>19</v>
      </c>
      <c r="E3309" t="s">
        <v>17</v>
      </c>
      <c r="F3309" s="4" t="s">
        <v>30</v>
      </c>
      <c r="G3309" s="4" t="s">
        <v>15</v>
      </c>
      <c r="H3309" s="4">
        <v>4</v>
      </c>
      <c r="I3309" s="4">
        <v>3</v>
      </c>
      <c r="J3309" s="1">
        <v>45722</v>
      </c>
      <c r="K3309" s="2">
        <v>4.7141203703703703E-3</v>
      </c>
      <c r="M3309" s="4" t="str">
        <f t="shared" si="153"/>
        <v>LOW</v>
      </c>
      <c r="N3309" s="4" t="str" cm="1">
        <f t="array" ref="N3309">_xlfn.IFS(C3309&gt;35,"HIGH",C3309&gt;25,"MIDDLE",TRUE,"LOW")</f>
        <v>MIDDLE</v>
      </c>
      <c r="O3309" s="4" t="str">
        <f t="shared" si="154"/>
        <v>OTHERS</v>
      </c>
      <c r="P3309" s="4" t="str">
        <f t="shared" si="155"/>
        <v>OTHERS</v>
      </c>
    </row>
    <row r="3310" spans="1:16" x14ac:dyDescent="0.3">
      <c r="A3310" s="4">
        <v>17</v>
      </c>
      <c r="B3310" t="s">
        <v>11</v>
      </c>
      <c r="C3310" s="4">
        <v>35.76</v>
      </c>
      <c r="D3310" t="s">
        <v>21</v>
      </c>
      <c r="E3310" t="s">
        <v>20</v>
      </c>
      <c r="F3310" s="4" t="s">
        <v>30</v>
      </c>
      <c r="G3310" s="4" t="s">
        <v>15</v>
      </c>
      <c r="H3310" s="4">
        <v>4</v>
      </c>
      <c r="I3310" s="4">
        <v>3</v>
      </c>
      <c r="J3310" s="1">
        <v>45722</v>
      </c>
      <c r="K3310" s="2">
        <v>3.4157407407407407E-2</v>
      </c>
      <c r="M3310" s="4" t="str">
        <f t="shared" si="153"/>
        <v>HIGH</v>
      </c>
      <c r="N3310" s="4" t="str" cm="1">
        <f t="array" ref="N3310">_xlfn.IFS(C3310&gt;35,"HIGH",C3310&gt;25,"MIDDLE",TRUE,"LOW")</f>
        <v>HIGH</v>
      </c>
      <c r="O3310" s="4" t="str">
        <f t="shared" si="154"/>
        <v>OTHERS</v>
      </c>
      <c r="P3310" s="4" t="str">
        <f t="shared" si="155"/>
        <v>PREMINUM MORNING</v>
      </c>
    </row>
    <row r="3311" spans="1:16" x14ac:dyDescent="0.3">
      <c r="A3311" s="4">
        <v>18</v>
      </c>
      <c r="B3311" t="s">
        <v>11</v>
      </c>
      <c r="C3311" s="4">
        <v>35.76</v>
      </c>
      <c r="D3311" t="s">
        <v>29</v>
      </c>
      <c r="E3311" t="s">
        <v>20</v>
      </c>
      <c r="F3311" s="4" t="s">
        <v>30</v>
      </c>
      <c r="G3311" s="4" t="s">
        <v>15</v>
      </c>
      <c r="H3311" s="4">
        <v>4</v>
      </c>
      <c r="I3311" s="4">
        <v>3</v>
      </c>
      <c r="J3311" s="1">
        <v>45722</v>
      </c>
      <c r="K3311" s="2">
        <v>1.8885416666666668E-2</v>
      </c>
      <c r="M3311" s="4" t="str">
        <f t="shared" si="153"/>
        <v>HIGH</v>
      </c>
      <c r="N3311" s="4" t="str" cm="1">
        <f t="array" ref="N3311">_xlfn.IFS(C3311&gt;35,"HIGH",C3311&gt;25,"MIDDLE",TRUE,"LOW")</f>
        <v>HIGH</v>
      </c>
      <c r="O3311" s="4" t="str">
        <f t="shared" si="154"/>
        <v>OTHERS</v>
      </c>
      <c r="P3311" s="4" t="str">
        <f t="shared" si="155"/>
        <v>PREMINUM MORNING</v>
      </c>
    </row>
    <row r="3312" spans="1:16" x14ac:dyDescent="0.3">
      <c r="A3312" s="4">
        <v>19</v>
      </c>
      <c r="B3312" t="s">
        <v>11</v>
      </c>
      <c r="C3312" s="4">
        <v>30.86</v>
      </c>
      <c r="D3312" t="s">
        <v>19</v>
      </c>
      <c r="E3312" t="s">
        <v>20</v>
      </c>
      <c r="F3312" s="4" t="s">
        <v>30</v>
      </c>
      <c r="G3312" s="4" t="s">
        <v>15</v>
      </c>
      <c r="H3312" s="4">
        <v>4</v>
      </c>
      <c r="I3312" s="4">
        <v>3</v>
      </c>
      <c r="J3312" s="1">
        <v>45722</v>
      </c>
      <c r="K3312" s="2">
        <v>1.5401620370370371E-2</v>
      </c>
      <c r="M3312" s="4" t="str">
        <f t="shared" si="153"/>
        <v>LOW</v>
      </c>
      <c r="N3312" s="4" t="str" cm="1">
        <f t="array" ref="N3312">_xlfn.IFS(C3312&gt;35,"HIGH",C3312&gt;25,"MIDDLE",TRUE,"LOW")</f>
        <v>MIDDLE</v>
      </c>
      <c r="O3312" s="4" t="str">
        <f t="shared" si="154"/>
        <v>OTHERS</v>
      </c>
      <c r="P3312" s="4" t="str">
        <f t="shared" si="155"/>
        <v>OTHERS</v>
      </c>
    </row>
    <row r="3313" spans="1:16" x14ac:dyDescent="0.3">
      <c r="A3313" s="4">
        <v>7</v>
      </c>
      <c r="B3313" t="s">
        <v>11</v>
      </c>
      <c r="C3313" s="4">
        <v>35.76</v>
      </c>
      <c r="D3313" t="s">
        <v>29</v>
      </c>
      <c r="E3313" t="s">
        <v>13</v>
      </c>
      <c r="F3313" s="4" t="s">
        <v>14</v>
      </c>
      <c r="G3313" s="4" t="s">
        <v>15</v>
      </c>
      <c r="H3313" s="4">
        <v>5</v>
      </c>
      <c r="I3313" s="4">
        <v>3</v>
      </c>
      <c r="J3313" s="1">
        <v>45723</v>
      </c>
      <c r="K3313" s="2">
        <v>3.9618055555555561E-3</v>
      </c>
      <c r="M3313" s="4" t="str">
        <f t="shared" si="153"/>
        <v>HIGH</v>
      </c>
      <c r="N3313" s="4" t="str" cm="1">
        <f t="array" ref="N3313">_xlfn.IFS(C3313&gt;35,"HIGH",C3313&gt;25,"MIDDLE",TRUE,"LOW")</f>
        <v>HIGH</v>
      </c>
      <c r="O3313" s="4" t="str">
        <f t="shared" si="154"/>
        <v>PREMINUM MORNING</v>
      </c>
      <c r="P3313" s="4" t="str">
        <f t="shared" si="155"/>
        <v>PREMINUM MORNING</v>
      </c>
    </row>
    <row r="3314" spans="1:16" x14ac:dyDescent="0.3">
      <c r="A3314" s="4">
        <v>8</v>
      </c>
      <c r="B3314" t="s">
        <v>11</v>
      </c>
      <c r="C3314" s="4">
        <v>25.96</v>
      </c>
      <c r="D3314" t="s">
        <v>18</v>
      </c>
      <c r="E3314" t="s">
        <v>13</v>
      </c>
      <c r="F3314" s="4" t="s">
        <v>14</v>
      </c>
      <c r="G3314" s="4" t="s">
        <v>15</v>
      </c>
      <c r="H3314" s="4">
        <v>5</v>
      </c>
      <c r="I3314" s="4">
        <v>3</v>
      </c>
      <c r="J3314" s="1">
        <v>45723</v>
      </c>
      <c r="K3314" s="2">
        <v>3.1376157407407408E-2</v>
      </c>
      <c r="M3314" s="4" t="str">
        <f t="shared" si="153"/>
        <v>LOW</v>
      </c>
      <c r="N3314" s="4" t="str" cm="1">
        <f t="array" ref="N3314">_xlfn.IFS(C3314&gt;35,"HIGH",C3314&gt;25,"MIDDLE",TRUE,"LOW")</f>
        <v>MIDDLE</v>
      </c>
      <c r="O3314" s="4" t="str">
        <f t="shared" si="154"/>
        <v>OTHERS</v>
      </c>
      <c r="P3314" s="4" t="str">
        <f t="shared" si="155"/>
        <v>PREMINUM MORNING</v>
      </c>
    </row>
    <row r="3315" spans="1:16" x14ac:dyDescent="0.3">
      <c r="A3315" s="4">
        <v>8</v>
      </c>
      <c r="B3315" t="s">
        <v>11</v>
      </c>
      <c r="C3315" s="4">
        <v>25.96</v>
      </c>
      <c r="D3315" t="s">
        <v>18</v>
      </c>
      <c r="E3315" t="s">
        <v>13</v>
      </c>
      <c r="F3315" s="4" t="s">
        <v>14</v>
      </c>
      <c r="G3315" s="4" t="s">
        <v>15</v>
      </c>
      <c r="H3315" s="4">
        <v>5</v>
      </c>
      <c r="I3315" s="4">
        <v>3</v>
      </c>
      <c r="J3315" s="1">
        <v>45723</v>
      </c>
      <c r="K3315" s="2">
        <v>3.1988425925925927E-2</v>
      </c>
      <c r="M3315" s="4" t="str">
        <f t="shared" si="153"/>
        <v>LOW</v>
      </c>
      <c r="N3315" s="4" t="str" cm="1">
        <f t="array" ref="N3315">_xlfn.IFS(C3315&gt;35,"HIGH",C3315&gt;25,"MIDDLE",TRUE,"LOW")</f>
        <v>MIDDLE</v>
      </c>
      <c r="O3315" s="4" t="str">
        <f t="shared" si="154"/>
        <v>OTHERS</v>
      </c>
      <c r="P3315" s="4" t="str">
        <f t="shared" si="155"/>
        <v>PREMINUM MORNING</v>
      </c>
    </row>
    <row r="3316" spans="1:16" x14ac:dyDescent="0.3">
      <c r="A3316" s="4">
        <v>9</v>
      </c>
      <c r="B3316" t="s">
        <v>11</v>
      </c>
      <c r="C3316" s="4">
        <v>25.96</v>
      </c>
      <c r="D3316" t="s">
        <v>18</v>
      </c>
      <c r="E3316" t="s">
        <v>13</v>
      </c>
      <c r="F3316" s="4" t="s">
        <v>14</v>
      </c>
      <c r="G3316" s="4" t="s">
        <v>15</v>
      </c>
      <c r="H3316" s="4">
        <v>5</v>
      </c>
      <c r="I3316" s="4">
        <v>3</v>
      </c>
      <c r="J3316" s="1">
        <v>45723</v>
      </c>
      <c r="K3316" s="2">
        <v>1.8611111111111113E-3</v>
      </c>
      <c r="M3316" s="4" t="str">
        <f t="shared" si="153"/>
        <v>LOW</v>
      </c>
      <c r="N3316" s="4" t="str" cm="1">
        <f t="array" ref="N3316">_xlfn.IFS(C3316&gt;35,"HIGH",C3316&gt;25,"MIDDLE",TRUE,"LOW")</f>
        <v>MIDDLE</v>
      </c>
      <c r="O3316" s="4" t="str">
        <f t="shared" si="154"/>
        <v>OTHERS</v>
      </c>
      <c r="P3316" s="4" t="str">
        <f t="shared" si="155"/>
        <v>PREMINUM MORNING</v>
      </c>
    </row>
    <row r="3317" spans="1:16" x14ac:dyDescent="0.3">
      <c r="A3317" s="4">
        <v>10</v>
      </c>
      <c r="B3317" t="s">
        <v>11</v>
      </c>
      <c r="C3317" s="4">
        <v>35.76</v>
      </c>
      <c r="D3317" t="s">
        <v>16</v>
      </c>
      <c r="E3317" t="s">
        <v>13</v>
      </c>
      <c r="F3317" s="4" t="s">
        <v>14</v>
      </c>
      <c r="G3317" s="4" t="s">
        <v>15</v>
      </c>
      <c r="H3317" s="4">
        <v>5</v>
      </c>
      <c r="I3317" s="4">
        <v>3</v>
      </c>
      <c r="J3317" s="1">
        <v>45723</v>
      </c>
      <c r="K3317" s="2">
        <v>6.9201388888888889E-3</v>
      </c>
      <c r="M3317" s="4" t="str">
        <f t="shared" si="153"/>
        <v>HIGH</v>
      </c>
      <c r="N3317" s="4" t="str" cm="1">
        <f t="array" ref="N3317">_xlfn.IFS(C3317&gt;35,"HIGH",C3317&gt;25,"MIDDLE",TRUE,"LOW")</f>
        <v>HIGH</v>
      </c>
      <c r="O3317" s="4" t="str">
        <f t="shared" si="154"/>
        <v>PREMINUM MORNING</v>
      </c>
      <c r="P3317" s="4" t="str">
        <f t="shared" si="155"/>
        <v>PREMINUM MORNING</v>
      </c>
    </row>
    <row r="3318" spans="1:16" x14ac:dyDescent="0.3">
      <c r="A3318" s="4">
        <v>10</v>
      </c>
      <c r="B3318" t="s">
        <v>11</v>
      </c>
      <c r="C3318" s="4">
        <v>30.86</v>
      </c>
      <c r="D3318" t="s">
        <v>19</v>
      </c>
      <c r="E3318" t="s">
        <v>13</v>
      </c>
      <c r="F3318" s="4" t="s">
        <v>14</v>
      </c>
      <c r="G3318" s="4" t="s">
        <v>15</v>
      </c>
      <c r="H3318" s="4">
        <v>5</v>
      </c>
      <c r="I3318" s="4">
        <v>3</v>
      </c>
      <c r="J3318" s="1">
        <v>45723</v>
      </c>
      <c r="K3318" s="2">
        <v>1.8459490740740742E-2</v>
      </c>
      <c r="M3318" s="4" t="str">
        <f t="shared" si="153"/>
        <v>LOW</v>
      </c>
      <c r="N3318" s="4" t="str" cm="1">
        <f t="array" ref="N3318">_xlfn.IFS(C3318&gt;35,"HIGH",C3318&gt;25,"MIDDLE",TRUE,"LOW")</f>
        <v>MIDDLE</v>
      </c>
      <c r="O3318" s="4" t="str">
        <f t="shared" si="154"/>
        <v>OTHERS</v>
      </c>
      <c r="P3318" s="4" t="str">
        <f t="shared" si="155"/>
        <v>PREMINUM MORNING</v>
      </c>
    </row>
    <row r="3319" spans="1:16" x14ac:dyDescent="0.3">
      <c r="A3319" s="4">
        <v>10</v>
      </c>
      <c r="B3319" t="s">
        <v>11</v>
      </c>
      <c r="C3319" s="4">
        <v>30.86</v>
      </c>
      <c r="D3319" t="s">
        <v>19</v>
      </c>
      <c r="E3319" t="s">
        <v>13</v>
      </c>
      <c r="F3319" s="4" t="s">
        <v>14</v>
      </c>
      <c r="G3319" s="4" t="s">
        <v>15</v>
      </c>
      <c r="H3319" s="4">
        <v>5</v>
      </c>
      <c r="I3319" s="4">
        <v>3</v>
      </c>
      <c r="J3319" s="1">
        <v>45723</v>
      </c>
      <c r="K3319" s="2">
        <v>1.9126157407407408E-2</v>
      </c>
      <c r="M3319" s="4" t="str">
        <f t="shared" si="153"/>
        <v>LOW</v>
      </c>
      <c r="N3319" s="4" t="str" cm="1">
        <f t="array" ref="N3319">_xlfn.IFS(C3319&gt;35,"HIGH",C3319&gt;25,"MIDDLE",TRUE,"LOW")</f>
        <v>MIDDLE</v>
      </c>
      <c r="O3319" s="4" t="str">
        <f t="shared" si="154"/>
        <v>OTHERS</v>
      </c>
      <c r="P3319" s="4" t="str">
        <f t="shared" si="155"/>
        <v>PREMINUM MORNING</v>
      </c>
    </row>
    <row r="3320" spans="1:16" x14ac:dyDescent="0.3">
      <c r="A3320" s="4">
        <v>10</v>
      </c>
      <c r="B3320" t="s">
        <v>11</v>
      </c>
      <c r="C3320" s="4">
        <v>35.76</v>
      </c>
      <c r="D3320" t="s">
        <v>21</v>
      </c>
      <c r="E3320" t="s">
        <v>13</v>
      </c>
      <c r="F3320" s="4" t="s">
        <v>14</v>
      </c>
      <c r="G3320" s="4" t="s">
        <v>15</v>
      </c>
      <c r="H3320" s="4">
        <v>5</v>
      </c>
      <c r="I3320" s="4">
        <v>3</v>
      </c>
      <c r="J3320" s="1">
        <v>45723</v>
      </c>
      <c r="K3320" s="2">
        <v>2.9002314814814818E-2</v>
      </c>
      <c r="M3320" s="4" t="str">
        <f t="shared" si="153"/>
        <v>HIGH</v>
      </c>
      <c r="N3320" s="4" t="str" cm="1">
        <f t="array" ref="N3320">_xlfn.IFS(C3320&gt;35,"HIGH",C3320&gt;25,"MIDDLE",TRUE,"LOW")</f>
        <v>HIGH</v>
      </c>
      <c r="O3320" s="4" t="str">
        <f t="shared" si="154"/>
        <v>PREMINUM MORNING</v>
      </c>
      <c r="P3320" s="4" t="str">
        <f t="shared" si="155"/>
        <v>PREMINUM MORNING</v>
      </c>
    </row>
    <row r="3321" spans="1:16" x14ac:dyDescent="0.3">
      <c r="A3321" s="4">
        <v>11</v>
      </c>
      <c r="B3321" t="s">
        <v>11</v>
      </c>
      <c r="C3321" s="4">
        <v>35.76</v>
      </c>
      <c r="D3321" t="s">
        <v>21</v>
      </c>
      <c r="E3321" t="s">
        <v>13</v>
      </c>
      <c r="F3321" s="4" t="s">
        <v>14</v>
      </c>
      <c r="G3321" s="4" t="s">
        <v>15</v>
      </c>
      <c r="H3321" s="4">
        <v>5</v>
      </c>
      <c r="I3321" s="4">
        <v>3</v>
      </c>
      <c r="J3321" s="1">
        <v>45723</v>
      </c>
      <c r="K3321" s="2">
        <v>3.5410879629629632E-2</v>
      </c>
      <c r="M3321" s="4" t="str">
        <f t="shared" si="153"/>
        <v>HIGH</v>
      </c>
      <c r="N3321" s="4" t="str" cm="1">
        <f t="array" ref="N3321">_xlfn.IFS(C3321&gt;35,"HIGH",C3321&gt;25,"MIDDLE",TRUE,"LOW")</f>
        <v>HIGH</v>
      </c>
      <c r="O3321" s="4" t="str">
        <f t="shared" si="154"/>
        <v>PREMINUM MORNING</v>
      </c>
      <c r="P3321" s="4" t="str">
        <f t="shared" si="155"/>
        <v>PREMINUM MORNING</v>
      </c>
    </row>
    <row r="3322" spans="1:16" x14ac:dyDescent="0.3">
      <c r="A3322" s="4">
        <v>12</v>
      </c>
      <c r="B3322" t="s">
        <v>11</v>
      </c>
      <c r="C3322" s="4">
        <v>30.86</v>
      </c>
      <c r="D3322" t="s">
        <v>19</v>
      </c>
      <c r="E3322" t="s">
        <v>17</v>
      </c>
      <c r="F3322" s="4" t="s">
        <v>14</v>
      </c>
      <c r="G3322" s="4" t="s">
        <v>15</v>
      </c>
      <c r="H3322" s="4">
        <v>5</v>
      </c>
      <c r="I3322" s="4">
        <v>3</v>
      </c>
      <c r="J3322" s="1">
        <v>45723</v>
      </c>
      <c r="K3322" s="2">
        <v>2.6180555555555553E-3</v>
      </c>
      <c r="M3322" s="4" t="str">
        <f t="shared" si="153"/>
        <v>LOW</v>
      </c>
      <c r="N3322" s="4" t="str" cm="1">
        <f t="array" ref="N3322">_xlfn.IFS(C3322&gt;35,"HIGH",C3322&gt;25,"MIDDLE",TRUE,"LOW")</f>
        <v>MIDDLE</v>
      </c>
      <c r="O3322" s="4" t="str">
        <f t="shared" si="154"/>
        <v>OTHERS</v>
      </c>
      <c r="P3322" s="4" t="str">
        <f t="shared" si="155"/>
        <v>OTHERS</v>
      </c>
    </row>
    <row r="3323" spans="1:16" x14ac:dyDescent="0.3">
      <c r="A3323" s="4">
        <v>13</v>
      </c>
      <c r="B3323" t="s">
        <v>11</v>
      </c>
      <c r="C3323" s="4">
        <v>35.76</v>
      </c>
      <c r="D3323" t="s">
        <v>16</v>
      </c>
      <c r="E3323" t="s">
        <v>17</v>
      </c>
      <c r="F3323" s="4" t="s">
        <v>14</v>
      </c>
      <c r="G3323" s="4" t="s">
        <v>15</v>
      </c>
      <c r="H3323" s="4">
        <v>5</v>
      </c>
      <c r="I3323" s="4">
        <v>3</v>
      </c>
      <c r="J3323" s="1">
        <v>45723</v>
      </c>
      <c r="K3323" s="2">
        <v>3.0421296296296297E-2</v>
      </c>
      <c r="M3323" s="4" t="str">
        <f t="shared" si="153"/>
        <v>HIGH</v>
      </c>
      <c r="N3323" s="4" t="str" cm="1">
        <f t="array" ref="N3323">_xlfn.IFS(C3323&gt;35,"HIGH",C3323&gt;25,"MIDDLE",TRUE,"LOW")</f>
        <v>HIGH</v>
      </c>
      <c r="O3323" s="4" t="str">
        <f t="shared" si="154"/>
        <v>OTHERS</v>
      </c>
      <c r="P3323" s="4" t="str">
        <f t="shared" si="155"/>
        <v>PREMINUM MORNING</v>
      </c>
    </row>
    <row r="3324" spans="1:16" x14ac:dyDescent="0.3">
      <c r="A3324" s="4">
        <v>13</v>
      </c>
      <c r="B3324" t="s">
        <v>11</v>
      </c>
      <c r="C3324" s="4">
        <v>25.96</v>
      </c>
      <c r="D3324" t="s">
        <v>18</v>
      </c>
      <c r="E3324" t="s">
        <v>17</v>
      </c>
      <c r="F3324" s="4" t="s">
        <v>14</v>
      </c>
      <c r="G3324" s="4" t="s">
        <v>15</v>
      </c>
      <c r="H3324" s="4">
        <v>5</v>
      </c>
      <c r="I3324" s="4">
        <v>3</v>
      </c>
      <c r="J3324" s="1">
        <v>45723</v>
      </c>
      <c r="K3324" s="2">
        <v>3.8560185185185183E-2</v>
      </c>
      <c r="M3324" s="4" t="str">
        <f t="shared" si="153"/>
        <v>LOW</v>
      </c>
      <c r="N3324" s="4" t="str" cm="1">
        <f t="array" ref="N3324">_xlfn.IFS(C3324&gt;35,"HIGH",C3324&gt;25,"MIDDLE",TRUE,"LOW")</f>
        <v>MIDDLE</v>
      </c>
      <c r="O3324" s="4" t="str">
        <f t="shared" si="154"/>
        <v>OTHERS</v>
      </c>
      <c r="P3324" s="4" t="str">
        <f t="shared" si="155"/>
        <v>OTHERS</v>
      </c>
    </row>
    <row r="3325" spans="1:16" x14ac:dyDescent="0.3">
      <c r="A3325" s="4">
        <v>14</v>
      </c>
      <c r="B3325" t="s">
        <v>11</v>
      </c>
      <c r="C3325" s="4">
        <v>35.76</v>
      </c>
      <c r="D3325" t="s">
        <v>29</v>
      </c>
      <c r="E3325" t="s">
        <v>17</v>
      </c>
      <c r="F3325" s="4" t="s">
        <v>14</v>
      </c>
      <c r="G3325" s="4" t="s">
        <v>15</v>
      </c>
      <c r="H3325" s="4">
        <v>5</v>
      </c>
      <c r="I3325" s="4">
        <v>3</v>
      </c>
      <c r="J3325" s="1">
        <v>45723</v>
      </c>
      <c r="K3325" s="2">
        <v>3.7155092592592594E-2</v>
      </c>
      <c r="M3325" s="4" t="str">
        <f t="shared" si="153"/>
        <v>HIGH</v>
      </c>
      <c r="N3325" s="4" t="str" cm="1">
        <f t="array" ref="N3325">_xlfn.IFS(C3325&gt;35,"HIGH",C3325&gt;25,"MIDDLE",TRUE,"LOW")</f>
        <v>HIGH</v>
      </c>
      <c r="O3325" s="4" t="str">
        <f t="shared" si="154"/>
        <v>OTHERS</v>
      </c>
      <c r="P3325" s="4" t="str">
        <f t="shared" si="155"/>
        <v>PREMINUM MORNING</v>
      </c>
    </row>
    <row r="3326" spans="1:16" x14ac:dyDescent="0.3">
      <c r="A3326" s="4">
        <v>15</v>
      </c>
      <c r="B3326" t="s">
        <v>11</v>
      </c>
      <c r="C3326" s="4">
        <v>35.76</v>
      </c>
      <c r="D3326" t="s">
        <v>12</v>
      </c>
      <c r="E3326" t="s">
        <v>17</v>
      </c>
      <c r="F3326" s="4" t="s">
        <v>14</v>
      </c>
      <c r="G3326" s="4" t="s">
        <v>15</v>
      </c>
      <c r="H3326" s="4">
        <v>5</v>
      </c>
      <c r="I3326" s="4">
        <v>3</v>
      </c>
      <c r="J3326" s="1">
        <v>45723</v>
      </c>
      <c r="K3326" s="2">
        <v>6.2997685185185179E-3</v>
      </c>
      <c r="M3326" s="4" t="str">
        <f t="shared" si="153"/>
        <v>HIGH</v>
      </c>
      <c r="N3326" s="4" t="str" cm="1">
        <f t="array" ref="N3326">_xlfn.IFS(C3326&gt;35,"HIGH",C3326&gt;25,"MIDDLE",TRUE,"LOW")</f>
        <v>HIGH</v>
      </c>
      <c r="O3326" s="4" t="str">
        <f t="shared" si="154"/>
        <v>OTHERS</v>
      </c>
      <c r="P3326" s="4" t="str">
        <f t="shared" si="155"/>
        <v>PREMINUM MORNING</v>
      </c>
    </row>
    <row r="3327" spans="1:16" x14ac:dyDescent="0.3">
      <c r="A3327" s="4">
        <v>15</v>
      </c>
      <c r="B3327" t="s">
        <v>11</v>
      </c>
      <c r="C3327" s="4">
        <v>35.76</v>
      </c>
      <c r="D3327" t="s">
        <v>12</v>
      </c>
      <c r="E3327" t="s">
        <v>17</v>
      </c>
      <c r="F3327" s="4" t="s">
        <v>14</v>
      </c>
      <c r="G3327" s="4" t="s">
        <v>15</v>
      </c>
      <c r="H3327" s="4">
        <v>5</v>
      </c>
      <c r="I3327" s="4">
        <v>3</v>
      </c>
      <c r="J3327" s="1">
        <v>45723</v>
      </c>
      <c r="K3327" s="2">
        <v>3.6724537037037035E-2</v>
      </c>
      <c r="M3327" s="4" t="str">
        <f t="shared" si="153"/>
        <v>HIGH</v>
      </c>
      <c r="N3327" s="4" t="str" cm="1">
        <f t="array" ref="N3327">_xlfn.IFS(C3327&gt;35,"HIGH",C3327&gt;25,"MIDDLE",TRUE,"LOW")</f>
        <v>HIGH</v>
      </c>
      <c r="O3327" s="4" t="str">
        <f t="shared" si="154"/>
        <v>OTHERS</v>
      </c>
      <c r="P3327" s="4" t="str">
        <f t="shared" si="155"/>
        <v>PREMINUM MORNING</v>
      </c>
    </row>
    <row r="3328" spans="1:16" x14ac:dyDescent="0.3">
      <c r="A3328" s="4">
        <v>17</v>
      </c>
      <c r="B3328" t="s">
        <v>11</v>
      </c>
      <c r="C3328" s="4">
        <v>35.76</v>
      </c>
      <c r="D3328" t="s">
        <v>12</v>
      </c>
      <c r="E3328" t="s">
        <v>20</v>
      </c>
      <c r="F3328" s="4" t="s">
        <v>14</v>
      </c>
      <c r="G3328" s="4" t="s">
        <v>15</v>
      </c>
      <c r="H3328" s="4">
        <v>5</v>
      </c>
      <c r="I3328" s="4">
        <v>3</v>
      </c>
      <c r="J3328" s="1">
        <v>45723</v>
      </c>
      <c r="K3328" s="2">
        <v>7.2835648148148139E-3</v>
      </c>
      <c r="M3328" s="4" t="str">
        <f t="shared" si="153"/>
        <v>HIGH</v>
      </c>
      <c r="N3328" s="4" t="str" cm="1">
        <f t="array" ref="N3328">_xlfn.IFS(C3328&gt;35,"HIGH",C3328&gt;25,"MIDDLE",TRUE,"LOW")</f>
        <v>HIGH</v>
      </c>
      <c r="O3328" s="4" t="str">
        <f t="shared" si="154"/>
        <v>OTHERS</v>
      </c>
      <c r="P3328" s="4" t="str">
        <f t="shared" si="155"/>
        <v>PREMINUM MORNING</v>
      </c>
    </row>
    <row r="3329" spans="1:16" x14ac:dyDescent="0.3">
      <c r="A3329" s="4">
        <v>17</v>
      </c>
      <c r="B3329" t="s">
        <v>11</v>
      </c>
      <c r="C3329" s="4">
        <v>35.76</v>
      </c>
      <c r="D3329" t="s">
        <v>16</v>
      </c>
      <c r="E3329" t="s">
        <v>20</v>
      </c>
      <c r="F3329" s="4" t="s">
        <v>14</v>
      </c>
      <c r="G3329" s="4" t="s">
        <v>15</v>
      </c>
      <c r="H3329" s="4">
        <v>5</v>
      </c>
      <c r="I3329" s="4">
        <v>3</v>
      </c>
      <c r="J3329" s="1">
        <v>45723</v>
      </c>
      <c r="K3329" s="2">
        <v>8.6064814814814823E-3</v>
      </c>
      <c r="M3329" s="4" t="str">
        <f t="shared" si="153"/>
        <v>HIGH</v>
      </c>
      <c r="N3329" s="4" t="str" cm="1">
        <f t="array" ref="N3329">_xlfn.IFS(C3329&gt;35,"HIGH",C3329&gt;25,"MIDDLE",TRUE,"LOW")</f>
        <v>HIGH</v>
      </c>
      <c r="O3329" s="4" t="str">
        <f t="shared" si="154"/>
        <v>OTHERS</v>
      </c>
      <c r="P3329" s="4" t="str">
        <f t="shared" si="155"/>
        <v>PREMINUM MORNING</v>
      </c>
    </row>
    <row r="3330" spans="1:16" x14ac:dyDescent="0.3">
      <c r="A3330" s="4">
        <v>9</v>
      </c>
      <c r="B3330" t="s">
        <v>11</v>
      </c>
      <c r="C3330" s="4">
        <v>30.86</v>
      </c>
      <c r="D3330" t="s">
        <v>19</v>
      </c>
      <c r="E3330" t="s">
        <v>13</v>
      </c>
      <c r="F3330" s="4" t="s">
        <v>22</v>
      </c>
      <c r="G3330" s="4" t="s">
        <v>15</v>
      </c>
      <c r="H3330" s="4">
        <v>6</v>
      </c>
      <c r="I3330" s="4">
        <v>3</v>
      </c>
      <c r="J3330" s="1">
        <v>45724</v>
      </c>
      <c r="K3330" s="2">
        <v>1.6487268518518519E-2</v>
      </c>
      <c r="M3330" s="4" t="str">
        <f t="shared" si="153"/>
        <v>LOW</v>
      </c>
      <c r="N3330" s="4" t="str" cm="1">
        <f t="array" ref="N3330">_xlfn.IFS(C3330&gt;35,"HIGH",C3330&gt;25,"MIDDLE",TRUE,"LOW")</f>
        <v>MIDDLE</v>
      </c>
      <c r="O3330" s="4" t="str">
        <f t="shared" si="154"/>
        <v>OTHERS</v>
      </c>
      <c r="P3330" s="4" t="str">
        <f t="shared" si="155"/>
        <v>PREMINUM MORNING</v>
      </c>
    </row>
    <row r="3331" spans="1:16" x14ac:dyDescent="0.3">
      <c r="A3331" s="4">
        <v>9</v>
      </c>
      <c r="B3331" t="s">
        <v>11</v>
      </c>
      <c r="C3331" s="4">
        <v>30.86</v>
      </c>
      <c r="D3331" t="s">
        <v>19</v>
      </c>
      <c r="E3331" t="s">
        <v>13</v>
      </c>
      <c r="F3331" s="4" t="s">
        <v>22</v>
      </c>
      <c r="G3331" s="4" t="s">
        <v>15</v>
      </c>
      <c r="H3331" s="4">
        <v>6</v>
      </c>
      <c r="I3331" s="4">
        <v>3</v>
      </c>
      <c r="J3331" s="1">
        <v>45724</v>
      </c>
      <c r="K3331" s="2">
        <v>2.9084490740740741E-2</v>
      </c>
      <c r="M3331" s="4" t="str">
        <f t="shared" ref="M3331:M3394" si="156">IF(C3331&gt;35,"HIGH","LOW")</f>
        <v>LOW</v>
      </c>
      <c r="N3331" s="4" t="str" cm="1">
        <f t="array" ref="N3331">_xlfn.IFS(C3331&gt;35,"HIGH",C3331&gt;25,"MIDDLE",TRUE,"LOW")</f>
        <v>MIDDLE</v>
      </c>
      <c r="O3331" s="4" t="str">
        <f t="shared" ref="O3331:O3394" si="157">IF(AND(C3331&gt;35,E3331="MORNING"),"PREMINUM MORNING","OTHERS")</f>
        <v>OTHERS</v>
      </c>
      <c r="P3331" s="4" t="str">
        <f t="shared" ref="P3331:P3394" si="158">IF(OR(C3331&gt;35,E3331="MORNING"),"PREMINUM MORNING","OTHERS")</f>
        <v>PREMINUM MORNING</v>
      </c>
    </row>
    <row r="3332" spans="1:16" x14ac:dyDescent="0.3">
      <c r="A3332" s="4">
        <v>10</v>
      </c>
      <c r="B3332" t="s">
        <v>11</v>
      </c>
      <c r="C3332" s="4">
        <v>25.96</v>
      </c>
      <c r="D3332" t="s">
        <v>18</v>
      </c>
      <c r="E3332" t="s">
        <v>13</v>
      </c>
      <c r="F3332" s="4" t="s">
        <v>22</v>
      </c>
      <c r="G3332" s="4" t="s">
        <v>15</v>
      </c>
      <c r="H3332" s="4">
        <v>6</v>
      </c>
      <c r="I3332" s="4">
        <v>3</v>
      </c>
      <c r="J3332" s="1">
        <v>45724</v>
      </c>
      <c r="K3332" s="2">
        <v>3.7657407407407403E-2</v>
      </c>
      <c r="M3332" s="4" t="str">
        <f t="shared" si="156"/>
        <v>LOW</v>
      </c>
      <c r="N3332" s="4" t="str" cm="1">
        <f t="array" ref="N3332">_xlfn.IFS(C3332&gt;35,"HIGH",C3332&gt;25,"MIDDLE",TRUE,"LOW")</f>
        <v>MIDDLE</v>
      </c>
      <c r="O3332" s="4" t="str">
        <f t="shared" si="157"/>
        <v>OTHERS</v>
      </c>
      <c r="P3332" s="4" t="str">
        <f t="shared" si="158"/>
        <v>PREMINUM MORNING</v>
      </c>
    </row>
    <row r="3333" spans="1:16" x14ac:dyDescent="0.3">
      <c r="A3333" s="4">
        <v>11</v>
      </c>
      <c r="B3333" t="s">
        <v>11</v>
      </c>
      <c r="C3333" s="4">
        <v>25.96</v>
      </c>
      <c r="D3333" t="s">
        <v>18</v>
      </c>
      <c r="E3333" t="s">
        <v>13</v>
      </c>
      <c r="F3333" s="4" t="s">
        <v>22</v>
      </c>
      <c r="G3333" s="4" t="s">
        <v>15</v>
      </c>
      <c r="H3333" s="4">
        <v>6</v>
      </c>
      <c r="I3333" s="4">
        <v>3</v>
      </c>
      <c r="J3333" s="1">
        <v>45724</v>
      </c>
      <c r="K3333" s="2">
        <v>1.3722222222222221E-2</v>
      </c>
      <c r="M3333" s="4" t="str">
        <f t="shared" si="156"/>
        <v>LOW</v>
      </c>
      <c r="N3333" s="4" t="str" cm="1">
        <f t="array" ref="N3333">_xlfn.IFS(C3333&gt;35,"HIGH",C3333&gt;25,"MIDDLE",TRUE,"LOW")</f>
        <v>MIDDLE</v>
      </c>
      <c r="O3333" s="4" t="str">
        <f t="shared" si="157"/>
        <v>OTHERS</v>
      </c>
      <c r="P3333" s="4" t="str">
        <f t="shared" si="158"/>
        <v>PREMINUM MORNING</v>
      </c>
    </row>
    <row r="3334" spans="1:16" x14ac:dyDescent="0.3">
      <c r="A3334" s="4">
        <v>11</v>
      </c>
      <c r="B3334" t="s">
        <v>11</v>
      </c>
      <c r="C3334" s="4">
        <v>25.96</v>
      </c>
      <c r="D3334" t="s">
        <v>18</v>
      </c>
      <c r="E3334" t="s">
        <v>13</v>
      </c>
      <c r="F3334" s="4" t="s">
        <v>22</v>
      </c>
      <c r="G3334" s="4" t="s">
        <v>15</v>
      </c>
      <c r="H3334" s="4">
        <v>6</v>
      </c>
      <c r="I3334" s="4">
        <v>3</v>
      </c>
      <c r="J3334" s="1">
        <v>45724</v>
      </c>
      <c r="K3334" s="2">
        <v>1.426388888888889E-2</v>
      </c>
      <c r="M3334" s="4" t="str">
        <f t="shared" si="156"/>
        <v>LOW</v>
      </c>
      <c r="N3334" s="4" t="str" cm="1">
        <f t="array" ref="N3334">_xlfn.IFS(C3334&gt;35,"HIGH",C3334&gt;25,"MIDDLE",TRUE,"LOW")</f>
        <v>MIDDLE</v>
      </c>
      <c r="O3334" s="4" t="str">
        <f t="shared" si="157"/>
        <v>OTHERS</v>
      </c>
      <c r="P3334" s="4" t="str">
        <f t="shared" si="158"/>
        <v>PREMINUM MORNING</v>
      </c>
    </row>
    <row r="3335" spans="1:16" x14ac:dyDescent="0.3">
      <c r="A3335" s="4">
        <v>12</v>
      </c>
      <c r="B3335" t="s">
        <v>11</v>
      </c>
      <c r="C3335" s="4">
        <v>30.86</v>
      </c>
      <c r="D3335" t="s">
        <v>19</v>
      </c>
      <c r="E3335" t="s">
        <v>17</v>
      </c>
      <c r="F3335" s="4" t="s">
        <v>22</v>
      </c>
      <c r="G3335" s="4" t="s">
        <v>15</v>
      </c>
      <c r="H3335" s="4">
        <v>6</v>
      </c>
      <c r="I3335" s="4">
        <v>3</v>
      </c>
      <c r="J3335" s="1">
        <v>45724</v>
      </c>
      <c r="K3335" s="2">
        <v>2.8701388888888891E-2</v>
      </c>
      <c r="M3335" s="4" t="str">
        <f t="shared" si="156"/>
        <v>LOW</v>
      </c>
      <c r="N3335" s="4" t="str" cm="1">
        <f t="array" ref="N3335">_xlfn.IFS(C3335&gt;35,"HIGH",C3335&gt;25,"MIDDLE",TRUE,"LOW")</f>
        <v>MIDDLE</v>
      </c>
      <c r="O3335" s="4" t="str">
        <f t="shared" si="157"/>
        <v>OTHERS</v>
      </c>
      <c r="P3335" s="4" t="str">
        <f t="shared" si="158"/>
        <v>OTHERS</v>
      </c>
    </row>
    <row r="3336" spans="1:16" x14ac:dyDescent="0.3">
      <c r="A3336" s="4">
        <v>12</v>
      </c>
      <c r="B3336" t="s">
        <v>11</v>
      </c>
      <c r="C3336" s="4">
        <v>25.96</v>
      </c>
      <c r="D3336" t="s">
        <v>18</v>
      </c>
      <c r="E3336" t="s">
        <v>17</v>
      </c>
      <c r="F3336" s="4" t="s">
        <v>22</v>
      </c>
      <c r="G3336" s="4" t="s">
        <v>15</v>
      </c>
      <c r="H3336" s="4">
        <v>6</v>
      </c>
      <c r="I3336" s="4">
        <v>3</v>
      </c>
      <c r="J3336" s="1">
        <v>45724</v>
      </c>
      <c r="K3336" s="2">
        <v>3.1311342592592592E-2</v>
      </c>
      <c r="M3336" s="4" t="str">
        <f t="shared" si="156"/>
        <v>LOW</v>
      </c>
      <c r="N3336" s="4" t="str" cm="1">
        <f t="array" ref="N3336">_xlfn.IFS(C3336&gt;35,"HIGH",C3336&gt;25,"MIDDLE",TRUE,"LOW")</f>
        <v>MIDDLE</v>
      </c>
      <c r="O3336" s="4" t="str">
        <f t="shared" si="157"/>
        <v>OTHERS</v>
      </c>
      <c r="P3336" s="4" t="str">
        <f t="shared" si="158"/>
        <v>OTHERS</v>
      </c>
    </row>
    <row r="3337" spans="1:16" x14ac:dyDescent="0.3">
      <c r="A3337" s="4">
        <v>13</v>
      </c>
      <c r="B3337" t="s">
        <v>11</v>
      </c>
      <c r="C3337" s="4">
        <v>35.76</v>
      </c>
      <c r="D3337" t="s">
        <v>29</v>
      </c>
      <c r="E3337" t="s">
        <v>17</v>
      </c>
      <c r="F3337" s="4" t="s">
        <v>22</v>
      </c>
      <c r="G3337" s="4" t="s">
        <v>15</v>
      </c>
      <c r="H3337" s="4">
        <v>6</v>
      </c>
      <c r="I3337" s="4">
        <v>3</v>
      </c>
      <c r="J3337" s="1">
        <v>45724</v>
      </c>
      <c r="K3337" s="2">
        <v>2.7848379629629629E-2</v>
      </c>
      <c r="M3337" s="4" t="str">
        <f t="shared" si="156"/>
        <v>HIGH</v>
      </c>
      <c r="N3337" s="4" t="str" cm="1">
        <f t="array" ref="N3337">_xlfn.IFS(C3337&gt;35,"HIGH",C3337&gt;25,"MIDDLE",TRUE,"LOW")</f>
        <v>HIGH</v>
      </c>
      <c r="O3337" s="4" t="str">
        <f t="shared" si="157"/>
        <v>OTHERS</v>
      </c>
      <c r="P3337" s="4" t="str">
        <f t="shared" si="158"/>
        <v>PREMINUM MORNING</v>
      </c>
    </row>
    <row r="3338" spans="1:16" x14ac:dyDescent="0.3">
      <c r="A3338" s="4">
        <v>9</v>
      </c>
      <c r="B3338" t="s">
        <v>11</v>
      </c>
      <c r="C3338" s="4">
        <v>21.06</v>
      </c>
      <c r="D3338" t="s">
        <v>26</v>
      </c>
      <c r="E3338" t="s">
        <v>13</v>
      </c>
      <c r="F3338" s="4" t="s">
        <v>23</v>
      </c>
      <c r="G3338" s="4" t="s">
        <v>15</v>
      </c>
      <c r="H3338" s="4">
        <v>7</v>
      </c>
      <c r="I3338" s="4">
        <v>3</v>
      </c>
      <c r="J3338" s="1">
        <v>45725</v>
      </c>
      <c r="K3338" s="2">
        <v>2.9211805555555557E-2</v>
      </c>
      <c r="M3338" s="4" t="str">
        <f t="shared" si="156"/>
        <v>LOW</v>
      </c>
      <c r="N3338" s="4" t="str" cm="1">
        <f t="array" ref="N3338">_xlfn.IFS(C3338&gt;35,"HIGH",C3338&gt;25,"MIDDLE",TRUE,"LOW")</f>
        <v>LOW</v>
      </c>
      <c r="O3338" s="4" t="str">
        <f t="shared" si="157"/>
        <v>OTHERS</v>
      </c>
      <c r="P3338" s="4" t="str">
        <f t="shared" si="158"/>
        <v>PREMINUM MORNING</v>
      </c>
    </row>
    <row r="3339" spans="1:16" x14ac:dyDescent="0.3">
      <c r="A3339" s="4">
        <v>11</v>
      </c>
      <c r="B3339" t="s">
        <v>11</v>
      </c>
      <c r="C3339" s="4">
        <v>30.86</v>
      </c>
      <c r="D3339" t="s">
        <v>19</v>
      </c>
      <c r="E3339" t="s">
        <v>13</v>
      </c>
      <c r="F3339" s="4" t="s">
        <v>23</v>
      </c>
      <c r="G3339" s="4" t="s">
        <v>15</v>
      </c>
      <c r="H3339" s="4">
        <v>7</v>
      </c>
      <c r="I3339" s="4">
        <v>3</v>
      </c>
      <c r="J3339" s="1">
        <v>45725</v>
      </c>
      <c r="K3339" s="2">
        <v>1.7976851851851851E-2</v>
      </c>
      <c r="M3339" s="4" t="str">
        <f t="shared" si="156"/>
        <v>LOW</v>
      </c>
      <c r="N3339" s="4" t="str" cm="1">
        <f t="array" ref="N3339">_xlfn.IFS(C3339&gt;35,"HIGH",C3339&gt;25,"MIDDLE",TRUE,"LOW")</f>
        <v>MIDDLE</v>
      </c>
      <c r="O3339" s="4" t="str">
        <f t="shared" si="157"/>
        <v>OTHERS</v>
      </c>
      <c r="P3339" s="4" t="str">
        <f t="shared" si="158"/>
        <v>PREMINUM MORNING</v>
      </c>
    </row>
    <row r="3340" spans="1:16" x14ac:dyDescent="0.3">
      <c r="A3340" s="4">
        <v>13</v>
      </c>
      <c r="B3340" t="s">
        <v>11</v>
      </c>
      <c r="C3340" s="4">
        <v>35.76</v>
      </c>
      <c r="D3340" t="s">
        <v>29</v>
      </c>
      <c r="E3340" t="s">
        <v>17</v>
      </c>
      <c r="F3340" s="4" t="s">
        <v>23</v>
      </c>
      <c r="G3340" s="4" t="s">
        <v>15</v>
      </c>
      <c r="H3340" s="4">
        <v>7</v>
      </c>
      <c r="I3340" s="4">
        <v>3</v>
      </c>
      <c r="J3340" s="1">
        <v>45725</v>
      </c>
      <c r="K3340" s="2">
        <v>3.6068287037037038E-2</v>
      </c>
      <c r="M3340" s="4" t="str">
        <f t="shared" si="156"/>
        <v>HIGH</v>
      </c>
      <c r="N3340" s="4" t="str" cm="1">
        <f t="array" ref="N3340">_xlfn.IFS(C3340&gt;35,"HIGH",C3340&gt;25,"MIDDLE",TRUE,"LOW")</f>
        <v>HIGH</v>
      </c>
      <c r="O3340" s="4" t="str">
        <f t="shared" si="157"/>
        <v>OTHERS</v>
      </c>
      <c r="P3340" s="4" t="str">
        <f t="shared" si="158"/>
        <v>PREMINUM MORNING</v>
      </c>
    </row>
    <row r="3341" spans="1:16" x14ac:dyDescent="0.3">
      <c r="A3341" s="4">
        <v>14</v>
      </c>
      <c r="B3341" t="s">
        <v>11</v>
      </c>
      <c r="C3341" s="4">
        <v>25.96</v>
      </c>
      <c r="D3341" t="s">
        <v>18</v>
      </c>
      <c r="E3341" t="s">
        <v>17</v>
      </c>
      <c r="F3341" s="4" t="s">
        <v>23</v>
      </c>
      <c r="G3341" s="4" t="s">
        <v>15</v>
      </c>
      <c r="H3341" s="4">
        <v>7</v>
      </c>
      <c r="I3341" s="4">
        <v>3</v>
      </c>
      <c r="J3341" s="1">
        <v>45725</v>
      </c>
      <c r="K3341" s="2">
        <v>1.2848379629629628E-2</v>
      </c>
      <c r="M3341" s="4" t="str">
        <f t="shared" si="156"/>
        <v>LOW</v>
      </c>
      <c r="N3341" s="4" t="str" cm="1">
        <f t="array" ref="N3341">_xlfn.IFS(C3341&gt;35,"HIGH",C3341&gt;25,"MIDDLE",TRUE,"LOW")</f>
        <v>MIDDLE</v>
      </c>
      <c r="O3341" s="4" t="str">
        <f t="shared" si="157"/>
        <v>OTHERS</v>
      </c>
      <c r="P3341" s="4" t="str">
        <f t="shared" si="158"/>
        <v>OTHERS</v>
      </c>
    </row>
    <row r="3342" spans="1:16" x14ac:dyDescent="0.3">
      <c r="A3342" s="4">
        <v>15</v>
      </c>
      <c r="B3342" t="s">
        <v>11</v>
      </c>
      <c r="C3342" s="4">
        <v>35.76</v>
      </c>
      <c r="D3342" t="s">
        <v>29</v>
      </c>
      <c r="E3342" t="s">
        <v>17</v>
      </c>
      <c r="F3342" s="4" t="s">
        <v>23</v>
      </c>
      <c r="G3342" s="4" t="s">
        <v>15</v>
      </c>
      <c r="H3342" s="4">
        <v>7</v>
      </c>
      <c r="I3342" s="4">
        <v>3</v>
      </c>
      <c r="J3342" s="1">
        <v>45725</v>
      </c>
      <c r="K3342" s="2">
        <v>8.8124999999999992E-3</v>
      </c>
      <c r="M3342" s="4" t="str">
        <f t="shared" si="156"/>
        <v>HIGH</v>
      </c>
      <c r="N3342" s="4" t="str" cm="1">
        <f t="array" ref="N3342">_xlfn.IFS(C3342&gt;35,"HIGH",C3342&gt;25,"MIDDLE",TRUE,"LOW")</f>
        <v>HIGH</v>
      </c>
      <c r="O3342" s="4" t="str">
        <f t="shared" si="157"/>
        <v>OTHERS</v>
      </c>
      <c r="P3342" s="4" t="str">
        <f t="shared" si="158"/>
        <v>PREMINUM MORNING</v>
      </c>
    </row>
    <row r="3343" spans="1:16" x14ac:dyDescent="0.3">
      <c r="A3343" s="4">
        <v>15</v>
      </c>
      <c r="B3343" t="s">
        <v>11</v>
      </c>
      <c r="C3343" s="4">
        <v>25.96</v>
      </c>
      <c r="D3343" t="s">
        <v>18</v>
      </c>
      <c r="E3343" t="s">
        <v>17</v>
      </c>
      <c r="F3343" s="4" t="s">
        <v>23</v>
      </c>
      <c r="G3343" s="4" t="s">
        <v>15</v>
      </c>
      <c r="H3343" s="4">
        <v>7</v>
      </c>
      <c r="I3343" s="4">
        <v>3</v>
      </c>
      <c r="J3343" s="1">
        <v>45725</v>
      </c>
      <c r="K3343" s="2">
        <v>2.7165509259259257E-2</v>
      </c>
      <c r="M3343" s="4" t="str">
        <f t="shared" si="156"/>
        <v>LOW</v>
      </c>
      <c r="N3343" s="4" t="str" cm="1">
        <f t="array" ref="N3343">_xlfn.IFS(C3343&gt;35,"HIGH",C3343&gt;25,"MIDDLE",TRUE,"LOW")</f>
        <v>MIDDLE</v>
      </c>
      <c r="O3343" s="4" t="str">
        <f t="shared" si="157"/>
        <v>OTHERS</v>
      </c>
      <c r="P3343" s="4" t="str">
        <f t="shared" si="158"/>
        <v>OTHERS</v>
      </c>
    </row>
    <row r="3344" spans="1:16" x14ac:dyDescent="0.3">
      <c r="A3344" s="4">
        <v>15</v>
      </c>
      <c r="B3344" t="s">
        <v>11</v>
      </c>
      <c r="C3344" s="4">
        <v>30.86</v>
      </c>
      <c r="D3344" t="s">
        <v>19</v>
      </c>
      <c r="E3344" t="s">
        <v>17</v>
      </c>
      <c r="F3344" s="4" t="s">
        <v>23</v>
      </c>
      <c r="G3344" s="4" t="s">
        <v>15</v>
      </c>
      <c r="H3344" s="4">
        <v>7</v>
      </c>
      <c r="I3344" s="4">
        <v>3</v>
      </c>
      <c r="J3344" s="1">
        <v>45725</v>
      </c>
      <c r="K3344" s="2">
        <v>3.6565972222222222E-2</v>
      </c>
      <c r="M3344" s="4" t="str">
        <f t="shared" si="156"/>
        <v>LOW</v>
      </c>
      <c r="N3344" s="4" t="str" cm="1">
        <f t="array" ref="N3344">_xlfn.IFS(C3344&gt;35,"HIGH",C3344&gt;25,"MIDDLE",TRUE,"LOW")</f>
        <v>MIDDLE</v>
      </c>
      <c r="O3344" s="4" t="str">
        <f t="shared" si="157"/>
        <v>OTHERS</v>
      </c>
      <c r="P3344" s="4" t="str">
        <f t="shared" si="158"/>
        <v>OTHERS</v>
      </c>
    </row>
    <row r="3345" spans="1:16" x14ac:dyDescent="0.3">
      <c r="A3345" s="4">
        <v>15</v>
      </c>
      <c r="B3345" t="s">
        <v>11</v>
      </c>
      <c r="C3345" s="4">
        <v>35.76</v>
      </c>
      <c r="D3345" t="s">
        <v>21</v>
      </c>
      <c r="E3345" t="s">
        <v>17</v>
      </c>
      <c r="F3345" s="4" t="s">
        <v>23</v>
      </c>
      <c r="G3345" s="4" t="s">
        <v>15</v>
      </c>
      <c r="H3345" s="4">
        <v>7</v>
      </c>
      <c r="I3345" s="4">
        <v>3</v>
      </c>
      <c r="J3345" s="1">
        <v>45725</v>
      </c>
      <c r="K3345" s="2">
        <v>3.7273148148148152E-2</v>
      </c>
      <c r="M3345" s="4" t="str">
        <f t="shared" si="156"/>
        <v>HIGH</v>
      </c>
      <c r="N3345" s="4" t="str" cm="1">
        <f t="array" ref="N3345">_xlfn.IFS(C3345&gt;35,"HIGH",C3345&gt;25,"MIDDLE",TRUE,"LOW")</f>
        <v>HIGH</v>
      </c>
      <c r="O3345" s="4" t="str">
        <f t="shared" si="157"/>
        <v>OTHERS</v>
      </c>
      <c r="P3345" s="4" t="str">
        <f t="shared" si="158"/>
        <v>PREMINUM MORNING</v>
      </c>
    </row>
    <row r="3346" spans="1:16" x14ac:dyDescent="0.3">
      <c r="A3346" s="4">
        <v>8</v>
      </c>
      <c r="B3346" t="s">
        <v>11</v>
      </c>
      <c r="C3346" s="4">
        <v>25.96</v>
      </c>
      <c r="D3346" t="s">
        <v>18</v>
      </c>
      <c r="E3346" t="s">
        <v>13</v>
      </c>
      <c r="F3346" s="4" t="s">
        <v>25</v>
      </c>
      <c r="G3346" s="4" t="s">
        <v>15</v>
      </c>
      <c r="H3346" s="4">
        <v>1</v>
      </c>
      <c r="I3346" s="4">
        <v>3</v>
      </c>
      <c r="J3346" s="1">
        <v>45726</v>
      </c>
      <c r="K3346" s="2">
        <v>2.4114583333333332E-2</v>
      </c>
      <c r="M3346" s="4" t="str">
        <f t="shared" si="156"/>
        <v>LOW</v>
      </c>
      <c r="N3346" s="4" t="str" cm="1">
        <f t="array" ref="N3346">_xlfn.IFS(C3346&gt;35,"HIGH",C3346&gt;25,"MIDDLE",TRUE,"LOW")</f>
        <v>MIDDLE</v>
      </c>
      <c r="O3346" s="4" t="str">
        <f t="shared" si="157"/>
        <v>OTHERS</v>
      </c>
      <c r="P3346" s="4" t="str">
        <f t="shared" si="158"/>
        <v>PREMINUM MORNING</v>
      </c>
    </row>
    <row r="3347" spans="1:16" x14ac:dyDescent="0.3">
      <c r="A3347" s="4">
        <v>8</v>
      </c>
      <c r="B3347" t="s">
        <v>11</v>
      </c>
      <c r="C3347" s="4">
        <v>35.76</v>
      </c>
      <c r="D3347" t="s">
        <v>12</v>
      </c>
      <c r="E3347" t="s">
        <v>13</v>
      </c>
      <c r="F3347" s="4" t="s">
        <v>25</v>
      </c>
      <c r="G3347" s="4" t="s">
        <v>15</v>
      </c>
      <c r="H3347" s="4">
        <v>1</v>
      </c>
      <c r="I3347" s="4">
        <v>3</v>
      </c>
      <c r="J3347" s="1">
        <v>45726</v>
      </c>
      <c r="K3347" s="2">
        <v>2.4774305555555556E-2</v>
      </c>
      <c r="M3347" s="4" t="str">
        <f t="shared" si="156"/>
        <v>HIGH</v>
      </c>
      <c r="N3347" s="4" t="str" cm="1">
        <f t="array" ref="N3347">_xlfn.IFS(C3347&gt;35,"HIGH",C3347&gt;25,"MIDDLE",TRUE,"LOW")</f>
        <v>HIGH</v>
      </c>
      <c r="O3347" s="4" t="str">
        <f t="shared" si="157"/>
        <v>PREMINUM MORNING</v>
      </c>
      <c r="P3347" s="4" t="str">
        <f t="shared" si="158"/>
        <v>PREMINUM MORNING</v>
      </c>
    </row>
    <row r="3348" spans="1:16" x14ac:dyDescent="0.3">
      <c r="A3348" s="4">
        <v>9</v>
      </c>
      <c r="B3348" t="s">
        <v>11</v>
      </c>
      <c r="C3348" s="4">
        <v>30.86</v>
      </c>
      <c r="D3348" t="s">
        <v>19</v>
      </c>
      <c r="E3348" t="s">
        <v>13</v>
      </c>
      <c r="F3348" s="4" t="s">
        <v>25</v>
      </c>
      <c r="G3348" s="4" t="s">
        <v>15</v>
      </c>
      <c r="H3348" s="4">
        <v>1</v>
      </c>
      <c r="I3348" s="4">
        <v>3</v>
      </c>
      <c r="J3348" s="1">
        <v>45726</v>
      </c>
      <c r="K3348" s="2">
        <v>4.4861111111111117E-3</v>
      </c>
      <c r="M3348" s="4" t="str">
        <f t="shared" si="156"/>
        <v>LOW</v>
      </c>
      <c r="N3348" s="4" t="str" cm="1">
        <f t="array" ref="N3348">_xlfn.IFS(C3348&gt;35,"HIGH",C3348&gt;25,"MIDDLE",TRUE,"LOW")</f>
        <v>MIDDLE</v>
      </c>
      <c r="O3348" s="4" t="str">
        <f t="shared" si="157"/>
        <v>OTHERS</v>
      </c>
      <c r="P3348" s="4" t="str">
        <f t="shared" si="158"/>
        <v>PREMINUM MORNING</v>
      </c>
    </row>
    <row r="3349" spans="1:16" x14ac:dyDescent="0.3">
      <c r="A3349" s="4">
        <v>9</v>
      </c>
      <c r="B3349" t="s">
        <v>11</v>
      </c>
      <c r="C3349" s="4">
        <v>35.76</v>
      </c>
      <c r="D3349" t="s">
        <v>16</v>
      </c>
      <c r="E3349" t="s">
        <v>13</v>
      </c>
      <c r="F3349" s="4" t="s">
        <v>25</v>
      </c>
      <c r="G3349" s="4" t="s">
        <v>15</v>
      </c>
      <c r="H3349" s="4">
        <v>1</v>
      </c>
      <c r="I3349" s="4">
        <v>3</v>
      </c>
      <c r="J3349" s="1">
        <v>45726</v>
      </c>
      <c r="K3349" s="2">
        <v>1.3528935185185186E-2</v>
      </c>
      <c r="M3349" s="4" t="str">
        <f t="shared" si="156"/>
        <v>HIGH</v>
      </c>
      <c r="N3349" s="4" t="str" cm="1">
        <f t="array" ref="N3349">_xlfn.IFS(C3349&gt;35,"HIGH",C3349&gt;25,"MIDDLE",TRUE,"LOW")</f>
        <v>HIGH</v>
      </c>
      <c r="O3349" s="4" t="str">
        <f t="shared" si="157"/>
        <v>PREMINUM MORNING</v>
      </c>
      <c r="P3349" s="4" t="str">
        <f t="shared" si="158"/>
        <v>PREMINUM MORNING</v>
      </c>
    </row>
    <row r="3350" spans="1:16" x14ac:dyDescent="0.3">
      <c r="A3350" s="4">
        <v>9</v>
      </c>
      <c r="B3350" t="s">
        <v>11</v>
      </c>
      <c r="C3350" s="4">
        <v>35.76</v>
      </c>
      <c r="D3350" t="s">
        <v>21</v>
      </c>
      <c r="E3350" t="s">
        <v>13</v>
      </c>
      <c r="F3350" s="4" t="s">
        <v>25</v>
      </c>
      <c r="G3350" s="4" t="s">
        <v>15</v>
      </c>
      <c r="H3350" s="4">
        <v>1</v>
      </c>
      <c r="I3350" s="4">
        <v>3</v>
      </c>
      <c r="J3350" s="1">
        <v>45726</v>
      </c>
      <c r="K3350" s="2">
        <v>3.5348379629629625E-2</v>
      </c>
      <c r="M3350" s="4" t="str">
        <f t="shared" si="156"/>
        <v>HIGH</v>
      </c>
      <c r="N3350" s="4" t="str" cm="1">
        <f t="array" ref="N3350">_xlfn.IFS(C3350&gt;35,"HIGH",C3350&gt;25,"MIDDLE",TRUE,"LOW")</f>
        <v>HIGH</v>
      </c>
      <c r="O3350" s="4" t="str">
        <f t="shared" si="157"/>
        <v>PREMINUM MORNING</v>
      </c>
      <c r="P3350" s="4" t="str">
        <f t="shared" si="158"/>
        <v>PREMINUM MORNING</v>
      </c>
    </row>
    <row r="3351" spans="1:16" x14ac:dyDescent="0.3">
      <c r="A3351" s="4">
        <v>10</v>
      </c>
      <c r="B3351" t="s">
        <v>11</v>
      </c>
      <c r="C3351" s="4">
        <v>35.76</v>
      </c>
      <c r="D3351" t="s">
        <v>16</v>
      </c>
      <c r="E3351" t="s">
        <v>13</v>
      </c>
      <c r="F3351" s="4" t="s">
        <v>25</v>
      </c>
      <c r="G3351" s="4" t="s">
        <v>15</v>
      </c>
      <c r="H3351" s="4">
        <v>1</v>
      </c>
      <c r="I3351" s="4">
        <v>3</v>
      </c>
      <c r="J3351" s="1">
        <v>45726</v>
      </c>
      <c r="K3351" s="2">
        <v>1.3160879629629628E-2</v>
      </c>
      <c r="M3351" s="4" t="str">
        <f t="shared" si="156"/>
        <v>HIGH</v>
      </c>
      <c r="N3351" s="4" t="str" cm="1">
        <f t="array" ref="N3351">_xlfn.IFS(C3351&gt;35,"HIGH",C3351&gt;25,"MIDDLE",TRUE,"LOW")</f>
        <v>HIGH</v>
      </c>
      <c r="O3351" s="4" t="str">
        <f t="shared" si="157"/>
        <v>PREMINUM MORNING</v>
      </c>
      <c r="P3351" s="4" t="str">
        <f t="shared" si="158"/>
        <v>PREMINUM MORNING</v>
      </c>
    </row>
    <row r="3352" spans="1:16" x14ac:dyDescent="0.3">
      <c r="A3352" s="4">
        <v>12</v>
      </c>
      <c r="B3352" t="s">
        <v>11</v>
      </c>
      <c r="C3352" s="4">
        <v>25.96</v>
      </c>
      <c r="D3352" t="s">
        <v>18</v>
      </c>
      <c r="E3352" t="s">
        <v>17</v>
      </c>
      <c r="F3352" s="4" t="s">
        <v>25</v>
      </c>
      <c r="G3352" s="4" t="s">
        <v>15</v>
      </c>
      <c r="H3352" s="4">
        <v>1</v>
      </c>
      <c r="I3352" s="4">
        <v>3</v>
      </c>
      <c r="J3352" s="1">
        <v>45726</v>
      </c>
      <c r="K3352" s="2">
        <v>2.5171296296296299E-2</v>
      </c>
      <c r="M3352" s="4" t="str">
        <f t="shared" si="156"/>
        <v>LOW</v>
      </c>
      <c r="N3352" s="4" t="str" cm="1">
        <f t="array" ref="N3352">_xlfn.IFS(C3352&gt;35,"HIGH",C3352&gt;25,"MIDDLE",TRUE,"LOW")</f>
        <v>MIDDLE</v>
      </c>
      <c r="O3352" s="4" t="str">
        <f t="shared" si="157"/>
        <v>OTHERS</v>
      </c>
      <c r="P3352" s="4" t="str">
        <f t="shared" si="158"/>
        <v>OTHERS</v>
      </c>
    </row>
    <row r="3353" spans="1:16" x14ac:dyDescent="0.3">
      <c r="A3353" s="4">
        <v>15</v>
      </c>
      <c r="B3353" t="s">
        <v>11</v>
      </c>
      <c r="C3353" s="4">
        <v>25.96</v>
      </c>
      <c r="D3353" t="s">
        <v>18</v>
      </c>
      <c r="E3353" t="s">
        <v>17</v>
      </c>
      <c r="F3353" s="4" t="s">
        <v>25</v>
      </c>
      <c r="G3353" s="4" t="s">
        <v>15</v>
      </c>
      <c r="H3353" s="4">
        <v>1</v>
      </c>
      <c r="I3353" s="4">
        <v>3</v>
      </c>
      <c r="J3353" s="1">
        <v>45726</v>
      </c>
      <c r="K3353" s="2">
        <v>2.2332175925925925E-2</v>
      </c>
      <c r="M3353" s="4" t="str">
        <f t="shared" si="156"/>
        <v>LOW</v>
      </c>
      <c r="N3353" s="4" t="str" cm="1">
        <f t="array" ref="N3353">_xlfn.IFS(C3353&gt;35,"HIGH",C3353&gt;25,"MIDDLE",TRUE,"LOW")</f>
        <v>MIDDLE</v>
      </c>
      <c r="O3353" s="4" t="str">
        <f t="shared" si="157"/>
        <v>OTHERS</v>
      </c>
      <c r="P3353" s="4" t="str">
        <f t="shared" si="158"/>
        <v>OTHERS</v>
      </c>
    </row>
    <row r="3354" spans="1:16" x14ac:dyDescent="0.3">
      <c r="A3354" s="4">
        <v>15</v>
      </c>
      <c r="B3354" t="s">
        <v>11</v>
      </c>
      <c r="C3354" s="4">
        <v>35.76</v>
      </c>
      <c r="D3354" t="s">
        <v>16</v>
      </c>
      <c r="E3354" t="s">
        <v>17</v>
      </c>
      <c r="F3354" s="4" t="s">
        <v>25</v>
      </c>
      <c r="G3354" s="4" t="s">
        <v>15</v>
      </c>
      <c r="H3354" s="4">
        <v>1</v>
      </c>
      <c r="I3354" s="4">
        <v>3</v>
      </c>
      <c r="J3354" s="1">
        <v>45726</v>
      </c>
      <c r="K3354" s="2">
        <v>2.9142361111111112E-2</v>
      </c>
      <c r="M3354" s="4" t="str">
        <f t="shared" si="156"/>
        <v>HIGH</v>
      </c>
      <c r="N3354" s="4" t="str" cm="1">
        <f t="array" ref="N3354">_xlfn.IFS(C3354&gt;35,"HIGH",C3354&gt;25,"MIDDLE",TRUE,"LOW")</f>
        <v>HIGH</v>
      </c>
      <c r="O3354" s="4" t="str">
        <f t="shared" si="157"/>
        <v>OTHERS</v>
      </c>
      <c r="P3354" s="4" t="str">
        <f t="shared" si="158"/>
        <v>PREMINUM MORNING</v>
      </c>
    </row>
    <row r="3355" spans="1:16" x14ac:dyDescent="0.3">
      <c r="A3355" s="4">
        <v>16</v>
      </c>
      <c r="B3355" t="s">
        <v>11</v>
      </c>
      <c r="C3355" s="4">
        <v>35.76</v>
      </c>
      <c r="D3355" t="s">
        <v>12</v>
      </c>
      <c r="E3355" t="s">
        <v>17</v>
      </c>
      <c r="F3355" s="4" t="s">
        <v>25</v>
      </c>
      <c r="G3355" s="4" t="s">
        <v>15</v>
      </c>
      <c r="H3355" s="4">
        <v>1</v>
      </c>
      <c r="I3355" s="4">
        <v>3</v>
      </c>
      <c r="J3355" s="1">
        <v>45726</v>
      </c>
      <c r="K3355" s="2">
        <v>1.2506944444444444E-2</v>
      </c>
      <c r="M3355" s="4" t="str">
        <f t="shared" si="156"/>
        <v>HIGH</v>
      </c>
      <c r="N3355" s="4" t="str" cm="1">
        <f t="array" ref="N3355">_xlfn.IFS(C3355&gt;35,"HIGH",C3355&gt;25,"MIDDLE",TRUE,"LOW")</f>
        <v>HIGH</v>
      </c>
      <c r="O3355" s="4" t="str">
        <f t="shared" si="157"/>
        <v>OTHERS</v>
      </c>
      <c r="P3355" s="4" t="str">
        <f t="shared" si="158"/>
        <v>PREMINUM MORNING</v>
      </c>
    </row>
    <row r="3356" spans="1:16" x14ac:dyDescent="0.3">
      <c r="A3356" s="4">
        <v>16</v>
      </c>
      <c r="B3356" t="s">
        <v>11</v>
      </c>
      <c r="C3356" s="4">
        <v>35.76</v>
      </c>
      <c r="D3356" t="s">
        <v>12</v>
      </c>
      <c r="E3356" t="s">
        <v>17</v>
      </c>
      <c r="F3356" s="4" t="s">
        <v>25</v>
      </c>
      <c r="G3356" s="4" t="s">
        <v>15</v>
      </c>
      <c r="H3356" s="4">
        <v>1</v>
      </c>
      <c r="I3356" s="4">
        <v>3</v>
      </c>
      <c r="J3356" s="1">
        <v>45726</v>
      </c>
      <c r="K3356" s="2">
        <v>1.3127314814814816E-2</v>
      </c>
      <c r="M3356" s="4" t="str">
        <f t="shared" si="156"/>
        <v>HIGH</v>
      </c>
      <c r="N3356" s="4" t="str" cm="1">
        <f t="array" ref="N3356">_xlfn.IFS(C3356&gt;35,"HIGH",C3356&gt;25,"MIDDLE",TRUE,"LOW")</f>
        <v>HIGH</v>
      </c>
      <c r="O3356" s="4" t="str">
        <f t="shared" si="157"/>
        <v>OTHERS</v>
      </c>
      <c r="P3356" s="4" t="str">
        <f t="shared" si="158"/>
        <v>PREMINUM MORNING</v>
      </c>
    </row>
    <row r="3357" spans="1:16" x14ac:dyDescent="0.3">
      <c r="A3357" s="4">
        <v>16</v>
      </c>
      <c r="B3357" t="s">
        <v>11</v>
      </c>
      <c r="C3357" s="4">
        <v>35.76</v>
      </c>
      <c r="D3357" t="s">
        <v>29</v>
      </c>
      <c r="E3357" t="s">
        <v>17</v>
      </c>
      <c r="F3357" s="4" t="s">
        <v>25</v>
      </c>
      <c r="G3357" s="4" t="s">
        <v>15</v>
      </c>
      <c r="H3357" s="4">
        <v>1</v>
      </c>
      <c r="I3357" s="4">
        <v>3</v>
      </c>
      <c r="J3357" s="1">
        <v>45726</v>
      </c>
      <c r="K3357" s="2">
        <v>1.6960648148148148E-2</v>
      </c>
      <c r="M3357" s="4" t="str">
        <f t="shared" si="156"/>
        <v>HIGH</v>
      </c>
      <c r="N3357" s="4" t="str" cm="1">
        <f t="array" ref="N3357">_xlfn.IFS(C3357&gt;35,"HIGH",C3357&gt;25,"MIDDLE",TRUE,"LOW")</f>
        <v>HIGH</v>
      </c>
      <c r="O3357" s="4" t="str">
        <f t="shared" si="157"/>
        <v>OTHERS</v>
      </c>
      <c r="P3357" s="4" t="str">
        <f t="shared" si="158"/>
        <v>PREMINUM MORNING</v>
      </c>
    </row>
    <row r="3358" spans="1:16" x14ac:dyDescent="0.3">
      <c r="A3358" s="4">
        <v>16</v>
      </c>
      <c r="B3358" t="s">
        <v>11</v>
      </c>
      <c r="C3358" s="4">
        <v>30.86</v>
      </c>
      <c r="D3358" t="s">
        <v>19</v>
      </c>
      <c r="E3358" t="s">
        <v>17</v>
      </c>
      <c r="F3358" s="4" t="s">
        <v>25</v>
      </c>
      <c r="G3358" s="4" t="s">
        <v>15</v>
      </c>
      <c r="H3358" s="4">
        <v>1</v>
      </c>
      <c r="I3358" s="4">
        <v>3</v>
      </c>
      <c r="J3358" s="1">
        <v>45726</v>
      </c>
      <c r="K3358" s="2">
        <v>1.7737268518518517E-2</v>
      </c>
      <c r="M3358" s="4" t="str">
        <f t="shared" si="156"/>
        <v>LOW</v>
      </c>
      <c r="N3358" s="4" t="str" cm="1">
        <f t="array" ref="N3358">_xlfn.IFS(C3358&gt;35,"HIGH",C3358&gt;25,"MIDDLE",TRUE,"LOW")</f>
        <v>MIDDLE</v>
      </c>
      <c r="O3358" s="4" t="str">
        <f t="shared" si="157"/>
        <v>OTHERS</v>
      </c>
      <c r="P3358" s="4" t="str">
        <f t="shared" si="158"/>
        <v>OTHERS</v>
      </c>
    </row>
    <row r="3359" spans="1:16" x14ac:dyDescent="0.3">
      <c r="A3359" s="4">
        <v>18</v>
      </c>
      <c r="B3359" t="s">
        <v>11</v>
      </c>
      <c r="C3359" s="4">
        <v>25.96</v>
      </c>
      <c r="D3359" t="s">
        <v>18</v>
      </c>
      <c r="E3359" t="s">
        <v>20</v>
      </c>
      <c r="F3359" s="4" t="s">
        <v>25</v>
      </c>
      <c r="G3359" s="4" t="s">
        <v>15</v>
      </c>
      <c r="H3359" s="4">
        <v>1</v>
      </c>
      <c r="I3359" s="4">
        <v>3</v>
      </c>
      <c r="J3359" s="1">
        <v>45726</v>
      </c>
      <c r="K3359" s="2">
        <v>1.1043981481481483E-2</v>
      </c>
      <c r="M3359" s="4" t="str">
        <f t="shared" si="156"/>
        <v>LOW</v>
      </c>
      <c r="N3359" s="4" t="str" cm="1">
        <f t="array" ref="N3359">_xlfn.IFS(C3359&gt;35,"HIGH",C3359&gt;25,"MIDDLE",TRUE,"LOW")</f>
        <v>MIDDLE</v>
      </c>
      <c r="O3359" s="4" t="str">
        <f t="shared" si="157"/>
        <v>OTHERS</v>
      </c>
      <c r="P3359" s="4" t="str">
        <f t="shared" si="158"/>
        <v>OTHERS</v>
      </c>
    </row>
    <row r="3360" spans="1:16" x14ac:dyDescent="0.3">
      <c r="A3360" s="4">
        <v>18</v>
      </c>
      <c r="B3360" t="s">
        <v>11</v>
      </c>
      <c r="C3360" s="4">
        <v>35.76</v>
      </c>
      <c r="D3360" t="s">
        <v>12</v>
      </c>
      <c r="E3360" t="s">
        <v>20</v>
      </c>
      <c r="F3360" s="4" t="s">
        <v>25</v>
      </c>
      <c r="G3360" s="4" t="s">
        <v>15</v>
      </c>
      <c r="H3360" s="4">
        <v>1</v>
      </c>
      <c r="I3360" s="4">
        <v>3</v>
      </c>
      <c r="J3360" s="1">
        <v>45726</v>
      </c>
      <c r="K3360" s="2">
        <v>3.368287037037037E-2</v>
      </c>
      <c r="M3360" s="4" t="str">
        <f t="shared" si="156"/>
        <v>HIGH</v>
      </c>
      <c r="N3360" s="4" t="str" cm="1">
        <f t="array" ref="N3360">_xlfn.IFS(C3360&gt;35,"HIGH",C3360&gt;25,"MIDDLE",TRUE,"LOW")</f>
        <v>HIGH</v>
      </c>
      <c r="O3360" s="4" t="str">
        <f t="shared" si="157"/>
        <v>OTHERS</v>
      </c>
      <c r="P3360" s="4" t="str">
        <f t="shared" si="158"/>
        <v>PREMINUM MORNING</v>
      </c>
    </row>
    <row r="3361" spans="1:16" x14ac:dyDescent="0.3">
      <c r="A3361" s="4">
        <v>18</v>
      </c>
      <c r="B3361" t="s">
        <v>11</v>
      </c>
      <c r="C3361" s="4">
        <v>35.76</v>
      </c>
      <c r="D3361" t="s">
        <v>12</v>
      </c>
      <c r="E3361" t="s">
        <v>20</v>
      </c>
      <c r="F3361" s="4" t="s">
        <v>25</v>
      </c>
      <c r="G3361" s="4" t="s">
        <v>15</v>
      </c>
      <c r="H3361" s="4">
        <v>1</v>
      </c>
      <c r="I3361" s="4">
        <v>3</v>
      </c>
      <c r="J3361" s="1">
        <v>45726</v>
      </c>
      <c r="K3361" s="2">
        <v>3.4285879629629631E-2</v>
      </c>
      <c r="M3361" s="4" t="str">
        <f t="shared" si="156"/>
        <v>HIGH</v>
      </c>
      <c r="N3361" s="4" t="str" cm="1">
        <f t="array" ref="N3361">_xlfn.IFS(C3361&gt;35,"HIGH",C3361&gt;25,"MIDDLE",TRUE,"LOW")</f>
        <v>HIGH</v>
      </c>
      <c r="O3361" s="4" t="str">
        <f t="shared" si="157"/>
        <v>OTHERS</v>
      </c>
      <c r="P3361" s="4" t="str">
        <f t="shared" si="158"/>
        <v>PREMINUM MORNING</v>
      </c>
    </row>
    <row r="3362" spans="1:16" x14ac:dyDescent="0.3">
      <c r="A3362" s="4">
        <v>19</v>
      </c>
      <c r="B3362" t="s">
        <v>11</v>
      </c>
      <c r="C3362" s="4">
        <v>30.86</v>
      </c>
      <c r="D3362" t="s">
        <v>19</v>
      </c>
      <c r="E3362" t="s">
        <v>20</v>
      </c>
      <c r="F3362" s="4" t="s">
        <v>25</v>
      </c>
      <c r="G3362" s="4" t="s">
        <v>15</v>
      </c>
      <c r="H3362" s="4">
        <v>1</v>
      </c>
      <c r="I3362" s="4">
        <v>3</v>
      </c>
      <c r="J3362" s="1">
        <v>45726</v>
      </c>
      <c r="K3362" s="2">
        <v>1.8552083333333334E-2</v>
      </c>
      <c r="M3362" s="4" t="str">
        <f t="shared" si="156"/>
        <v>LOW</v>
      </c>
      <c r="N3362" s="4" t="str" cm="1">
        <f t="array" ref="N3362">_xlfn.IFS(C3362&gt;35,"HIGH",C3362&gt;25,"MIDDLE",TRUE,"LOW")</f>
        <v>MIDDLE</v>
      </c>
      <c r="O3362" s="4" t="str">
        <f t="shared" si="157"/>
        <v>OTHERS</v>
      </c>
      <c r="P3362" s="4" t="str">
        <f t="shared" si="158"/>
        <v>OTHERS</v>
      </c>
    </row>
    <row r="3363" spans="1:16" x14ac:dyDescent="0.3">
      <c r="A3363" s="4">
        <v>8</v>
      </c>
      <c r="B3363" t="s">
        <v>11</v>
      </c>
      <c r="C3363" s="4">
        <v>25.96</v>
      </c>
      <c r="D3363" t="s">
        <v>18</v>
      </c>
      <c r="E3363" t="s">
        <v>13</v>
      </c>
      <c r="F3363" s="4" t="s">
        <v>27</v>
      </c>
      <c r="G3363" s="4" t="s">
        <v>15</v>
      </c>
      <c r="H3363" s="4">
        <v>2</v>
      </c>
      <c r="I3363" s="4">
        <v>3</v>
      </c>
      <c r="J3363" s="1">
        <v>45727</v>
      </c>
      <c r="K3363" s="2">
        <v>3.2240740740740736E-2</v>
      </c>
      <c r="M3363" s="4" t="str">
        <f t="shared" si="156"/>
        <v>LOW</v>
      </c>
      <c r="N3363" s="4" t="str" cm="1">
        <f t="array" ref="N3363">_xlfn.IFS(C3363&gt;35,"HIGH",C3363&gt;25,"MIDDLE",TRUE,"LOW")</f>
        <v>MIDDLE</v>
      </c>
      <c r="O3363" s="4" t="str">
        <f t="shared" si="157"/>
        <v>OTHERS</v>
      </c>
      <c r="P3363" s="4" t="str">
        <f t="shared" si="158"/>
        <v>PREMINUM MORNING</v>
      </c>
    </row>
    <row r="3364" spans="1:16" x14ac:dyDescent="0.3">
      <c r="A3364" s="4">
        <v>9</v>
      </c>
      <c r="B3364" t="s">
        <v>11</v>
      </c>
      <c r="C3364" s="4">
        <v>35.76</v>
      </c>
      <c r="D3364" t="s">
        <v>29</v>
      </c>
      <c r="E3364" t="s">
        <v>13</v>
      </c>
      <c r="F3364" s="4" t="s">
        <v>27</v>
      </c>
      <c r="G3364" s="4" t="s">
        <v>15</v>
      </c>
      <c r="H3364" s="4">
        <v>2</v>
      </c>
      <c r="I3364" s="4">
        <v>3</v>
      </c>
      <c r="J3364" s="1">
        <v>45727</v>
      </c>
      <c r="K3364" s="2">
        <v>8.6539351851851864E-3</v>
      </c>
      <c r="M3364" s="4" t="str">
        <f t="shared" si="156"/>
        <v>HIGH</v>
      </c>
      <c r="N3364" s="4" t="str" cm="1">
        <f t="array" ref="N3364">_xlfn.IFS(C3364&gt;35,"HIGH",C3364&gt;25,"MIDDLE",TRUE,"LOW")</f>
        <v>HIGH</v>
      </c>
      <c r="O3364" s="4" t="str">
        <f t="shared" si="157"/>
        <v>PREMINUM MORNING</v>
      </c>
      <c r="P3364" s="4" t="str">
        <f t="shared" si="158"/>
        <v>PREMINUM MORNING</v>
      </c>
    </row>
    <row r="3365" spans="1:16" x14ac:dyDescent="0.3">
      <c r="A3365" s="4">
        <v>9</v>
      </c>
      <c r="B3365" t="s">
        <v>11</v>
      </c>
      <c r="C3365" s="4">
        <v>35.76</v>
      </c>
      <c r="D3365" t="s">
        <v>12</v>
      </c>
      <c r="E3365" t="s">
        <v>13</v>
      </c>
      <c r="F3365" s="4" t="s">
        <v>27</v>
      </c>
      <c r="G3365" s="4" t="s">
        <v>15</v>
      </c>
      <c r="H3365" s="4">
        <v>2</v>
      </c>
      <c r="I3365" s="4">
        <v>3</v>
      </c>
      <c r="J3365" s="1">
        <v>45727</v>
      </c>
      <c r="K3365" s="2">
        <v>1.8800925925925926E-2</v>
      </c>
      <c r="M3365" s="4" t="str">
        <f t="shared" si="156"/>
        <v>HIGH</v>
      </c>
      <c r="N3365" s="4" t="str" cm="1">
        <f t="array" ref="N3365">_xlfn.IFS(C3365&gt;35,"HIGH",C3365&gt;25,"MIDDLE",TRUE,"LOW")</f>
        <v>HIGH</v>
      </c>
      <c r="O3365" s="4" t="str">
        <f t="shared" si="157"/>
        <v>PREMINUM MORNING</v>
      </c>
      <c r="P3365" s="4" t="str">
        <f t="shared" si="158"/>
        <v>PREMINUM MORNING</v>
      </c>
    </row>
    <row r="3366" spans="1:16" x14ac:dyDescent="0.3">
      <c r="A3366" s="4">
        <v>10</v>
      </c>
      <c r="B3366" t="s">
        <v>11</v>
      </c>
      <c r="C3366" s="4">
        <v>25.96</v>
      </c>
      <c r="D3366" t="s">
        <v>18</v>
      </c>
      <c r="E3366" t="s">
        <v>13</v>
      </c>
      <c r="F3366" s="4" t="s">
        <v>27</v>
      </c>
      <c r="G3366" s="4" t="s">
        <v>15</v>
      </c>
      <c r="H3366" s="4">
        <v>2</v>
      </c>
      <c r="I3366" s="4">
        <v>3</v>
      </c>
      <c r="J3366" s="1">
        <v>45727</v>
      </c>
      <c r="K3366" s="2">
        <v>1.8724537037037036E-2</v>
      </c>
      <c r="M3366" s="4" t="str">
        <f t="shared" si="156"/>
        <v>LOW</v>
      </c>
      <c r="N3366" s="4" t="str" cm="1">
        <f t="array" ref="N3366">_xlfn.IFS(C3366&gt;35,"HIGH",C3366&gt;25,"MIDDLE",TRUE,"LOW")</f>
        <v>MIDDLE</v>
      </c>
      <c r="O3366" s="4" t="str">
        <f t="shared" si="157"/>
        <v>OTHERS</v>
      </c>
      <c r="P3366" s="4" t="str">
        <f t="shared" si="158"/>
        <v>PREMINUM MORNING</v>
      </c>
    </row>
    <row r="3367" spans="1:16" x14ac:dyDescent="0.3">
      <c r="A3367" s="4">
        <v>12</v>
      </c>
      <c r="B3367" t="s">
        <v>11</v>
      </c>
      <c r="C3367" s="4">
        <v>25.96</v>
      </c>
      <c r="D3367" t="s">
        <v>18</v>
      </c>
      <c r="E3367" t="s">
        <v>17</v>
      </c>
      <c r="F3367" s="4" t="s">
        <v>27</v>
      </c>
      <c r="G3367" s="4" t="s">
        <v>15</v>
      </c>
      <c r="H3367" s="4">
        <v>2</v>
      </c>
      <c r="I3367" s="4">
        <v>3</v>
      </c>
      <c r="J3367" s="1">
        <v>45727</v>
      </c>
      <c r="K3367" s="2">
        <v>2.3152777777777779E-2</v>
      </c>
      <c r="M3367" s="4" t="str">
        <f t="shared" si="156"/>
        <v>LOW</v>
      </c>
      <c r="N3367" s="4" t="str" cm="1">
        <f t="array" ref="N3367">_xlfn.IFS(C3367&gt;35,"HIGH",C3367&gt;25,"MIDDLE",TRUE,"LOW")</f>
        <v>MIDDLE</v>
      </c>
      <c r="O3367" s="4" t="str">
        <f t="shared" si="157"/>
        <v>OTHERS</v>
      </c>
      <c r="P3367" s="4" t="str">
        <f t="shared" si="158"/>
        <v>OTHERS</v>
      </c>
    </row>
    <row r="3368" spans="1:16" x14ac:dyDescent="0.3">
      <c r="A3368" s="4">
        <v>13</v>
      </c>
      <c r="B3368" t="s">
        <v>11</v>
      </c>
      <c r="C3368" s="4">
        <v>25.96</v>
      </c>
      <c r="D3368" t="s">
        <v>18</v>
      </c>
      <c r="E3368" t="s">
        <v>17</v>
      </c>
      <c r="F3368" s="4" t="s">
        <v>27</v>
      </c>
      <c r="G3368" s="4" t="s">
        <v>15</v>
      </c>
      <c r="H3368" s="4">
        <v>2</v>
      </c>
      <c r="I3368" s="4">
        <v>3</v>
      </c>
      <c r="J3368" s="1">
        <v>45727</v>
      </c>
      <c r="K3368" s="2">
        <v>1.1744212962962963E-2</v>
      </c>
      <c r="M3368" s="4" t="str">
        <f t="shared" si="156"/>
        <v>LOW</v>
      </c>
      <c r="N3368" s="4" t="str" cm="1">
        <f t="array" ref="N3368">_xlfn.IFS(C3368&gt;35,"HIGH",C3368&gt;25,"MIDDLE",TRUE,"LOW")</f>
        <v>MIDDLE</v>
      </c>
      <c r="O3368" s="4" t="str">
        <f t="shared" si="157"/>
        <v>OTHERS</v>
      </c>
      <c r="P3368" s="4" t="str">
        <f t="shared" si="158"/>
        <v>OTHERS</v>
      </c>
    </row>
    <row r="3369" spans="1:16" x14ac:dyDescent="0.3">
      <c r="A3369" s="4">
        <v>16</v>
      </c>
      <c r="B3369" t="s">
        <v>11</v>
      </c>
      <c r="C3369" s="4">
        <v>35.76</v>
      </c>
      <c r="D3369" t="s">
        <v>16</v>
      </c>
      <c r="E3369" t="s">
        <v>17</v>
      </c>
      <c r="F3369" s="4" t="s">
        <v>27</v>
      </c>
      <c r="G3369" s="4" t="s">
        <v>15</v>
      </c>
      <c r="H3369" s="4">
        <v>2</v>
      </c>
      <c r="I3369" s="4">
        <v>3</v>
      </c>
      <c r="J3369" s="1">
        <v>45727</v>
      </c>
      <c r="K3369" s="2">
        <v>2.0498842592592593E-2</v>
      </c>
      <c r="M3369" s="4" t="str">
        <f t="shared" si="156"/>
        <v>HIGH</v>
      </c>
      <c r="N3369" s="4" t="str" cm="1">
        <f t="array" ref="N3369">_xlfn.IFS(C3369&gt;35,"HIGH",C3369&gt;25,"MIDDLE",TRUE,"LOW")</f>
        <v>HIGH</v>
      </c>
      <c r="O3369" s="4" t="str">
        <f t="shared" si="157"/>
        <v>OTHERS</v>
      </c>
      <c r="P3369" s="4" t="str">
        <f t="shared" si="158"/>
        <v>PREMINUM MORNING</v>
      </c>
    </row>
    <row r="3370" spans="1:16" x14ac:dyDescent="0.3">
      <c r="A3370" s="4">
        <v>16</v>
      </c>
      <c r="B3370" t="s">
        <v>11</v>
      </c>
      <c r="C3370" s="4">
        <v>35.76</v>
      </c>
      <c r="D3370" t="s">
        <v>21</v>
      </c>
      <c r="E3370" t="s">
        <v>17</v>
      </c>
      <c r="F3370" s="4" t="s">
        <v>27</v>
      </c>
      <c r="G3370" s="4" t="s">
        <v>15</v>
      </c>
      <c r="H3370" s="4">
        <v>2</v>
      </c>
      <c r="I3370" s="4">
        <v>3</v>
      </c>
      <c r="J3370" s="1">
        <v>45727</v>
      </c>
      <c r="K3370" s="2">
        <v>2.1019675925925924E-2</v>
      </c>
      <c r="M3370" s="4" t="str">
        <f t="shared" si="156"/>
        <v>HIGH</v>
      </c>
      <c r="N3370" s="4" t="str" cm="1">
        <f t="array" ref="N3370">_xlfn.IFS(C3370&gt;35,"HIGH",C3370&gt;25,"MIDDLE",TRUE,"LOW")</f>
        <v>HIGH</v>
      </c>
      <c r="O3370" s="4" t="str">
        <f t="shared" si="157"/>
        <v>OTHERS</v>
      </c>
      <c r="P3370" s="4" t="str">
        <f t="shared" si="158"/>
        <v>PREMINUM MORNING</v>
      </c>
    </row>
    <row r="3371" spans="1:16" x14ac:dyDescent="0.3">
      <c r="A3371" s="4">
        <v>16</v>
      </c>
      <c r="B3371" t="s">
        <v>11</v>
      </c>
      <c r="C3371" s="4">
        <v>35.76</v>
      </c>
      <c r="D3371" t="s">
        <v>16</v>
      </c>
      <c r="E3371" t="s">
        <v>17</v>
      </c>
      <c r="F3371" s="4" t="s">
        <v>27</v>
      </c>
      <c r="G3371" s="4" t="s">
        <v>15</v>
      </c>
      <c r="H3371" s="4">
        <v>2</v>
      </c>
      <c r="I3371" s="4">
        <v>3</v>
      </c>
      <c r="J3371" s="1">
        <v>45727</v>
      </c>
      <c r="K3371" s="2">
        <v>3.4500000000000003E-2</v>
      </c>
      <c r="M3371" s="4" t="str">
        <f t="shared" si="156"/>
        <v>HIGH</v>
      </c>
      <c r="N3371" s="4" t="str" cm="1">
        <f t="array" ref="N3371">_xlfn.IFS(C3371&gt;35,"HIGH",C3371&gt;25,"MIDDLE",TRUE,"LOW")</f>
        <v>HIGH</v>
      </c>
      <c r="O3371" s="4" t="str">
        <f t="shared" si="157"/>
        <v>OTHERS</v>
      </c>
      <c r="P3371" s="4" t="str">
        <f t="shared" si="158"/>
        <v>PREMINUM MORNING</v>
      </c>
    </row>
    <row r="3372" spans="1:16" x14ac:dyDescent="0.3">
      <c r="A3372" s="4">
        <v>17</v>
      </c>
      <c r="B3372" t="s">
        <v>11</v>
      </c>
      <c r="C3372" s="4">
        <v>35.76</v>
      </c>
      <c r="D3372" t="s">
        <v>29</v>
      </c>
      <c r="E3372" t="s">
        <v>20</v>
      </c>
      <c r="F3372" s="4" t="s">
        <v>27</v>
      </c>
      <c r="G3372" s="4" t="s">
        <v>15</v>
      </c>
      <c r="H3372" s="4">
        <v>2</v>
      </c>
      <c r="I3372" s="4">
        <v>3</v>
      </c>
      <c r="J3372" s="1">
        <v>45727</v>
      </c>
      <c r="K3372" s="2">
        <v>3.2525462962962957E-2</v>
      </c>
      <c r="M3372" s="4" t="str">
        <f t="shared" si="156"/>
        <v>HIGH</v>
      </c>
      <c r="N3372" s="4" t="str" cm="1">
        <f t="array" ref="N3372">_xlfn.IFS(C3372&gt;35,"HIGH",C3372&gt;25,"MIDDLE",TRUE,"LOW")</f>
        <v>HIGH</v>
      </c>
      <c r="O3372" s="4" t="str">
        <f t="shared" si="157"/>
        <v>OTHERS</v>
      </c>
      <c r="P3372" s="4" t="str">
        <f t="shared" si="158"/>
        <v>PREMINUM MORNING</v>
      </c>
    </row>
    <row r="3373" spans="1:16" x14ac:dyDescent="0.3">
      <c r="A3373" s="4">
        <v>18</v>
      </c>
      <c r="B3373" t="s">
        <v>11</v>
      </c>
      <c r="C3373" s="4">
        <v>30.86</v>
      </c>
      <c r="D3373" t="s">
        <v>19</v>
      </c>
      <c r="E3373" t="s">
        <v>20</v>
      </c>
      <c r="F3373" s="4" t="s">
        <v>27</v>
      </c>
      <c r="G3373" s="4" t="s">
        <v>15</v>
      </c>
      <c r="H3373" s="4">
        <v>2</v>
      </c>
      <c r="I3373" s="4">
        <v>3</v>
      </c>
      <c r="J3373" s="1">
        <v>45727</v>
      </c>
      <c r="K3373" s="2">
        <v>3.9491898148148144E-2</v>
      </c>
      <c r="M3373" s="4" t="str">
        <f t="shared" si="156"/>
        <v>LOW</v>
      </c>
      <c r="N3373" s="4" t="str" cm="1">
        <f t="array" ref="N3373">_xlfn.IFS(C3373&gt;35,"HIGH",C3373&gt;25,"MIDDLE",TRUE,"LOW")</f>
        <v>MIDDLE</v>
      </c>
      <c r="O3373" s="4" t="str">
        <f t="shared" si="157"/>
        <v>OTHERS</v>
      </c>
      <c r="P3373" s="4" t="str">
        <f t="shared" si="158"/>
        <v>OTHERS</v>
      </c>
    </row>
    <row r="3374" spans="1:16" x14ac:dyDescent="0.3">
      <c r="A3374" s="4">
        <v>19</v>
      </c>
      <c r="B3374" t="s">
        <v>11</v>
      </c>
      <c r="C3374" s="4">
        <v>35.76</v>
      </c>
      <c r="D3374" t="s">
        <v>12</v>
      </c>
      <c r="E3374" t="s">
        <v>20</v>
      </c>
      <c r="F3374" s="4" t="s">
        <v>27</v>
      </c>
      <c r="G3374" s="4" t="s">
        <v>15</v>
      </c>
      <c r="H3374" s="4">
        <v>2</v>
      </c>
      <c r="I3374" s="4">
        <v>3</v>
      </c>
      <c r="J3374" s="1">
        <v>45727</v>
      </c>
      <c r="K3374" s="2">
        <v>5.0277777777777777E-3</v>
      </c>
      <c r="M3374" s="4" t="str">
        <f t="shared" si="156"/>
        <v>HIGH</v>
      </c>
      <c r="N3374" s="4" t="str" cm="1">
        <f t="array" ref="N3374">_xlfn.IFS(C3374&gt;35,"HIGH",C3374&gt;25,"MIDDLE",TRUE,"LOW")</f>
        <v>HIGH</v>
      </c>
      <c r="O3374" s="4" t="str">
        <f t="shared" si="157"/>
        <v>OTHERS</v>
      </c>
      <c r="P3374" s="4" t="str">
        <f t="shared" si="158"/>
        <v>PREMINUM MORNING</v>
      </c>
    </row>
    <row r="3375" spans="1:16" x14ac:dyDescent="0.3">
      <c r="A3375" s="4">
        <v>20</v>
      </c>
      <c r="B3375" t="s">
        <v>11</v>
      </c>
      <c r="C3375" s="4">
        <v>35.76</v>
      </c>
      <c r="D3375" t="s">
        <v>21</v>
      </c>
      <c r="E3375" t="s">
        <v>20</v>
      </c>
      <c r="F3375" s="4" t="s">
        <v>27</v>
      </c>
      <c r="G3375" s="4" t="s">
        <v>15</v>
      </c>
      <c r="H3375" s="4">
        <v>2</v>
      </c>
      <c r="I3375" s="4">
        <v>3</v>
      </c>
      <c r="J3375" s="1">
        <v>45727</v>
      </c>
      <c r="K3375" s="2">
        <v>6.207175925925925E-3</v>
      </c>
      <c r="M3375" s="4" t="str">
        <f t="shared" si="156"/>
        <v>HIGH</v>
      </c>
      <c r="N3375" s="4" t="str" cm="1">
        <f t="array" ref="N3375">_xlfn.IFS(C3375&gt;35,"HIGH",C3375&gt;25,"MIDDLE",TRUE,"LOW")</f>
        <v>HIGH</v>
      </c>
      <c r="O3375" s="4" t="str">
        <f t="shared" si="157"/>
        <v>OTHERS</v>
      </c>
      <c r="P3375" s="4" t="str">
        <f t="shared" si="158"/>
        <v>PREMINUM MORNING</v>
      </c>
    </row>
    <row r="3376" spans="1:16" x14ac:dyDescent="0.3">
      <c r="A3376" s="4">
        <v>11</v>
      </c>
      <c r="B3376" t="s">
        <v>11</v>
      </c>
      <c r="C3376" s="4">
        <v>35.76</v>
      </c>
      <c r="D3376" t="s">
        <v>21</v>
      </c>
      <c r="E3376" t="s">
        <v>13</v>
      </c>
      <c r="F3376" s="4" t="s">
        <v>28</v>
      </c>
      <c r="G3376" s="4" t="s">
        <v>15</v>
      </c>
      <c r="H3376" s="4">
        <v>3</v>
      </c>
      <c r="I3376" s="4">
        <v>3</v>
      </c>
      <c r="J3376" s="1">
        <v>45728</v>
      </c>
      <c r="K3376" s="2">
        <v>8.0949074074074066E-3</v>
      </c>
      <c r="M3376" s="4" t="str">
        <f t="shared" si="156"/>
        <v>HIGH</v>
      </c>
      <c r="N3376" s="4" t="str" cm="1">
        <f t="array" ref="N3376">_xlfn.IFS(C3376&gt;35,"HIGH",C3376&gt;25,"MIDDLE",TRUE,"LOW")</f>
        <v>HIGH</v>
      </c>
      <c r="O3376" s="4" t="str">
        <f t="shared" si="157"/>
        <v>PREMINUM MORNING</v>
      </c>
      <c r="P3376" s="4" t="str">
        <f t="shared" si="158"/>
        <v>PREMINUM MORNING</v>
      </c>
    </row>
    <row r="3377" spans="1:16" x14ac:dyDescent="0.3">
      <c r="A3377" s="4">
        <v>11</v>
      </c>
      <c r="B3377" t="s">
        <v>11</v>
      </c>
      <c r="C3377" s="4">
        <v>30.86</v>
      </c>
      <c r="D3377" t="s">
        <v>19</v>
      </c>
      <c r="E3377" t="s">
        <v>13</v>
      </c>
      <c r="F3377" s="4" t="s">
        <v>28</v>
      </c>
      <c r="G3377" s="4" t="s">
        <v>15</v>
      </c>
      <c r="H3377" s="4">
        <v>3</v>
      </c>
      <c r="I3377" s="4">
        <v>3</v>
      </c>
      <c r="J3377" s="1">
        <v>45728</v>
      </c>
      <c r="K3377" s="2">
        <v>3.303587962962963E-2</v>
      </c>
      <c r="M3377" s="4" t="str">
        <f t="shared" si="156"/>
        <v>LOW</v>
      </c>
      <c r="N3377" s="4" t="str" cm="1">
        <f t="array" ref="N3377">_xlfn.IFS(C3377&gt;35,"HIGH",C3377&gt;25,"MIDDLE",TRUE,"LOW")</f>
        <v>MIDDLE</v>
      </c>
      <c r="O3377" s="4" t="str">
        <f t="shared" si="157"/>
        <v>OTHERS</v>
      </c>
      <c r="P3377" s="4" t="str">
        <f t="shared" si="158"/>
        <v>PREMINUM MORNING</v>
      </c>
    </row>
    <row r="3378" spans="1:16" x14ac:dyDescent="0.3">
      <c r="A3378" s="4">
        <v>11</v>
      </c>
      <c r="B3378" t="s">
        <v>11</v>
      </c>
      <c r="C3378" s="4">
        <v>35.76</v>
      </c>
      <c r="D3378" t="s">
        <v>29</v>
      </c>
      <c r="E3378" t="s">
        <v>13</v>
      </c>
      <c r="F3378" s="4" t="s">
        <v>28</v>
      </c>
      <c r="G3378" s="4" t="s">
        <v>15</v>
      </c>
      <c r="H3378" s="4">
        <v>3</v>
      </c>
      <c r="I3378" s="4">
        <v>3</v>
      </c>
      <c r="J3378" s="1">
        <v>45728</v>
      </c>
      <c r="K3378" s="2">
        <v>3.4900462962962966E-2</v>
      </c>
      <c r="M3378" s="4" t="str">
        <f t="shared" si="156"/>
        <v>HIGH</v>
      </c>
      <c r="N3378" s="4" t="str" cm="1">
        <f t="array" ref="N3378">_xlfn.IFS(C3378&gt;35,"HIGH",C3378&gt;25,"MIDDLE",TRUE,"LOW")</f>
        <v>HIGH</v>
      </c>
      <c r="O3378" s="4" t="str">
        <f t="shared" si="157"/>
        <v>PREMINUM MORNING</v>
      </c>
      <c r="P3378" s="4" t="str">
        <f t="shared" si="158"/>
        <v>PREMINUM MORNING</v>
      </c>
    </row>
    <row r="3379" spans="1:16" x14ac:dyDescent="0.3">
      <c r="A3379" s="4">
        <v>11</v>
      </c>
      <c r="B3379" t="s">
        <v>11</v>
      </c>
      <c r="C3379" s="4">
        <v>25.96</v>
      </c>
      <c r="D3379" t="s">
        <v>18</v>
      </c>
      <c r="E3379" t="s">
        <v>13</v>
      </c>
      <c r="F3379" s="4" t="s">
        <v>28</v>
      </c>
      <c r="G3379" s="4" t="s">
        <v>15</v>
      </c>
      <c r="H3379" s="4">
        <v>3</v>
      </c>
      <c r="I3379" s="4">
        <v>3</v>
      </c>
      <c r="J3379" s="1">
        <v>45728</v>
      </c>
      <c r="K3379" s="2">
        <v>3.8841435185185187E-2</v>
      </c>
      <c r="M3379" s="4" t="str">
        <f t="shared" si="156"/>
        <v>LOW</v>
      </c>
      <c r="N3379" s="4" t="str" cm="1">
        <f t="array" ref="N3379">_xlfn.IFS(C3379&gt;35,"HIGH",C3379&gt;25,"MIDDLE",TRUE,"LOW")</f>
        <v>MIDDLE</v>
      </c>
      <c r="O3379" s="4" t="str">
        <f t="shared" si="157"/>
        <v>OTHERS</v>
      </c>
      <c r="P3379" s="4" t="str">
        <f t="shared" si="158"/>
        <v>PREMINUM MORNING</v>
      </c>
    </row>
    <row r="3380" spans="1:16" x14ac:dyDescent="0.3">
      <c r="A3380" s="4">
        <v>11</v>
      </c>
      <c r="B3380" t="s">
        <v>11</v>
      </c>
      <c r="C3380" s="4">
        <v>25.96</v>
      </c>
      <c r="D3380" t="s">
        <v>18</v>
      </c>
      <c r="E3380" t="s">
        <v>13</v>
      </c>
      <c r="F3380" s="4" t="s">
        <v>28</v>
      </c>
      <c r="G3380" s="4" t="s">
        <v>15</v>
      </c>
      <c r="H3380" s="4">
        <v>3</v>
      </c>
      <c r="I3380" s="4">
        <v>3</v>
      </c>
      <c r="J3380" s="1">
        <v>45728</v>
      </c>
      <c r="K3380" s="2">
        <v>3.9454861111111114E-2</v>
      </c>
      <c r="M3380" s="4" t="str">
        <f t="shared" si="156"/>
        <v>LOW</v>
      </c>
      <c r="N3380" s="4" t="str" cm="1">
        <f t="array" ref="N3380">_xlfn.IFS(C3380&gt;35,"HIGH",C3380&gt;25,"MIDDLE",TRUE,"LOW")</f>
        <v>MIDDLE</v>
      </c>
      <c r="O3380" s="4" t="str">
        <f t="shared" si="157"/>
        <v>OTHERS</v>
      </c>
      <c r="P3380" s="4" t="str">
        <f t="shared" si="158"/>
        <v>PREMINUM MORNING</v>
      </c>
    </row>
    <row r="3381" spans="1:16" x14ac:dyDescent="0.3">
      <c r="A3381" s="4">
        <v>12</v>
      </c>
      <c r="B3381" t="s">
        <v>11</v>
      </c>
      <c r="C3381" s="4">
        <v>25.96</v>
      </c>
      <c r="D3381" t="s">
        <v>18</v>
      </c>
      <c r="E3381" t="s">
        <v>17</v>
      </c>
      <c r="F3381" s="4" t="s">
        <v>28</v>
      </c>
      <c r="G3381" s="4" t="s">
        <v>15</v>
      </c>
      <c r="H3381" s="4">
        <v>3</v>
      </c>
      <c r="I3381" s="4">
        <v>3</v>
      </c>
      <c r="J3381" s="1">
        <v>45728</v>
      </c>
      <c r="K3381" s="2">
        <v>4.2951388888888891E-3</v>
      </c>
      <c r="M3381" s="4" t="str">
        <f t="shared" si="156"/>
        <v>LOW</v>
      </c>
      <c r="N3381" s="4" t="str" cm="1">
        <f t="array" ref="N3381">_xlfn.IFS(C3381&gt;35,"HIGH",C3381&gt;25,"MIDDLE",TRUE,"LOW")</f>
        <v>MIDDLE</v>
      </c>
      <c r="O3381" s="4" t="str">
        <f t="shared" si="157"/>
        <v>OTHERS</v>
      </c>
      <c r="P3381" s="4" t="str">
        <f t="shared" si="158"/>
        <v>OTHERS</v>
      </c>
    </row>
    <row r="3382" spans="1:16" x14ac:dyDescent="0.3">
      <c r="A3382" s="4">
        <v>12</v>
      </c>
      <c r="B3382" t="s">
        <v>11</v>
      </c>
      <c r="C3382" s="4">
        <v>35.76</v>
      </c>
      <c r="D3382" t="s">
        <v>16</v>
      </c>
      <c r="E3382" t="s">
        <v>17</v>
      </c>
      <c r="F3382" s="4" t="s">
        <v>28</v>
      </c>
      <c r="G3382" s="4" t="s">
        <v>15</v>
      </c>
      <c r="H3382" s="4">
        <v>3</v>
      </c>
      <c r="I3382" s="4">
        <v>3</v>
      </c>
      <c r="J3382" s="1">
        <v>45728</v>
      </c>
      <c r="K3382" s="2">
        <v>3.8638888888888889E-2</v>
      </c>
      <c r="M3382" s="4" t="str">
        <f t="shared" si="156"/>
        <v>HIGH</v>
      </c>
      <c r="N3382" s="4" t="str" cm="1">
        <f t="array" ref="N3382">_xlfn.IFS(C3382&gt;35,"HIGH",C3382&gt;25,"MIDDLE",TRUE,"LOW")</f>
        <v>HIGH</v>
      </c>
      <c r="O3382" s="4" t="str">
        <f t="shared" si="157"/>
        <v>OTHERS</v>
      </c>
      <c r="P3382" s="4" t="str">
        <f t="shared" si="158"/>
        <v>PREMINUM MORNING</v>
      </c>
    </row>
    <row r="3383" spans="1:16" x14ac:dyDescent="0.3">
      <c r="A3383" s="4">
        <v>13</v>
      </c>
      <c r="B3383" t="s">
        <v>11</v>
      </c>
      <c r="C3383" s="4">
        <v>35.76</v>
      </c>
      <c r="D3383" t="s">
        <v>12</v>
      </c>
      <c r="E3383" t="s">
        <v>17</v>
      </c>
      <c r="F3383" s="4" t="s">
        <v>28</v>
      </c>
      <c r="G3383" s="4" t="s">
        <v>15</v>
      </c>
      <c r="H3383" s="4">
        <v>3</v>
      </c>
      <c r="I3383" s="4">
        <v>3</v>
      </c>
      <c r="J3383" s="1">
        <v>45728</v>
      </c>
      <c r="K3383" s="2">
        <v>1.2650462962962962E-3</v>
      </c>
      <c r="M3383" s="4" t="str">
        <f t="shared" si="156"/>
        <v>HIGH</v>
      </c>
      <c r="N3383" s="4" t="str" cm="1">
        <f t="array" ref="N3383">_xlfn.IFS(C3383&gt;35,"HIGH",C3383&gt;25,"MIDDLE",TRUE,"LOW")</f>
        <v>HIGH</v>
      </c>
      <c r="O3383" s="4" t="str">
        <f t="shared" si="157"/>
        <v>OTHERS</v>
      </c>
      <c r="P3383" s="4" t="str">
        <f t="shared" si="158"/>
        <v>PREMINUM MORNING</v>
      </c>
    </row>
    <row r="3384" spans="1:16" x14ac:dyDescent="0.3">
      <c r="A3384" s="4">
        <v>13</v>
      </c>
      <c r="B3384" t="s">
        <v>11</v>
      </c>
      <c r="C3384" s="4">
        <v>35.76</v>
      </c>
      <c r="D3384" t="s">
        <v>12</v>
      </c>
      <c r="E3384" t="s">
        <v>17</v>
      </c>
      <c r="F3384" s="4" t="s">
        <v>28</v>
      </c>
      <c r="G3384" s="4" t="s">
        <v>15</v>
      </c>
      <c r="H3384" s="4">
        <v>3</v>
      </c>
      <c r="I3384" s="4">
        <v>3</v>
      </c>
      <c r="J3384" s="1">
        <v>45728</v>
      </c>
      <c r="K3384" s="2">
        <v>3.9162037037037037E-2</v>
      </c>
      <c r="M3384" s="4" t="str">
        <f t="shared" si="156"/>
        <v>HIGH</v>
      </c>
      <c r="N3384" s="4" t="str" cm="1">
        <f t="array" ref="N3384">_xlfn.IFS(C3384&gt;35,"HIGH",C3384&gt;25,"MIDDLE",TRUE,"LOW")</f>
        <v>HIGH</v>
      </c>
      <c r="O3384" s="4" t="str">
        <f t="shared" si="157"/>
        <v>OTHERS</v>
      </c>
      <c r="P3384" s="4" t="str">
        <f t="shared" si="158"/>
        <v>PREMINUM MORNING</v>
      </c>
    </row>
    <row r="3385" spans="1:16" x14ac:dyDescent="0.3">
      <c r="A3385" s="4">
        <v>16</v>
      </c>
      <c r="B3385" t="s">
        <v>11</v>
      </c>
      <c r="C3385" s="4">
        <v>35.76</v>
      </c>
      <c r="D3385" t="s">
        <v>29</v>
      </c>
      <c r="E3385" t="s">
        <v>17</v>
      </c>
      <c r="F3385" s="4" t="s">
        <v>28</v>
      </c>
      <c r="G3385" s="4" t="s">
        <v>15</v>
      </c>
      <c r="H3385" s="4">
        <v>3</v>
      </c>
      <c r="I3385" s="4">
        <v>3</v>
      </c>
      <c r="J3385" s="1">
        <v>45728</v>
      </c>
      <c r="K3385" s="2">
        <v>1.9180555555555555E-2</v>
      </c>
      <c r="M3385" s="4" t="str">
        <f t="shared" si="156"/>
        <v>HIGH</v>
      </c>
      <c r="N3385" s="4" t="str" cm="1">
        <f t="array" ref="N3385">_xlfn.IFS(C3385&gt;35,"HIGH",C3385&gt;25,"MIDDLE",TRUE,"LOW")</f>
        <v>HIGH</v>
      </c>
      <c r="O3385" s="4" t="str">
        <f t="shared" si="157"/>
        <v>OTHERS</v>
      </c>
      <c r="P3385" s="4" t="str">
        <f t="shared" si="158"/>
        <v>PREMINUM MORNING</v>
      </c>
    </row>
    <row r="3386" spans="1:16" x14ac:dyDescent="0.3">
      <c r="A3386" s="4">
        <v>16</v>
      </c>
      <c r="B3386" t="s">
        <v>11</v>
      </c>
      <c r="C3386" s="4">
        <v>35.76</v>
      </c>
      <c r="D3386" t="s">
        <v>12</v>
      </c>
      <c r="E3386" t="s">
        <v>17</v>
      </c>
      <c r="F3386" s="4" t="s">
        <v>28</v>
      </c>
      <c r="G3386" s="4" t="s">
        <v>15</v>
      </c>
      <c r="H3386" s="4">
        <v>3</v>
      </c>
      <c r="I3386" s="4">
        <v>3</v>
      </c>
      <c r="J3386" s="1">
        <v>45728</v>
      </c>
      <c r="K3386" s="2">
        <v>2.435185185185185E-2</v>
      </c>
      <c r="M3386" s="4" t="str">
        <f t="shared" si="156"/>
        <v>HIGH</v>
      </c>
      <c r="N3386" s="4" t="str" cm="1">
        <f t="array" ref="N3386">_xlfn.IFS(C3386&gt;35,"HIGH",C3386&gt;25,"MIDDLE",TRUE,"LOW")</f>
        <v>HIGH</v>
      </c>
      <c r="O3386" s="4" t="str">
        <f t="shared" si="157"/>
        <v>OTHERS</v>
      </c>
      <c r="P3386" s="4" t="str">
        <f t="shared" si="158"/>
        <v>PREMINUM MORNING</v>
      </c>
    </row>
    <row r="3387" spans="1:16" x14ac:dyDescent="0.3">
      <c r="A3387" s="4">
        <v>16</v>
      </c>
      <c r="B3387" t="s">
        <v>11</v>
      </c>
      <c r="C3387" s="4">
        <v>35.76</v>
      </c>
      <c r="D3387" t="s">
        <v>12</v>
      </c>
      <c r="E3387" t="s">
        <v>17</v>
      </c>
      <c r="F3387" s="4" t="s">
        <v>28</v>
      </c>
      <c r="G3387" s="4" t="s">
        <v>15</v>
      </c>
      <c r="H3387" s="4">
        <v>3</v>
      </c>
      <c r="I3387" s="4">
        <v>3</v>
      </c>
      <c r="J3387" s="1">
        <v>45728</v>
      </c>
      <c r="K3387" s="2">
        <v>2.5008101851851851E-2</v>
      </c>
      <c r="M3387" s="4" t="str">
        <f t="shared" si="156"/>
        <v>HIGH</v>
      </c>
      <c r="N3387" s="4" t="str" cm="1">
        <f t="array" ref="N3387">_xlfn.IFS(C3387&gt;35,"HIGH",C3387&gt;25,"MIDDLE",TRUE,"LOW")</f>
        <v>HIGH</v>
      </c>
      <c r="O3387" s="4" t="str">
        <f t="shared" si="157"/>
        <v>OTHERS</v>
      </c>
      <c r="P3387" s="4" t="str">
        <f t="shared" si="158"/>
        <v>PREMINUM MORNING</v>
      </c>
    </row>
    <row r="3388" spans="1:16" x14ac:dyDescent="0.3">
      <c r="A3388" s="4">
        <v>18</v>
      </c>
      <c r="B3388" t="s">
        <v>11</v>
      </c>
      <c r="C3388" s="4">
        <v>25.96</v>
      </c>
      <c r="D3388" t="s">
        <v>18</v>
      </c>
      <c r="E3388" t="s">
        <v>20</v>
      </c>
      <c r="F3388" s="4" t="s">
        <v>28</v>
      </c>
      <c r="G3388" s="4" t="s">
        <v>15</v>
      </c>
      <c r="H3388" s="4">
        <v>3</v>
      </c>
      <c r="I3388" s="4">
        <v>3</v>
      </c>
      <c r="J3388" s="1">
        <v>45728</v>
      </c>
      <c r="K3388" s="2">
        <v>7.340277777777778E-3</v>
      </c>
      <c r="M3388" s="4" t="str">
        <f t="shared" si="156"/>
        <v>LOW</v>
      </c>
      <c r="N3388" s="4" t="str" cm="1">
        <f t="array" ref="N3388">_xlfn.IFS(C3388&gt;35,"HIGH",C3388&gt;25,"MIDDLE",TRUE,"LOW")</f>
        <v>MIDDLE</v>
      </c>
      <c r="O3388" s="4" t="str">
        <f t="shared" si="157"/>
        <v>OTHERS</v>
      </c>
      <c r="P3388" s="4" t="str">
        <f t="shared" si="158"/>
        <v>OTHERS</v>
      </c>
    </row>
    <row r="3389" spans="1:16" x14ac:dyDescent="0.3">
      <c r="A3389" s="4">
        <v>18</v>
      </c>
      <c r="B3389" t="s">
        <v>11</v>
      </c>
      <c r="C3389" s="4">
        <v>35.76</v>
      </c>
      <c r="D3389" t="s">
        <v>21</v>
      </c>
      <c r="E3389" t="s">
        <v>20</v>
      </c>
      <c r="F3389" s="4" t="s">
        <v>28</v>
      </c>
      <c r="G3389" s="4" t="s">
        <v>15</v>
      </c>
      <c r="H3389" s="4">
        <v>3</v>
      </c>
      <c r="I3389" s="4">
        <v>3</v>
      </c>
      <c r="J3389" s="1">
        <v>45728</v>
      </c>
      <c r="K3389" s="2">
        <v>1.2011574074074074E-2</v>
      </c>
      <c r="M3389" s="4" t="str">
        <f t="shared" si="156"/>
        <v>HIGH</v>
      </c>
      <c r="N3389" s="4" t="str" cm="1">
        <f t="array" ref="N3389">_xlfn.IFS(C3389&gt;35,"HIGH",C3389&gt;25,"MIDDLE",TRUE,"LOW")</f>
        <v>HIGH</v>
      </c>
      <c r="O3389" s="4" t="str">
        <f t="shared" si="157"/>
        <v>OTHERS</v>
      </c>
      <c r="P3389" s="4" t="str">
        <f t="shared" si="158"/>
        <v>PREMINUM MORNING</v>
      </c>
    </row>
    <row r="3390" spans="1:16" x14ac:dyDescent="0.3">
      <c r="A3390" s="4">
        <v>18</v>
      </c>
      <c r="B3390" t="s">
        <v>11</v>
      </c>
      <c r="C3390" s="4">
        <v>25.96</v>
      </c>
      <c r="D3390" t="s">
        <v>18</v>
      </c>
      <c r="E3390" t="s">
        <v>20</v>
      </c>
      <c r="F3390" s="4" t="s">
        <v>28</v>
      </c>
      <c r="G3390" s="4" t="s">
        <v>15</v>
      </c>
      <c r="H3390" s="4">
        <v>3</v>
      </c>
      <c r="I3390" s="4">
        <v>3</v>
      </c>
      <c r="J3390" s="1">
        <v>45728</v>
      </c>
      <c r="K3390" s="2">
        <v>1.7135416666666667E-2</v>
      </c>
      <c r="M3390" s="4" t="str">
        <f t="shared" si="156"/>
        <v>LOW</v>
      </c>
      <c r="N3390" s="4" t="str" cm="1">
        <f t="array" ref="N3390">_xlfn.IFS(C3390&gt;35,"HIGH",C3390&gt;25,"MIDDLE",TRUE,"LOW")</f>
        <v>MIDDLE</v>
      </c>
      <c r="O3390" s="4" t="str">
        <f t="shared" si="157"/>
        <v>OTHERS</v>
      </c>
      <c r="P3390" s="4" t="str">
        <f t="shared" si="158"/>
        <v>OTHERS</v>
      </c>
    </row>
    <row r="3391" spans="1:16" x14ac:dyDescent="0.3">
      <c r="A3391" s="4">
        <v>18</v>
      </c>
      <c r="B3391" t="s">
        <v>11</v>
      </c>
      <c r="C3391" s="4">
        <v>35.76</v>
      </c>
      <c r="D3391" t="s">
        <v>29</v>
      </c>
      <c r="E3391" t="s">
        <v>20</v>
      </c>
      <c r="F3391" s="4" t="s">
        <v>28</v>
      </c>
      <c r="G3391" s="4" t="s">
        <v>15</v>
      </c>
      <c r="H3391" s="4">
        <v>3</v>
      </c>
      <c r="I3391" s="4">
        <v>3</v>
      </c>
      <c r="J3391" s="1">
        <v>45728</v>
      </c>
      <c r="K3391" s="2">
        <v>2.7043981481481481E-2</v>
      </c>
      <c r="M3391" s="4" t="str">
        <f t="shared" si="156"/>
        <v>HIGH</v>
      </c>
      <c r="N3391" s="4" t="str" cm="1">
        <f t="array" ref="N3391">_xlfn.IFS(C3391&gt;35,"HIGH",C3391&gt;25,"MIDDLE",TRUE,"LOW")</f>
        <v>HIGH</v>
      </c>
      <c r="O3391" s="4" t="str">
        <f t="shared" si="157"/>
        <v>OTHERS</v>
      </c>
      <c r="P3391" s="4" t="str">
        <f t="shared" si="158"/>
        <v>PREMINUM MORNING</v>
      </c>
    </row>
    <row r="3392" spans="1:16" x14ac:dyDescent="0.3">
      <c r="A3392" s="4">
        <v>18</v>
      </c>
      <c r="B3392" t="s">
        <v>11</v>
      </c>
      <c r="C3392" s="4">
        <v>25.96</v>
      </c>
      <c r="D3392" t="s">
        <v>18</v>
      </c>
      <c r="E3392" t="s">
        <v>20</v>
      </c>
      <c r="F3392" s="4" t="s">
        <v>28</v>
      </c>
      <c r="G3392" s="4" t="s">
        <v>15</v>
      </c>
      <c r="H3392" s="4">
        <v>3</v>
      </c>
      <c r="I3392" s="4">
        <v>3</v>
      </c>
      <c r="J3392" s="1">
        <v>45728</v>
      </c>
      <c r="K3392" s="2">
        <v>2.932523148148148E-2</v>
      </c>
      <c r="M3392" s="4" t="str">
        <f t="shared" si="156"/>
        <v>LOW</v>
      </c>
      <c r="N3392" s="4" t="str" cm="1">
        <f t="array" ref="N3392">_xlfn.IFS(C3392&gt;35,"HIGH",C3392&gt;25,"MIDDLE",TRUE,"LOW")</f>
        <v>MIDDLE</v>
      </c>
      <c r="O3392" s="4" t="str">
        <f t="shared" si="157"/>
        <v>OTHERS</v>
      </c>
      <c r="P3392" s="4" t="str">
        <f t="shared" si="158"/>
        <v>OTHERS</v>
      </c>
    </row>
    <row r="3393" spans="1:16" x14ac:dyDescent="0.3">
      <c r="A3393" s="4">
        <v>7</v>
      </c>
      <c r="B3393" t="s">
        <v>11</v>
      </c>
      <c r="C3393" s="4">
        <v>35.76</v>
      </c>
      <c r="D3393" t="s">
        <v>29</v>
      </c>
      <c r="E3393" t="s">
        <v>13</v>
      </c>
      <c r="F3393" s="4" t="s">
        <v>30</v>
      </c>
      <c r="G3393" s="4" t="s">
        <v>15</v>
      </c>
      <c r="H3393" s="4">
        <v>4</v>
      </c>
      <c r="I3393" s="4">
        <v>3</v>
      </c>
      <c r="J3393" s="1">
        <v>45729</v>
      </c>
      <c r="K3393" s="2">
        <v>1.1157407407407407E-3</v>
      </c>
      <c r="M3393" s="4" t="str">
        <f t="shared" si="156"/>
        <v>HIGH</v>
      </c>
      <c r="N3393" s="4" t="str" cm="1">
        <f t="array" ref="N3393">_xlfn.IFS(C3393&gt;35,"HIGH",C3393&gt;25,"MIDDLE",TRUE,"LOW")</f>
        <v>HIGH</v>
      </c>
      <c r="O3393" s="4" t="str">
        <f t="shared" si="157"/>
        <v>PREMINUM MORNING</v>
      </c>
      <c r="P3393" s="4" t="str">
        <f t="shared" si="158"/>
        <v>PREMINUM MORNING</v>
      </c>
    </row>
    <row r="3394" spans="1:16" x14ac:dyDescent="0.3">
      <c r="A3394" s="4">
        <v>8</v>
      </c>
      <c r="B3394" t="s">
        <v>11</v>
      </c>
      <c r="C3394" s="4">
        <v>30.86</v>
      </c>
      <c r="D3394" t="s">
        <v>19</v>
      </c>
      <c r="E3394" t="s">
        <v>13</v>
      </c>
      <c r="F3394" s="4" t="s">
        <v>30</v>
      </c>
      <c r="G3394" s="4" t="s">
        <v>15</v>
      </c>
      <c r="H3394" s="4">
        <v>4</v>
      </c>
      <c r="I3394" s="4">
        <v>3</v>
      </c>
      <c r="J3394" s="1">
        <v>45729</v>
      </c>
      <c r="K3394" s="2">
        <v>1.6174768518518519E-2</v>
      </c>
      <c r="M3394" s="4" t="str">
        <f t="shared" si="156"/>
        <v>LOW</v>
      </c>
      <c r="N3394" s="4" t="str" cm="1">
        <f t="array" ref="N3394">_xlfn.IFS(C3394&gt;35,"HIGH",C3394&gt;25,"MIDDLE",TRUE,"LOW")</f>
        <v>MIDDLE</v>
      </c>
      <c r="O3394" s="4" t="str">
        <f t="shared" si="157"/>
        <v>OTHERS</v>
      </c>
      <c r="P3394" s="4" t="str">
        <f t="shared" si="158"/>
        <v>PREMINUM MORNING</v>
      </c>
    </row>
    <row r="3395" spans="1:16" x14ac:dyDescent="0.3">
      <c r="A3395" s="4">
        <v>9</v>
      </c>
      <c r="B3395" t="s">
        <v>11</v>
      </c>
      <c r="C3395" s="4">
        <v>30.86</v>
      </c>
      <c r="D3395" t="s">
        <v>19</v>
      </c>
      <c r="E3395" t="s">
        <v>13</v>
      </c>
      <c r="F3395" s="4" t="s">
        <v>30</v>
      </c>
      <c r="G3395" s="4" t="s">
        <v>15</v>
      </c>
      <c r="H3395" s="4">
        <v>4</v>
      </c>
      <c r="I3395" s="4">
        <v>3</v>
      </c>
      <c r="J3395" s="1">
        <v>45729</v>
      </c>
      <c r="K3395" s="2">
        <v>3.3252314814814815E-3</v>
      </c>
      <c r="M3395" s="4" t="str">
        <f t="shared" ref="M3395:M3458" si="159">IF(C3395&gt;35,"HIGH","LOW")</f>
        <v>LOW</v>
      </c>
      <c r="N3395" s="4" t="str" cm="1">
        <f t="array" ref="N3395">_xlfn.IFS(C3395&gt;35,"HIGH",C3395&gt;25,"MIDDLE",TRUE,"LOW")</f>
        <v>MIDDLE</v>
      </c>
      <c r="O3395" s="4" t="str">
        <f t="shared" ref="O3395:O3458" si="160">IF(AND(C3395&gt;35,E3395="MORNING"),"PREMINUM MORNING","OTHERS")</f>
        <v>OTHERS</v>
      </c>
      <c r="P3395" s="4" t="str">
        <f t="shared" ref="P3395:P3458" si="161">IF(OR(C3395&gt;35,E3395="MORNING"),"PREMINUM MORNING","OTHERS")</f>
        <v>PREMINUM MORNING</v>
      </c>
    </row>
    <row r="3396" spans="1:16" x14ac:dyDescent="0.3">
      <c r="A3396" s="4">
        <v>9</v>
      </c>
      <c r="B3396" t="s">
        <v>11</v>
      </c>
      <c r="C3396" s="4">
        <v>35.76</v>
      </c>
      <c r="D3396" t="s">
        <v>12</v>
      </c>
      <c r="E3396" t="s">
        <v>13</v>
      </c>
      <c r="F3396" s="4" t="s">
        <v>30</v>
      </c>
      <c r="G3396" s="4" t="s">
        <v>15</v>
      </c>
      <c r="H3396" s="4">
        <v>4</v>
      </c>
      <c r="I3396" s="4">
        <v>3</v>
      </c>
      <c r="J3396" s="1">
        <v>45729</v>
      </c>
      <c r="K3396" s="2">
        <v>1.3998842592592592E-2</v>
      </c>
      <c r="M3396" s="4" t="str">
        <f t="shared" si="159"/>
        <v>HIGH</v>
      </c>
      <c r="N3396" s="4" t="str" cm="1">
        <f t="array" ref="N3396">_xlfn.IFS(C3396&gt;35,"HIGH",C3396&gt;25,"MIDDLE",TRUE,"LOW")</f>
        <v>HIGH</v>
      </c>
      <c r="O3396" s="4" t="str">
        <f t="shared" si="160"/>
        <v>PREMINUM MORNING</v>
      </c>
      <c r="P3396" s="4" t="str">
        <f t="shared" si="161"/>
        <v>PREMINUM MORNING</v>
      </c>
    </row>
    <row r="3397" spans="1:16" x14ac:dyDescent="0.3">
      <c r="A3397" s="4">
        <v>9</v>
      </c>
      <c r="B3397" t="s">
        <v>11</v>
      </c>
      <c r="C3397" s="4">
        <v>21.06</v>
      </c>
      <c r="D3397" t="s">
        <v>26</v>
      </c>
      <c r="E3397" t="s">
        <v>13</v>
      </c>
      <c r="F3397" s="4" t="s">
        <v>30</v>
      </c>
      <c r="G3397" s="4" t="s">
        <v>15</v>
      </c>
      <c r="H3397" s="4">
        <v>4</v>
      </c>
      <c r="I3397" s="4">
        <v>3</v>
      </c>
      <c r="J3397" s="1">
        <v>45729</v>
      </c>
      <c r="K3397" s="2">
        <v>1.5331018518518518E-2</v>
      </c>
      <c r="M3397" s="4" t="str">
        <f t="shared" si="159"/>
        <v>LOW</v>
      </c>
      <c r="N3397" s="4" t="str" cm="1">
        <f t="array" ref="N3397">_xlfn.IFS(C3397&gt;35,"HIGH",C3397&gt;25,"MIDDLE",TRUE,"LOW")</f>
        <v>LOW</v>
      </c>
      <c r="O3397" s="4" t="str">
        <f t="shared" si="160"/>
        <v>OTHERS</v>
      </c>
      <c r="P3397" s="4" t="str">
        <f t="shared" si="161"/>
        <v>PREMINUM MORNING</v>
      </c>
    </row>
    <row r="3398" spans="1:16" x14ac:dyDescent="0.3">
      <c r="A3398" s="4">
        <v>9</v>
      </c>
      <c r="B3398" t="s">
        <v>11</v>
      </c>
      <c r="C3398" s="4">
        <v>25.96</v>
      </c>
      <c r="D3398" t="s">
        <v>18</v>
      </c>
      <c r="E3398" t="s">
        <v>13</v>
      </c>
      <c r="F3398" s="4" t="s">
        <v>30</v>
      </c>
      <c r="G3398" s="4" t="s">
        <v>15</v>
      </c>
      <c r="H3398" s="4">
        <v>4</v>
      </c>
      <c r="I3398" s="4">
        <v>3</v>
      </c>
      <c r="J3398" s="1">
        <v>45729</v>
      </c>
      <c r="K3398" s="2">
        <v>2.6615740740740738E-2</v>
      </c>
      <c r="M3398" s="4" t="str">
        <f t="shared" si="159"/>
        <v>LOW</v>
      </c>
      <c r="N3398" s="4" t="str" cm="1">
        <f t="array" ref="N3398">_xlfn.IFS(C3398&gt;35,"HIGH",C3398&gt;25,"MIDDLE",TRUE,"LOW")</f>
        <v>MIDDLE</v>
      </c>
      <c r="O3398" s="4" t="str">
        <f t="shared" si="160"/>
        <v>OTHERS</v>
      </c>
      <c r="P3398" s="4" t="str">
        <f t="shared" si="161"/>
        <v>PREMINUM MORNING</v>
      </c>
    </row>
    <row r="3399" spans="1:16" x14ac:dyDescent="0.3">
      <c r="A3399" s="4">
        <v>9</v>
      </c>
      <c r="B3399" t="s">
        <v>11</v>
      </c>
      <c r="C3399" s="4">
        <v>30.86</v>
      </c>
      <c r="D3399" t="s">
        <v>19</v>
      </c>
      <c r="E3399" t="s">
        <v>13</v>
      </c>
      <c r="F3399" s="4" t="s">
        <v>30</v>
      </c>
      <c r="G3399" s="4" t="s">
        <v>15</v>
      </c>
      <c r="H3399" s="4">
        <v>4</v>
      </c>
      <c r="I3399" s="4">
        <v>3</v>
      </c>
      <c r="J3399" s="1">
        <v>45729</v>
      </c>
      <c r="K3399" s="2">
        <v>2.7252314814814813E-2</v>
      </c>
      <c r="M3399" s="4" t="str">
        <f t="shared" si="159"/>
        <v>LOW</v>
      </c>
      <c r="N3399" s="4" t="str" cm="1">
        <f t="array" ref="N3399">_xlfn.IFS(C3399&gt;35,"HIGH",C3399&gt;25,"MIDDLE",TRUE,"LOW")</f>
        <v>MIDDLE</v>
      </c>
      <c r="O3399" s="4" t="str">
        <f t="shared" si="160"/>
        <v>OTHERS</v>
      </c>
      <c r="P3399" s="4" t="str">
        <f t="shared" si="161"/>
        <v>PREMINUM MORNING</v>
      </c>
    </row>
    <row r="3400" spans="1:16" x14ac:dyDescent="0.3">
      <c r="A3400" s="4">
        <v>11</v>
      </c>
      <c r="B3400" t="s">
        <v>11</v>
      </c>
      <c r="C3400" s="4">
        <v>25.96</v>
      </c>
      <c r="D3400" t="s">
        <v>18</v>
      </c>
      <c r="E3400" t="s">
        <v>13</v>
      </c>
      <c r="F3400" s="4" t="s">
        <v>30</v>
      </c>
      <c r="G3400" s="4" t="s">
        <v>15</v>
      </c>
      <c r="H3400" s="4">
        <v>4</v>
      </c>
      <c r="I3400" s="4">
        <v>3</v>
      </c>
      <c r="J3400" s="1">
        <v>45729</v>
      </c>
      <c r="K3400" s="2">
        <v>1.252662037037037E-2</v>
      </c>
      <c r="M3400" s="4" t="str">
        <f t="shared" si="159"/>
        <v>LOW</v>
      </c>
      <c r="N3400" s="4" t="str" cm="1">
        <f t="array" ref="N3400">_xlfn.IFS(C3400&gt;35,"HIGH",C3400&gt;25,"MIDDLE",TRUE,"LOW")</f>
        <v>MIDDLE</v>
      </c>
      <c r="O3400" s="4" t="str">
        <f t="shared" si="160"/>
        <v>OTHERS</v>
      </c>
      <c r="P3400" s="4" t="str">
        <f t="shared" si="161"/>
        <v>PREMINUM MORNING</v>
      </c>
    </row>
    <row r="3401" spans="1:16" x14ac:dyDescent="0.3">
      <c r="A3401" s="4">
        <v>12</v>
      </c>
      <c r="B3401" t="s">
        <v>11</v>
      </c>
      <c r="C3401" s="4">
        <v>35.76</v>
      </c>
      <c r="D3401" t="s">
        <v>12</v>
      </c>
      <c r="E3401" t="s">
        <v>17</v>
      </c>
      <c r="F3401" s="4" t="s">
        <v>30</v>
      </c>
      <c r="G3401" s="4" t="s">
        <v>15</v>
      </c>
      <c r="H3401" s="4">
        <v>4</v>
      </c>
      <c r="I3401" s="4">
        <v>3</v>
      </c>
      <c r="J3401" s="1">
        <v>45729</v>
      </c>
      <c r="K3401" s="2">
        <v>9.4606481481481486E-3</v>
      </c>
      <c r="M3401" s="4" t="str">
        <f t="shared" si="159"/>
        <v>HIGH</v>
      </c>
      <c r="N3401" s="4" t="str" cm="1">
        <f t="array" ref="N3401">_xlfn.IFS(C3401&gt;35,"HIGH",C3401&gt;25,"MIDDLE",TRUE,"LOW")</f>
        <v>HIGH</v>
      </c>
      <c r="O3401" s="4" t="str">
        <f t="shared" si="160"/>
        <v>OTHERS</v>
      </c>
      <c r="P3401" s="4" t="str">
        <f t="shared" si="161"/>
        <v>PREMINUM MORNING</v>
      </c>
    </row>
    <row r="3402" spans="1:16" x14ac:dyDescent="0.3">
      <c r="A3402" s="4">
        <v>14</v>
      </c>
      <c r="B3402" t="s">
        <v>11</v>
      </c>
      <c r="C3402" s="4">
        <v>30.86</v>
      </c>
      <c r="D3402" t="s">
        <v>19</v>
      </c>
      <c r="E3402" t="s">
        <v>17</v>
      </c>
      <c r="F3402" s="4" t="s">
        <v>30</v>
      </c>
      <c r="G3402" s="4" t="s">
        <v>15</v>
      </c>
      <c r="H3402" s="4">
        <v>4</v>
      </c>
      <c r="I3402" s="4">
        <v>3</v>
      </c>
      <c r="J3402" s="1">
        <v>45729</v>
      </c>
      <c r="K3402" s="2">
        <v>3.7384259259259256E-2</v>
      </c>
      <c r="M3402" s="4" t="str">
        <f t="shared" si="159"/>
        <v>LOW</v>
      </c>
      <c r="N3402" s="4" t="str" cm="1">
        <f t="array" ref="N3402">_xlfn.IFS(C3402&gt;35,"HIGH",C3402&gt;25,"MIDDLE",TRUE,"LOW")</f>
        <v>MIDDLE</v>
      </c>
      <c r="O3402" s="4" t="str">
        <f t="shared" si="160"/>
        <v>OTHERS</v>
      </c>
      <c r="P3402" s="4" t="str">
        <f t="shared" si="161"/>
        <v>OTHERS</v>
      </c>
    </row>
    <row r="3403" spans="1:16" x14ac:dyDescent="0.3">
      <c r="A3403" s="4">
        <v>14</v>
      </c>
      <c r="B3403" t="s">
        <v>11</v>
      </c>
      <c r="C3403" s="4">
        <v>25.96</v>
      </c>
      <c r="D3403" t="s">
        <v>18</v>
      </c>
      <c r="E3403" t="s">
        <v>17</v>
      </c>
      <c r="F3403" s="4" t="s">
        <v>30</v>
      </c>
      <c r="G3403" s="4" t="s">
        <v>15</v>
      </c>
      <c r="H3403" s="4">
        <v>4</v>
      </c>
      <c r="I3403" s="4">
        <v>3</v>
      </c>
      <c r="J3403" s="1">
        <v>45729</v>
      </c>
      <c r="K3403" s="2">
        <v>3.8560185185185183E-2</v>
      </c>
      <c r="M3403" s="4" t="str">
        <f t="shared" si="159"/>
        <v>LOW</v>
      </c>
      <c r="N3403" s="4" t="str" cm="1">
        <f t="array" ref="N3403">_xlfn.IFS(C3403&gt;35,"HIGH",C3403&gt;25,"MIDDLE",TRUE,"LOW")</f>
        <v>MIDDLE</v>
      </c>
      <c r="O3403" s="4" t="str">
        <f t="shared" si="160"/>
        <v>OTHERS</v>
      </c>
      <c r="P3403" s="4" t="str">
        <f t="shared" si="161"/>
        <v>OTHERS</v>
      </c>
    </row>
    <row r="3404" spans="1:16" x14ac:dyDescent="0.3">
      <c r="A3404" s="4">
        <v>18</v>
      </c>
      <c r="B3404" t="s">
        <v>11</v>
      </c>
      <c r="C3404" s="4">
        <v>35.76</v>
      </c>
      <c r="D3404" t="s">
        <v>29</v>
      </c>
      <c r="E3404" t="s">
        <v>20</v>
      </c>
      <c r="F3404" s="4" t="s">
        <v>30</v>
      </c>
      <c r="G3404" s="4" t="s">
        <v>15</v>
      </c>
      <c r="H3404" s="4">
        <v>4</v>
      </c>
      <c r="I3404" s="4">
        <v>3</v>
      </c>
      <c r="J3404" s="1">
        <v>45729</v>
      </c>
      <c r="K3404" s="2">
        <v>3.3143518518518517E-2</v>
      </c>
      <c r="M3404" s="4" t="str">
        <f t="shared" si="159"/>
        <v>HIGH</v>
      </c>
      <c r="N3404" s="4" t="str" cm="1">
        <f t="array" ref="N3404">_xlfn.IFS(C3404&gt;35,"HIGH",C3404&gt;25,"MIDDLE",TRUE,"LOW")</f>
        <v>HIGH</v>
      </c>
      <c r="O3404" s="4" t="str">
        <f t="shared" si="160"/>
        <v>OTHERS</v>
      </c>
      <c r="P3404" s="4" t="str">
        <f t="shared" si="161"/>
        <v>PREMINUM MORNING</v>
      </c>
    </row>
    <row r="3405" spans="1:16" x14ac:dyDescent="0.3">
      <c r="A3405" s="4">
        <v>7</v>
      </c>
      <c r="B3405" t="s">
        <v>11</v>
      </c>
      <c r="C3405" s="4">
        <v>25.96</v>
      </c>
      <c r="D3405" t="s">
        <v>18</v>
      </c>
      <c r="E3405" t="s">
        <v>13</v>
      </c>
      <c r="F3405" s="4" t="s">
        <v>14</v>
      </c>
      <c r="G3405" s="4" t="s">
        <v>15</v>
      </c>
      <c r="H3405" s="4">
        <v>5</v>
      </c>
      <c r="I3405" s="4">
        <v>3</v>
      </c>
      <c r="J3405" s="1">
        <v>45730</v>
      </c>
      <c r="K3405" s="2">
        <v>3.8263888888888889E-2</v>
      </c>
      <c r="M3405" s="4" t="str">
        <f t="shared" si="159"/>
        <v>LOW</v>
      </c>
      <c r="N3405" s="4" t="str" cm="1">
        <f t="array" ref="N3405">_xlfn.IFS(C3405&gt;35,"HIGH",C3405&gt;25,"MIDDLE",TRUE,"LOW")</f>
        <v>MIDDLE</v>
      </c>
      <c r="O3405" s="4" t="str">
        <f t="shared" si="160"/>
        <v>OTHERS</v>
      </c>
      <c r="P3405" s="4" t="str">
        <f t="shared" si="161"/>
        <v>PREMINUM MORNING</v>
      </c>
    </row>
    <row r="3406" spans="1:16" x14ac:dyDescent="0.3">
      <c r="A3406" s="4">
        <v>8</v>
      </c>
      <c r="B3406" t="s">
        <v>11</v>
      </c>
      <c r="C3406" s="4">
        <v>30.86</v>
      </c>
      <c r="D3406" t="s">
        <v>19</v>
      </c>
      <c r="E3406" t="s">
        <v>13</v>
      </c>
      <c r="F3406" s="4" t="s">
        <v>14</v>
      </c>
      <c r="G3406" s="4" t="s">
        <v>15</v>
      </c>
      <c r="H3406" s="4">
        <v>5</v>
      </c>
      <c r="I3406" s="4">
        <v>3</v>
      </c>
      <c r="J3406" s="1">
        <v>45730</v>
      </c>
      <c r="K3406" s="2">
        <v>9.4930555555555567E-3</v>
      </c>
      <c r="M3406" s="4" t="str">
        <f t="shared" si="159"/>
        <v>LOW</v>
      </c>
      <c r="N3406" s="4" t="str" cm="1">
        <f t="array" ref="N3406">_xlfn.IFS(C3406&gt;35,"HIGH",C3406&gt;25,"MIDDLE",TRUE,"LOW")</f>
        <v>MIDDLE</v>
      </c>
      <c r="O3406" s="4" t="str">
        <f t="shared" si="160"/>
        <v>OTHERS</v>
      </c>
      <c r="P3406" s="4" t="str">
        <f t="shared" si="161"/>
        <v>PREMINUM MORNING</v>
      </c>
    </row>
    <row r="3407" spans="1:16" x14ac:dyDescent="0.3">
      <c r="A3407" s="4">
        <v>8</v>
      </c>
      <c r="B3407" t="s">
        <v>11</v>
      </c>
      <c r="C3407" s="4">
        <v>25.96</v>
      </c>
      <c r="D3407" t="s">
        <v>18</v>
      </c>
      <c r="E3407" t="s">
        <v>13</v>
      </c>
      <c r="F3407" s="4" t="s">
        <v>14</v>
      </c>
      <c r="G3407" s="4" t="s">
        <v>15</v>
      </c>
      <c r="H3407" s="4">
        <v>5</v>
      </c>
      <c r="I3407" s="4">
        <v>3</v>
      </c>
      <c r="J3407" s="1">
        <v>45730</v>
      </c>
      <c r="K3407" s="2">
        <v>4.1282407407407407E-2</v>
      </c>
      <c r="M3407" s="4" t="str">
        <f t="shared" si="159"/>
        <v>LOW</v>
      </c>
      <c r="N3407" s="4" t="str" cm="1">
        <f t="array" ref="N3407">_xlfn.IFS(C3407&gt;35,"HIGH",C3407&gt;25,"MIDDLE",TRUE,"LOW")</f>
        <v>MIDDLE</v>
      </c>
      <c r="O3407" s="4" t="str">
        <f t="shared" si="160"/>
        <v>OTHERS</v>
      </c>
      <c r="P3407" s="4" t="str">
        <f t="shared" si="161"/>
        <v>PREMINUM MORNING</v>
      </c>
    </row>
    <row r="3408" spans="1:16" x14ac:dyDescent="0.3">
      <c r="A3408" s="4">
        <v>9</v>
      </c>
      <c r="B3408" t="s">
        <v>11</v>
      </c>
      <c r="C3408" s="4">
        <v>35.76</v>
      </c>
      <c r="D3408" t="s">
        <v>12</v>
      </c>
      <c r="E3408" t="s">
        <v>13</v>
      </c>
      <c r="F3408" s="4" t="s">
        <v>14</v>
      </c>
      <c r="G3408" s="4" t="s">
        <v>15</v>
      </c>
      <c r="H3408" s="4">
        <v>5</v>
      </c>
      <c r="I3408" s="4">
        <v>3</v>
      </c>
      <c r="J3408" s="1">
        <v>45730</v>
      </c>
      <c r="K3408" s="2">
        <v>3.4606481481481478E-4</v>
      </c>
      <c r="M3408" s="4" t="str">
        <f t="shared" si="159"/>
        <v>HIGH</v>
      </c>
      <c r="N3408" s="4" t="str" cm="1">
        <f t="array" ref="N3408">_xlfn.IFS(C3408&gt;35,"HIGH",C3408&gt;25,"MIDDLE",TRUE,"LOW")</f>
        <v>HIGH</v>
      </c>
      <c r="O3408" s="4" t="str">
        <f t="shared" si="160"/>
        <v>PREMINUM MORNING</v>
      </c>
      <c r="P3408" s="4" t="str">
        <f t="shared" si="161"/>
        <v>PREMINUM MORNING</v>
      </c>
    </row>
    <row r="3409" spans="1:16" x14ac:dyDescent="0.3">
      <c r="A3409" s="4">
        <v>9</v>
      </c>
      <c r="B3409" t="s">
        <v>11</v>
      </c>
      <c r="C3409" s="4">
        <v>21.06</v>
      </c>
      <c r="D3409" t="s">
        <v>26</v>
      </c>
      <c r="E3409" t="s">
        <v>13</v>
      </c>
      <c r="F3409" s="4" t="s">
        <v>14</v>
      </c>
      <c r="G3409" s="4" t="s">
        <v>15</v>
      </c>
      <c r="H3409" s="4">
        <v>5</v>
      </c>
      <c r="I3409" s="4">
        <v>3</v>
      </c>
      <c r="J3409" s="1">
        <v>45730</v>
      </c>
      <c r="K3409" s="2">
        <v>1.8146990740740741E-2</v>
      </c>
      <c r="M3409" s="4" t="str">
        <f t="shared" si="159"/>
        <v>LOW</v>
      </c>
      <c r="N3409" s="4" t="str" cm="1">
        <f t="array" ref="N3409">_xlfn.IFS(C3409&gt;35,"HIGH",C3409&gt;25,"MIDDLE",TRUE,"LOW")</f>
        <v>LOW</v>
      </c>
      <c r="O3409" s="4" t="str">
        <f t="shared" si="160"/>
        <v>OTHERS</v>
      </c>
      <c r="P3409" s="4" t="str">
        <f t="shared" si="161"/>
        <v>PREMINUM MORNING</v>
      </c>
    </row>
    <row r="3410" spans="1:16" x14ac:dyDescent="0.3">
      <c r="A3410" s="4">
        <v>9</v>
      </c>
      <c r="B3410" t="s">
        <v>11</v>
      </c>
      <c r="C3410" s="4">
        <v>25.96</v>
      </c>
      <c r="D3410" t="s">
        <v>18</v>
      </c>
      <c r="E3410" t="s">
        <v>13</v>
      </c>
      <c r="F3410" s="4" t="s">
        <v>14</v>
      </c>
      <c r="G3410" s="4" t="s">
        <v>15</v>
      </c>
      <c r="H3410" s="4">
        <v>5</v>
      </c>
      <c r="I3410" s="4">
        <v>3</v>
      </c>
      <c r="J3410" s="1">
        <v>45730</v>
      </c>
      <c r="K3410" s="2">
        <v>1.9875E-2</v>
      </c>
      <c r="M3410" s="4" t="str">
        <f t="shared" si="159"/>
        <v>LOW</v>
      </c>
      <c r="N3410" s="4" t="str" cm="1">
        <f t="array" ref="N3410">_xlfn.IFS(C3410&gt;35,"HIGH",C3410&gt;25,"MIDDLE",TRUE,"LOW")</f>
        <v>MIDDLE</v>
      </c>
      <c r="O3410" s="4" t="str">
        <f t="shared" si="160"/>
        <v>OTHERS</v>
      </c>
      <c r="P3410" s="4" t="str">
        <f t="shared" si="161"/>
        <v>PREMINUM MORNING</v>
      </c>
    </row>
    <row r="3411" spans="1:16" x14ac:dyDescent="0.3">
      <c r="A3411" s="4">
        <v>10</v>
      </c>
      <c r="B3411" t="s">
        <v>11</v>
      </c>
      <c r="C3411" s="4">
        <v>25.96</v>
      </c>
      <c r="D3411" t="s">
        <v>18</v>
      </c>
      <c r="E3411" t="s">
        <v>13</v>
      </c>
      <c r="F3411" s="4" t="s">
        <v>14</v>
      </c>
      <c r="G3411" s="4" t="s">
        <v>15</v>
      </c>
      <c r="H3411" s="4">
        <v>5</v>
      </c>
      <c r="I3411" s="4">
        <v>3</v>
      </c>
      <c r="J3411" s="1">
        <v>45730</v>
      </c>
      <c r="K3411" s="2">
        <v>1.4482638888888889E-2</v>
      </c>
      <c r="M3411" s="4" t="str">
        <f t="shared" si="159"/>
        <v>LOW</v>
      </c>
      <c r="N3411" s="4" t="str" cm="1">
        <f t="array" ref="N3411">_xlfn.IFS(C3411&gt;35,"HIGH",C3411&gt;25,"MIDDLE",TRUE,"LOW")</f>
        <v>MIDDLE</v>
      </c>
      <c r="O3411" s="4" t="str">
        <f t="shared" si="160"/>
        <v>OTHERS</v>
      </c>
      <c r="P3411" s="4" t="str">
        <f t="shared" si="161"/>
        <v>PREMINUM MORNING</v>
      </c>
    </row>
    <row r="3412" spans="1:16" x14ac:dyDescent="0.3">
      <c r="A3412" s="4">
        <v>10</v>
      </c>
      <c r="B3412" t="s">
        <v>11</v>
      </c>
      <c r="C3412" s="4">
        <v>35.76</v>
      </c>
      <c r="D3412" t="s">
        <v>12</v>
      </c>
      <c r="E3412" t="s">
        <v>13</v>
      </c>
      <c r="F3412" s="4" t="s">
        <v>14</v>
      </c>
      <c r="G3412" s="4" t="s">
        <v>15</v>
      </c>
      <c r="H3412" s="4">
        <v>5</v>
      </c>
      <c r="I3412" s="4">
        <v>3</v>
      </c>
      <c r="J3412" s="1">
        <v>45730</v>
      </c>
      <c r="K3412" s="2">
        <v>3.3597222222222223E-2</v>
      </c>
      <c r="M3412" s="4" t="str">
        <f t="shared" si="159"/>
        <v>HIGH</v>
      </c>
      <c r="N3412" s="4" t="str" cm="1">
        <f t="array" ref="N3412">_xlfn.IFS(C3412&gt;35,"HIGH",C3412&gt;25,"MIDDLE",TRUE,"LOW")</f>
        <v>HIGH</v>
      </c>
      <c r="O3412" s="4" t="str">
        <f t="shared" si="160"/>
        <v>PREMINUM MORNING</v>
      </c>
      <c r="P3412" s="4" t="str">
        <f t="shared" si="161"/>
        <v>PREMINUM MORNING</v>
      </c>
    </row>
    <row r="3413" spans="1:16" x14ac:dyDescent="0.3">
      <c r="A3413" s="4">
        <v>10</v>
      </c>
      <c r="B3413" t="s">
        <v>11</v>
      </c>
      <c r="C3413" s="4">
        <v>35.76</v>
      </c>
      <c r="D3413" t="s">
        <v>29</v>
      </c>
      <c r="E3413" t="s">
        <v>13</v>
      </c>
      <c r="F3413" s="4" t="s">
        <v>14</v>
      </c>
      <c r="G3413" s="4" t="s">
        <v>15</v>
      </c>
      <c r="H3413" s="4">
        <v>5</v>
      </c>
      <c r="I3413" s="4">
        <v>3</v>
      </c>
      <c r="J3413" s="1">
        <v>45730</v>
      </c>
      <c r="K3413" s="2">
        <v>3.434953703703704E-2</v>
      </c>
      <c r="M3413" s="4" t="str">
        <f t="shared" si="159"/>
        <v>HIGH</v>
      </c>
      <c r="N3413" s="4" t="str" cm="1">
        <f t="array" ref="N3413">_xlfn.IFS(C3413&gt;35,"HIGH",C3413&gt;25,"MIDDLE",TRUE,"LOW")</f>
        <v>HIGH</v>
      </c>
      <c r="O3413" s="4" t="str">
        <f t="shared" si="160"/>
        <v>PREMINUM MORNING</v>
      </c>
      <c r="P3413" s="4" t="str">
        <f t="shared" si="161"/>
        <v>PREMINUM MORNING</v>
      </c>
    </row>
    <row r="3414" spans="1:16" x14ac:dyDescent="0.3">
      <c r="A3414" s="4">
        <v>14</v>
      </c>
      <c r="B3414" t="s">
        <v>11</v>
      </c>
      <c r="C3414" s="4">
        <v>25.96</v>
      </c>
      <c r="D3414" t="s">
        <v>18</v>
      </c>
      <c r="E3414" t="s">
        <v>17</v>
      </c>
      <c r="F3414" s="4" t="s">
        <v>14</v>
      </c>
      <c r="G3414" s="4" t="s">
        <v>15</v>
      </c>
      <c r="H3414" s="4">
        <v>5</v>
      </c>
      <c r="I3414" s="4">
        <v>3</v>
      </c>
      <c r="J3414" s="1">
        <v>45730</v>
      </c>
      <c r="K3414" s="2">
        <v>2.4505787037037038E-2</v>
      </c>
      <c r="M3414" s="4" t="str">
        <f t="shared" si="159"/>
        <v>LOW</v>
      </c>
      <c r="N3414" s="4" t="str" cm="1">
        <f t="array" ref="N3414">_xlfn.IFS(C3414&gt;35,"HIGH",C3414&gt;25,"MIDDLE",TRUE,"LOW")</f>
        <v>MIDDLE</v>
      </c>
      <c r="O3414" s="4" t="str">
        <f t="shared" si="160"/>
        <v>OTHERS</v>
      </c>
      <c r="P3414" s="4" t="str">
        <f t="shared" si="161"/>
        <v>OTHERS</v>
      </c>
    </row>
    <row r="3415" spans="1:16" x14ac:dyDescent="0.3">
      <c r="A3415" s="4">
        <v>14</v>
      </c>
      <c r="B3415" t="s">
        <v>11</v>
      </c>
      <c r="C3415" s="4">
        <v>35.76</v>
      </c>
      <c r="D3415" t="s">
        <v>12</v>
      </c>
      <c r="E3415" t="s">
        <v>17</v>
      </c>
      <c r="F3415" s="4" t="s">
        <v>14</v>
      </c>
      <c r="G3415" s="4" t="s">
        <v>15</v>
      </c>
      <c r="H3415" s="4">
        <v>5</v>
      </c>
      <c r="I3415" s="4">
        <v>3</v>
      </c>
      <c r="J3415" s="1">
        <v>45730</v>
      </c>
      <c r="K3415" s="2">
        <v>2.5252314814814818E-2</v>
      </c>
      <c r="M3415" s="4" t="str">
        <f t="shared" si="159"/>
        <v>HIGH</v>
      </c>
      <c r="N3415" s="4" t="str" cm="1">
        <f t="array" ref="N3415">_xlfn.IFS(C3415&gt;35,"HIGH",C3415&gt;25,"MIDDLE",TRUE,"LOW")</f>
        <v>HIGH</v>
      </c>
      <c r="O3415" s="4" t="str">
        <f t="shared" si="160"/>
        <v>OTHERS</v>
      </c>
      <c r="P3415" s="4" t="str">
        <f t="shared" si="161"/>
        <v>PREMINUM MORNING</v>
      </c>
    </row>
    <row r="3416" spans="1:16" x14ac:dyDescent="0.3">
      <c r="A3416" s="4">
        <v>15</v>
      </c>
      <c r="B3416" t="s">
        <v>11</v>
      </c>
      <c r="C3416" s="4">
        <v>35.76</v>
      </c>
      <c r="D3416" t="s">
        <v>12</v>
      </c>
      <c r="E3416" t="s">
        <v>17</v>
      </c>
      <c r="F3416" s="4" t="s">
        <v>14</v>
      </c>
      <c r="G3416" s="4" t="s">
        <v>15</v>
      </c>
      <c r="H3416" s="4">
        <v>5</v>
      </c>
      <c r="I3416" s="4">
        <v>3</v>
      </c>
      <c r="J3416" s="1">
        <v>45730</v>
      </c>
      <c r="K3416" s="2">
        <v>3.7743055555555557E-2</v>
      </c>
      <c r="M3416" s="4" t="str">
        <f t="shared" si="159"/>
        <v>HIGH</v>
      </c>
      <c r="N3416" s="4" t="str" cm="1">
        <f t="array" ref="N3416">_xlfn.IFS(C3416&gt;35,"HIGH",C3416&gt;25,"MIDDLE",TRUE,"LOW")</f>
        <v>HIGH</v>
      </c>
      <c r="O3416" s="4" t="str">
        <f t="shared" si="160"/>
        <v>OTHERS</v>
      </c>
      <c r="P3416" s="4" t="str">
        <f t="shared" si="161"/>
        <v>PREMINUM MORNING</v>
      </c>
    </row>
    <row r="3417" spans="1:16" x14ac:dyDescent="0.3">
      <c r="A3417" s="4">
        <v>15</v>
      </c>
      <c r="B3417" t="s">
        <v>11</v>
      </c>
      <c r="C3417" s="4">
        <v>35.76</v>
      </c>
      <c r="D3417" t="s">
        <v>12</v>
      </c>
      <c r="E3417" t="s">
        <v>17</v>
      </c>
      <c r="F3417" s="4" t="s">
        <v>14</v>
      </c>
      <c r="G3417" s="4" t="s">
        <v>15</v>
      </c>
      <c r="H3417" s="4">
        <v>5</v>
      </c>
      <c r="I3417" s="4">
        <v>3</v>
      </c>
      <c r="J3417" s="1">
        <v>45730</v>
      </c>
      <c r="K3417" s="2">
        <v>3.8666666666666669E-2</v>
      </c>
      <c r="M3417" s="4" t="str">
        <f t="shared" si="159"/>
        <v>HIGH</v>
      </c>
      <c r="N3417" s="4" t="str" cm="1">
        <f t="array" ref="N3417">_xlfn.IFS(C3417&gt;35,"HIGH",C3417&gt;25,"MIDDLE",TRUE,"LOW")</f>
        <v>HIGH</v>
      </c>
      <c r="O3417" s="4" t="str">
        <f t="shared" si="160"/>
        <v>OTHERS</v>
      </c>
      <c r="P3417" s="4" t="str">
        <f t="shared" si="161"/>
        <v>PREMINUM MORNING</v>
      </c>
    </row>
    <row r="3418" spans="1:16" x14ac:dyDescent="0.3">
      <c r="A3418" s="4">
        <v>16</v>
      </c>
      <c r="B3418" t="s">
        <v>11</v>
      </c>
      <c r="C3418" s="4">
        <v>25.96</v>
      </c>
      <c r="D3418" t="s">
        <v>18</v>
      </c>
      <c r="E3418" t="s">
        <v>17</v>
      </c>
      <c r="F3418" s="4" t="s">
        <v>14</v>
      </c>
      <c r="G3418" s="4" t="s">
        <v>15</v>
      </c>
      <c r="H3418" s="4">
        <v>5</v>
      </c>
      <c r="I3418" s="4">
        <v>3</v>
      </c>
      <c r="J3418" s="1">
        <v>45730</v>
      </c>
      <c r="K3418" s="2">
        <v>1.8796296296296297E-2</v>
      </c>
      <c r="M3418" s="4" t="str">
        <f t="shared" si="159"/>
        <v>LOW</v>
      </c>
      <c r="N3418" s="4" t="str" cm="1">
        <f t="array" ref="N3418">_xlfn.IFS(C3418&gt;35,"HIGH",C3418&gt;25,"MIDDLE",TRUE,"LOW")</f>
        <v>MIDDLE</v>
      </c>
      <c r="O3418" s="4" t="str">
        <f t="shared" si="160"/>
        <v>OTHERS</v>
      </c>
      <c r="P3418" s="4" t="str">
        <f t="shared" si="161"/>
        <v>OTHERS</v>
      </c>
    </row>
    <row r="3419" spans="1:16" x14ac:dyDescent="0.3">
      <c r="A3419" s="4">
        <v>16</v>
      </c>
      <c r="B3419" t="s">
        <v>11</v>
      </c>
      <c r="C3419" s="4">
        <v>35.76</v>
      </c>
      <c r="D3419" t="s">
        <v>21</v>
      </c>
      <c r="E3419" t="s">
        <v>17</v>
      </c>
      <c r="F3419" s="4" t="s">
        <v>14</v>
      </c>
      <c r="G3419" s="4" t="s">
        <v>15</v>
      </c>
      <c r="H3419" s="4">
        <v>5</v>
      </c>
      <c r="I3419" s="4">
        <v>3</v>
      </c>
      <c r="J3419" s="1">
        <v>45730</v>
      </c>
      <c r="K3419" s="2">
        <v>2.1530092592592594E-2</v>
      </c>
      <c r="M3419" s="4" t="str">
        <f t="shared" si="159"/>
        <v>HIGH</v>
      </c>
      <c r="N3419" s="4" t="str" cm="1">
        <f t="array" ref="N3419">_xlfn.IFS(C3419&gt;35,"HIGH",C3419&gt;25,"MIDDLE",TRUE,"LOW")</f>
        <v>HIGH</v>
      </c>
      <c r="O3419" s="4" t="str">
        <f t="shared" si="160"/>
        <v>OTHERS</v>
      </c>
      <c r="P3419" s="4" t="str">
        <f t="shared" si="161"/>
        <v>PREMINUM MORNING</v>
      </c>
    </row>
    <row r="3420" spans="1:16" x14ac:dyDescent="0.3">
      <c r="A3420" s="4">
        <v>16</v>
      </c>
      <c r="B3420" t="s">
        <v>11</v>
      </c>
      <c r="C3420" s="4">
        <v>35.76</v>
      </c>
      <c r="D3420" t="s">
        <v>21</v>
      </c>
      <c r="E3420" t="s">
        <v>17</v>
      </c>
      <c r="F3420" s="4" t="s">
        <v>14</v>
      </c>
      <c r="G3420" s="4" t="s">
        <v>15</v>
      </c>
      <c r="H3420" s="4">
        <v>5</v>
      </c>
      <c r="I3420" s="4">
        <v>3</v>
      </c>
      <c r="J3420" s="1">
        <v>45730</v>
      </c>
      <c r="K3420" s="2">
        <v>2.216550925925926E-2</v>
      </c>
      <c r="M3420" s="4" t="str">
        <f t="shared" si="159"/>
        <v>HIGH</v>
      </c>
      <c r="N3420" s="4" t="str" cm="1">
        <f t="array" ref="N3420">_xlfn.IFS(C3420&gt;35,"HIGH",C3420&gt;25,"MIDDLE",TRUE,"LOW")</f>
        <v>HIGH</v>
      </c>
      <c r="O3420" s="4" t="str">
        <f t="shared" si="160"/>
        <v>OTHERS</v>
      </c>
      <c r="P3420" s="4" t="str">
        <f t="shared" si="161"/>
        <v>PREMINUM MORNING</v>
      </c>
    </row>
    <row r="3421" spans="1:16" x14ac:dyDescent="0.3">
      <c r="A3421" s="4">
        <v>16</v>
      </c>
      <c r="B3421" t="s">
        <v>11</v>
      </c>
      <c r="C3421" s="4">
        <v>35.76</v>
      </c>
      <c r="D3421" t="s">
        <v>21</v>
      </c>
      <c r="E3421" t="s">
        <v>17</v>
      </c>
      <c r="F3421" s="4" t="s">
        <v>14</v>
      </c>
      <c r="G3421" s="4" t="s">
        <v>15</v>
      </c>
      <c r="H3421" s="4">
        <v>5</v>
      </c>
      <c r="I3421" s="4">
        <v>3</v>
      </c>
      <c r="J3421" s="1">
        <v>45730</v>
      </c>
      <c r="K3421" s="2">
        <v>2.2687499999999999E-2</v>
      </c>
      <c r="M3421" s="4" t="str">
        <f t="shared" si="159"/>
        <v>HIGH</v>
      </c>
      <c r="N3421" s="4" t="str" cm="1">
        <f t="array" ref="N3421">_xlfn.IFS(C3421&gt;35,"HIGH",C3421&gt;25,"MIDDLE",TRUE,"LOW")</f>
        <v>HIGH</v>
      </c>
      <c r="O3421" s="4" t="str">
        <f t="shared" si="160"/>
        <v>OTHERS</v>
      </c>
      <c r="P3421" s="4" t="str">
        <f t="shared" si="161"/>
        <v>PREMINUM MORNING</v>
      </c>
    </row>
    <row r="3422" spans="1:16" x14ac:dyDescent="0.3">
      <c r="A3422" s="4">
        <v>17</v>
      </c>
      <c r="B3422" t="s">
        <v>11</v>
      </c>
      <c r="C3422" s="4">
        <v>25.96</v>
      </c>
      <c r="D3422" t="s">
        <v>18</v>
      </c>
      <c r="E3422" t="s">
        <v>20</v>
      </c>
      <c r="F3422" s="4" t="s">
        <v>14</v>
      </c>
      <c r="G3422" s="4" t="s">
        <v>15</v>
      </c>
      <c r="H3422" s="4">
        <v>5</v>
      </c>
      <c r="I3422" s="4">
        <v>3</v>
      </c>
      <c r="J3422" s="1">
        <v>45730</v>
      </c>
      <c r="K3422" s="2">
        <v>3.7511574074074075E-3</v>
      </c>
      <c r="M3422" s="4" t="str">
        <f t="shared" si="159"/>
        <v>LOW</v>
      </c>
      <c r="N3422" s="4" t="str" cm="1">
        <f t="array" ref="N3422">_xlfn.IFS(C3422&gt;35,"HIGH",C3422&gt;25,"MIDDLE",TRUE,"LOW")</f>
        <v>MIDDLE</v>
      </c>
      <c r="O3422" s="4" t="str">
        <f t="shared" si="160"/>
        <v>OTHERS</v>
      </c>
      <c r="P3422" s="4" t="str">
        <f t="shared" si="161"/>
        <v>OTHERS</v>
      </c>
    </row>
    <row r="3423" spans="1:16" x14ac:dyDescent="0.3">
      <c r="A3423" s="4">
        <v>17</v>
      </c>
      <c r="B3423" t="s">
        <v>11</v>
      </c>
      <c r="C3423" s="4">
        <v>25.96</v>
      </c>
      <c r="D3423" t="s">
        <v>18</v>
      </c>
      <c r="E3423" t="s">
        <v>20</v>
      </c>
      <c r="F3423" s="4" t="s">
        <v>14</v>
      </c>
      <c r="G3423" s="4" t="s">
        <v>15</v>
      </c>
      <c r="H3423" s="4">
        <v>5</v>
      </c>
      <c r="I3423" s="4">
        <v>3</v>
      </c>
      <c r="J3423" s="1">
        <v>45730</v>
      </c>
      <c r="K3423" s="2">
        <v>1.5447916666666667E-2</v>
      </c>
      <c r="M3423" s="4" t="str">
        <f t="shared" si="159"/>
        <v>LOW</v>
      </c>
      <c r="N3423" s="4" t="str" cm="1">
        <f t="array" ref="N3423">_xlfn.IFS(C3423&gt;35,"HIGH",C3423&gt;25,"MIDDLE",TRUE,"LOW")</f>
        <v>MIDDLE</v>
      </c>
      <c r="O3423" s="4" t="str">
        <f t="shared" si="160"/>
        <v>OTHERS</v>
      </c>
      <c r="P3423" s="4" t="str">
        <f t="shared" si="161"/>
        <v>OTHERS</v>
      </c>
    </row>
    <row r="3424" spans="1:16" x14ac:dyDescent="0.3">
      <c r="A3424" s="4">
        <v>17</v>
      </c>
      <c r="B3424" t="s">
        <v>11</v>
      </c>
      <c r="C3424" s="4">
        <v>35.76</v>
      </c>
      <c r="D3424" t="s">
        <v>12</v>
      </c>
      <c r="E3424" t="s">
        <v>20</v>
      </c>
      <c r="F3424" s="4" t="s">
        <v>14</v>
      </c>
      <c r="G3424" s="4" t="s">
        <v>15</v>
      </c>
      <c r="H3424" s="4">
        <v>5</v>
      </c>
      <c r="I3424" s="4">
        <v>3</v>
      </c>
      <c r="J3424" s="1">
        <v>45730</v>
      </c>
      <c r="K3424" s="2">
        <v>1.8927083333333334E-2</v>
      </c>
      <c r="M3424" s="4" t="str">
        <f t="shared" si="159"/>
        <v>HIGH</v>
      </c>
      <c r="N3424" s="4" t="str" cm="1">
        <f t="array" ref="N3424">_xlfn.IFS(C3424&gt;35,"HIGH",C3424&gt;25,"MIDDLE",TRUE,"LOW")</f>
        <v>HIGH</v>
      </c>
      <c r="O3424" s="4" t="str">
        <f t="shared" si="160"/>
        <v>OTHERS</v>
      </c>
      <c r="P3424" s="4" t="str">
        <f t="shared" si="161"/>
        <v>PREMINUM MORNING</v>
      </c>
    </row>
    <row r="3425" spans="1:16" x14ac:dyDescent="0.3">
      <c r="A3425" s="4">
        <v>17</v>
      </c>
      <c r="B3425" t="s">
        <v>11</v>
      </c>
      <c r="C3425" s="4">
        <v>35.76</v>
      </c>
      <c r="D3425" t="s">
        <v>12</v>
      </c>
      <c r="E3425" t="s">
        <v>20</v>
      </c>
      <c r="F3425" s="4" t="s">
        <v>14</v>
      </c>
      <c r="G3425" s="4" t="s">
        <v>15</v>
      </c>
      <c r="H3425" s="4">
        <v>5</v>
      </c>
      <c r="I3425" s="4">
        <v>3</v>
      </c>
      <c r="J3425" s="1">
        <v>45730</v>
      </c>
      <c r="K3425" s="2">
        <v>1.9887731481481482E-2</v>
      </c>
      <c r="M3425" s="4" t="str">
        <f t="shared" si="159"/>
        <v>HIGH</v>
      </c>
      <c r="N3425" s="4" t="str" cm="1">
        <f t="array" ref="N3425">_xlfn.IFS(C3425&gt;35,"HIGH",C3425&gt;25,"MIDDLE",TRUE,"LOW")</f>
        <v>HIGH</v>
      </c>
      <c r="O3425" s="4" t="str">
        <f t="shared" si="160"/>
        <v>OTHERS</v>
      </c>
      <c r="P3425" s="4" t="str">
        <f t="shared" si="161"/>
        <v>PREMINUM MORNING</v>
      </c>
    </row>
    <row r="3426" spans="1:16" x14ac:dyDescent="0.3">
      <c r="A3426" s="4">
        <v>20</v>
      </c>
      <c r="B3426" t="s">
        <v>11</v>
      </c>
      <c r="C3426" s="4">
        <v>25.96</v>
      </c>
      <c r="D3426" t="s">
        <v>18</v>
      </c>
      <c r="E3426" t="s">
        <v>20</v>
      </c>
      <c r="F3426" s="4" t="s">
        <v>14</v>
      </c>
      <c r="G3426" s="4" t="s">
        <v>15</v>
      </c>
      <c r="H3426" s="4">
        <v>5</v>
      </c>
      <c r="I3426" s="4">
        <v>3</v>
      </c>
      <c r="J3426" s="1">
        <v>45730</v>
      </c>
      <c r="K3426" s="2">
        <v>1.4143518518518519E-2</v>
      </c>
      <c r="M3426" s="4" t="str">
        <f t="shared" si="159"/>
        <v>LOW</v>
      </c>
      <c r="N3426" s="4" t="str" cm="1">
        <f t="array" ref="N3426">_xlfn.IFS(C3426&gt;35,"HIGH",C3426&gt;25,"MIDDLE",TRUE,"LOW")</f>
        <v>MIDDLE</v>
      </c>
      <c r="O3426" s="4" t="str">
        <f t="shared" si="160"/>
        <v>OTHERS</v>
      </c>
      <c r="P3426" s="4" t="str">
        <f t="shared" si="161"/>
        <v>OTHERS</v>
      </c>
    </row>
    <row r="3427" spans="1:16" x14ac:dyDescent="0.3">
      <c r="A3427" s="4">
        <v>21</v>
      </c>
      <c r="B3427" t="s">
        <v>11</v>
      </c>
      <c r="C3427" s="4">
        <v>25.96</v>
      </c>
      <c r="D3427" t="s">
        <v>18</v>
      </c>
      <c r="E3427" t="s">
        <v>20</v>
      </c>
      <c r="F3427" s="4" t="s">
        <v>14</v>
      </c>
      <c r="G3427" s="4" t="s">
        <v>15</v>
      </c>
      <c r="H3427" s="4">
        <v>5</v>
      </c>
      <c r="I3427" s="4">
        <v>3</v>
      </c>
      <c r="J3427" s="1">
        <v>45730</v>
      </c>
      <c r="K3427" s="2">
        <v>2.8282407407407405E-2</v>
      </c>
      <c r="M3427" s="4" t="str">
        <f t="shared" si="159"/>
        <v>LOW</v>
      </c>
      <c r="N3427" s="4" t="str" cm="1">
        <f t="array" ref="N3427">_xlfn.IFS(C3427&gt;35,"HIGH",C3427&gt;25,"MIDDLE",TRUE,"LOW")</f>
        <v>MIDDLE</v>
      </c>
      <c r="O3427" s="4" t="str">
        <f t="shared" si="160"/>
        <v>OTHERS</v>
      </c>
      <c r="P3427" s="4" t="str">
        <f t="shared" si="161"/>
        <v>OTHERS</v>
      </c>
    </row>
    <row r="3428" spans="1:16" x14ac:dyDescent="0.3">
      <c r="A3428" s="4">
        <v>9</v>
      </c>
      <c r="B3428" t="s">
        <v>11</v>
      </c>
      <c r="C3428" s="4">
        <v>30.86</v>
      </c>
      <c r="D3428" t="s">
        <v>19</v>
      </c>
      <c r="E3428" t="s">
        <v>13</v>
      </c>
      <c r="F3428" s="4" t="s">
        <v>22</v>
      </c>
      <c r="G3428" s="4" t="s">
        <v>15</v>
      </c>
      <c r="H3428" s="4">
        <v>6</v>
      </c>
      <c r="I3428" s="4">
        <v>3</v>
      </c>
      <c r="J3428" s="1">
        <v>45731</v>
      </c>
      <c r="K3428" s="2">
        <v>3.7063657407407406E-2</v>
      </c>
      <c r="M3428" s="4" t="str">
        <f t="shared" si="159"/>
        <v>LOW</v>
      </c>
      <c r="N3428" s="4" t="str" cm="1">
        <f t="array" ref="N3428">_xlfn.IFS(C3428&gt;35,"HIGH",C3428&gt;25,"MIDDLE",TRUE,"LOW")</f>
        <v>MIDDLE</v>
      </c>
      <c r="O3428" s="4" t="str">
        <f t="shared" si="160"/>
        <v>OTHERS</v>
      </c>
      <c r="P3428" s="4" t="str">
        <f t="shared" si="161"/>
        <v>PREMINUM MORNING</v>
      </c>
    </row>
    <row r="3429" spans="1:16" x14ac:dyDescent="0.3">
      <c r="A3429" s="4">
        <v>10</v>
      </c>
      <c r="B3429" t="s">
        <v>11</v>
      </c>
      <c r="C3429" s="4">
        <v>35.76</v>
      </c>
      <c r="D3429" t="s">
        <v>29</v>
      </c>
      <c r="E3429" t="s">
        <v>13</v>
      </c>
      <c r="F3429" s="4" t="s">
        <v>22</v>
      </c>
      <c r="G3429" s="4" t="s">
        <v>15</v>
      </c>
      <c r="H3429" s="4">
        <v>6</v>
      </c>
      <c r="I3429" s="4">
        <v>3</v>
      </c>
      <c r="J3429" s="1">
        <v>45731</v>
      </c>
      <c r="K3429" s="2">
        <v>2.3437499999999999E-3</v>
      </c>
      <c r="M3429" s="4" t="str">
        <f t="shared" si="159"/>
        <v>HIGH</v>
      </c>
      <c r="N3429" s="4" t="str" cm="1">
        <f t="array" ref="N3429">_xlfn.IFS(C3429&gt;35,"HIGH",C3429&gt;25,"MIDDLE",TRUE,"LOW")</f>
        <v>HIGH</v>
      </c>
      <c r="O3429" s="4" t="str">
        <f t="shared" si="160"/>
        <v>PREMINUM MORNING</v>
      </c>
      <c r="P3429" s="4" t="str">
        <f t="shared" si="161"/>
        <v>PREMINUM MORNING</v>
      </c>
    </row>
    <row r="3430" spans="1:16" x14ac:dyDescent="0.3">
      <c r="A3430" s="4">
        <v>13</v>
      </c>
      <c r="B3430" t="s">
        <v>11</v>
      </c>
      <c r="C3430" s="4">
        <v>25.96</v>
      </c>
      <c r="D3430" t="s">
        <v>18</v>
      </c>
      <c r="E3430" t="s">
        <v>17</v>
      </c>
      <c r="F3430" s="4" t="s">
        <v>22</v>
      </c>
      <c r="G3430" s="4" t="s">
        <v>15</v>
      </c>
      <c r="H3430" s="4">
        <v>6</v>
      </c>
      <c r="I3430" s="4">
        <v>3</v>
      </c>
      <c r="J3430" s="1">
        <v>45731</v>
      </c>
      <c r="K3430" s="2">
        <v>3.8680555555555558E-2</v>
      </c>
      <c r="M3430" s="4" t="str">
        <f t="shared" si="159"/>
        <v>LOW</v>
      </c>
      <c r="N3430" s="4" t="str" cm="1">
        <f t="array" ref="N3430">_xlfn.IFS(C3430&gt;35,"HIGH",C3430&gt;25,"MIDDLE",TRUE,"LOW")</f>
        <v>MIDDLE</v>
      </c>
      <c r="O3430" s="4" t="str">
        <f t="shared" si="160"/>
        <v>OTHERS</v>
      </c>
      <c r="P3430" s="4" t="str">
        <f t="shared" si="161"/>
        <v>OTHERS</v>
      </c>
    </row>
    <row r="3431" spans="1:16" x14ac:dyDescent="0.3">
      <c r="A3431" s="4">
        <v>17</v>
      </c>
      <c r="B3431" t="s">
        <v>11</v>
      </c>
      <c r="C3431" s="4">
        <v>35.76</v>
      </c>
      <c r="D3431" t="s">
        <v>29</v>
      </c>
      <c r="E3431" t="s">
        <v>20</v>
      </c>
      <c r="F3431" s="4" t="s">
        <v>22</v>
      </c>
      <c r="G3431" s="4" t="s">
        <v>15</v>
      </c>
      <c r="H3431" s="4">
        <v>6</v>
      </c>
      <c r="I3431" s="4">
        <v>3</v>
      </c>
      <c r="J3431" s="1">
        <v>45731</v>
      </c>
      <c r="K3431" s="2">
        <v>7.2152777777777779E-3</v>
      </c>
      <c r="M3431" s="4" t="str">
        <f t="shared" si="159"/>
        <v>HIGH</v>
      </c>
      <c r="N3431" s="4" t="str" cm="1">
        <f t="array" ref="N3431">_xlfn.IFS(C3431&gt;35,"HIGH",C3431&gt;25,"MIDDLE",TRUE,"LOW")</f>
        <v>HIGH</v>
      </c>
      <c r="O3431" s="4" t="str">
        <f t="shared" si="160"/>
        <v>OTHERS</v>
      </c>
      <c r="P3431" s="4" t="str">
        <f t="shared" si="161"/>
        <v>PREMINUM MORNING</v>
      </c>
    </row>
    <row r="3432" spans="1:16" x14ac:dyDescent="0.3">
      <c r="A3432" s="4">
        <v>17</v>
      </c>
      <c r="B3432" t="s">
        <v>11</v>
      </c>
      <c r="C3432" s="4">
        <v>30.86</v>
      </c>
      <c r="D3432" t="s">
        <v>19</v>
      </c>
      <c r="E3432" t="s">
        <v>20</v>
      </c>
      <c r="F3432" s="4" t="s">
        <v>22</v>
      </c>
      <c r="G3432" s="4" t="s">
        <v>15</v>
      </c>
      <c r="H3432" s="4">
        <v>6</v>
      </c>
      <c r="I3432" s="4">
        <v>3</v>
      </c>
      <c r="J3432" s="1">
        <v>45731</v>
      </c>
      <c r="K3432" s="2">
        <v>8.4305555555555557E-3</v>
      </c>
      <c r="M3432" s="4" t="str">
        <f t="shared" si="159"/>
        <v>LOW</v>
      </c>
      <c r="N3432" s="4" t="str" cm="1">
        <f t="array" ref="N3432">_xlfn.IFS(C3432&gt;35,"HIGH",C3432&gt;25,"MIDDLE",TRUE,"LOW")</f>
        <v>MIDDLE</v>
      </c>
      <c r="O3432" s="4" t="str">
        <f t="shared" si="160"/>
        <v>OTHERS</v>
      </c>
      <c r="P3432" s="4" t="str">
        <f t="shared" si="161"/>
        <v>OTHERS</v>
      </c>
    </row>
    <row r="3433" spans="1:16" x14ac:dyDescent="0.3">
      <c r="A3433" s="4">
        <v>19</v>
      </c>
      <c r="B3433" t="s">
        <v>11</v>
      </c>
      <c r="C3433" s="4">
        <v>30.86</v>
      </c>
      <c r="D3433" t="s">
        <v>19</v>
      </c>
      <c r="E3433" t="s">
        <v>20</v>
      </c>
      <c r="F3433" s="4" t="s">
        <v>22</v>
      </c>
      <c r="G3433" s="4" t="s">
        <v>15</v>
      </c>
      <c r="H3433" s="4">
        <v>6</v>
      </c>
      <c r="I3433" s="4">
        <v>3</v>
      </c>
      <c r="J3433" s="1">
        <v>45731</v>
      </c>
      <c r="K3433" s="2">
        <v>2.1255787037037038E-2</v>
      </c>
      <c r="M3433" s="4" t="str">
        <f t="shared" si="159"/>
        <v>LOW</v>
      </c>
      <c r="N3433" s="4" t="str" cm="1">
        <f t="array" ref="N3433">_xlfn.IFS(C3433&gt;35,"HIGH",C3433&gt;25,"MIDDLE",TRUE,"LOW")</f>
        <v>MIDDLE</v>
      </c>
      <c r="O3433" s="4" t="str">
        <f t="shared" si="160"/>
        <v>OTHERS</v>
      </c>
      <c r="P3433" s="4" t="str">
        <f t="shared" si="161"/>
        <v>OTHERS</v>
      </c>
    </row>
    <row r="3434" spans="1:16" x14ac:dyDescent="0.3">
      <c r="A3434" s="4">
        <v>19</v>
      </c>
      <c r="B3434" t="s">
        <v>11</v>
      </c>
      <c r="C3434" s="4">
        <v>35.76</v>
      </c>
      <c r="D3434" t="s">
        <v>29</v>
      </c>
      <c r="E3434" t="s">
        <v>20</v>
      </c>
      <c r="F3434" s="4" t="s">
        <v>22</v>
      </c>
      <c r="G3434" s="4" t="s">
        <v>15</v>
      </c>
      <c r="H3434" s="4">
        <v>6</v>
      </c>
      <c r="I3434" s="4">
        <v>3</v>
      </c>
      <c r="J3434" s="1">
        <v>45731</v>
      </c>
      <c r="K3434" s="2">
        <v>3.5730324074074074E-2</v>
      </c>
      <c r="M3434" s="4" t="str">
        <f t="shared" si="159"/>
        <v>HIGH</v>
      </c>
      <c r="N3434" s="4" t="str" cm="1">
        <f t="array" ref="N3434">_xlfn.IFS(C3434&gt;35,"HIGH",C3434&gt;25,"MIDDLE",TRUE,"LOW")</f>
        <v>HIGH</v>
      </c>
      <c r="O3434" s="4" t="str">
        <f t="shared" si="160"/>
        <v>OTHERS</v>
      </c>
      <c r="P3434" s="4" t="str">
        <f t="shared" si="161"/>
        <v>PREMINUM MORNING</v>
      </c>
    </row>
    <row r="3435" spans="1:16" x14ac:dyDescent="0.3">
      <c r="A3435" s="4">
        <v>9</v>
      </c>
      <c r="B3435" t="s">
        <v>11</v>
      </c>
      <c r="C3435" s="4">
        <v>35.76</v>
      </c>
      <c r="D3435" t="s">
        <v>29</v>
      </c>
      <c r="E3435" t="s">
        <v>13</v>
      </c>
      <c r="F3435" s="4" t="s">
        <v>23</v>
      </c>
      <c r="G3435" s="4" t="s">
        <v>15</v>
      </c>
      <c r="H3435" s="4">
        <v>7</v>
      </c>
      <c r="I3435" s="4">
        <v>3</v>
      </c>
      <c r="J3435" s="1">
        <v>45732</v>
      </c>
      <c r="K3435" s="2">
        <v>2.2422453703703705E-2</v>
      </c>
      <c r="M3435" s="4" t="str">
        <f t="shared" si="159"/>
        <v>HIGH</v>
      </c>
      <c r="N3435" s="4" t="str" cm="1">
        <f t="array" ref="N3435">_xlfn.IFS(C3435&gt;35,"HIGH",C3435&gt;25,"MIDDLE",TRUE,"LOW")</f>
        <v>HIGH</v>
      </c>
      <c r="O3435" s="4" t="str">
        <f t="shared" si="160"/>
        <v>PREMINUM MORNING</v>
      </c>
      <c r="P3435" s="4" t="str">
        <f t="shared" si="161"/>
        <v>PREMINUM MORNING</v>
      </c>
    </row>
    <row r="3436" spans="1:16" x14ac:dyDescent="0.3">
      <c r="A3436" s="4">
        <v>9</v>
      </c>
      <c r="B3436" t="s">
        <v>11</v>
      </c>
      <c r="C3436" s="4">
        <v>30.86</v>
      </c>
      <c r="D3436" t="s">
        <v>19</v>
      </c>
      <c r="E3436" t="s">
        <v>13</v>
      </c>
      <c r="F3436" s="4" t="s">
        <v>23</v>
      </c>
      <c r="G3436" s="4" t="s">
        <v>15</v>
      </c>
      <c r="H3436" s="4">
        <v>7</v>
      </c>
      <c r="I3436" s="4">
        <v>3</v>
      </c>
      <c r="J3436" s="1">
        <v>45732</v>
      </c>
      <c r="K3436" s="2">
        <v>2.5268518518518517E-2</v>
      </c>
      <c r="M3436" s="4" t="str">
        <f t="shared" si="159"/>
        <v>LOW</v>
      </c>
      <c r="N3436" s="4" t="str" cm="1">
        <f t="array" ref="N3436">_xlfn.IFS(C3436&gt;35,"HIGH",C3436&gt;25,"MIDDLE",TRUE,"LOW")</f>
        <v>MIDDLE</v>
      </c>
      <c r="O3436" s="4" t="str">
        <f t="shared" si="160"/>
        <v>OTHERS</v>
      </c>
      <c r="P3436" s="4" t="str">
        <f t="shared" si="161"/>
        <v>PREMINUM MORNING</v>
      </c>
    </row>
    <row r="3437" spans="1:16" x14ac:dyDescent="0.3">
      <c r="A3437" s="4">
        <v>10</v>
      </c>
      <c r="B3437" t="s">
        <v>11</v>
      </c>
      <c r="C3437" s="4">
        <v>35.76</v>
      </c>
      <c r="D3437" t="s">
        <v>12</v>
      </c>
      <c r="E3437" t="s">
        <v>13</v>
      </c>
      <c r="F3437" s="4" t="s">
        <v>23</v>
      </c>
      <c r="G3437" s="4" t="s">
        <v>15</v>
      </c>
      <c r="H3437" s="4">
        <v>7</v>
      </c>
      <c r="I3437" s="4">
        <v>3</v>
      </c>
      <c r="J3437" s="1">
        <v>45732</v>
      </c>
      <c r="K3437" s="2">
        <v>3.4831018518518518E-2</v>
      </c>
      <c r="M3437" s="4" t="str">
        <f t="shared" si="159"/>
        <v>HIGH</v>
      </c>
      <c r="N3437" s="4" t="str" cm="1">
        <f t="array" ref="N3437">_xlfn.IFS(C3437&gt;35,"HIGH",C3437&gt;25,"MIDDLE",TRUE,"LOW")</f>
        <v>HIGH</v>
      </c>
      <c r="O3437" s="4" t="str">
        <f t="shared" si="160"/>
        <v>PREMINUM MORNING</v>
      </c>
      <c r="P3437" s="4" t="str">
        <f t="shared" si="161"/>
        <v>PREMINUM MORNING</v>
      </c>
    </row>
    <row r="3438" spans="1:16" x14ac:dyDescent="0.3">
      <c r="A3438" s="4">
        <v>12</v>
      </c>
      <c r="B3438" t="s">
        <v>11</v>
      </c>
      <c r="C3438" s="4">
        <v>35.76</v>
      </c>
      <c r="D3438" t="s">
        <v>16</v>
      </c>
      <c r="E3438" t="s">
        <v>17</v>
      </c>
      <c r="F3438" s="4" t="s">
        <v>23</v>
      </c>
      <c r="G3438" s="4" t="s">
        <v>15</v>
      </c>
      <c r="H3438" s="4">
        <v>7</v>
      </c>
      <c r="I3438" s="4">
        <v>3</v>
      </c>
      <c r="J3438" s="1">
        <v>45732</v>
      </c>
      <c r="K3438" s="2">
        <v>5.4513888888888895E-4</v>
      </c>
      <c r="M3438" s="4" t="str">
        <f t="shared" si="159"/>
        <v>HIGH</v>
      </c>
      <c r="N3438" s="4" t="str" cm="1">
        <f t="array" ref="N3438">_xlfn.IFS(C3438&gt;35,"HIGH",C3438&gt;25,"MIDDLE",TRUE,"LOW")</f>
        <v>HIGH</v>
      </c>
      <c r="O3438" s="4" t="str">
        <f t="shared" si="160"/>
        <v>OTHERS</v>
      </c>
      <c r="P3438" s="4" t="str">
        <f t="shared" si="161"/>
        <v>PREMINUM MORNING</v>
      </c>
    </row>
    <row r="3439" spans="1:16" x14ac:dyDescent="0.3">
      <c r="A3439" s="4">
        <v>14</v>
      </c>
      <c r="B3439" t="s">
        <v>11</v>
      </c>
      <c r="C3439" s="4">
        <v>25.96</v>
      </c>
      <c r="D3439" t="s">
        <v>18</v>
      </c>
      <c r="E3439" t="s">
        <v>17</v>
      </c>
      <c r="F3439" s="4" t="s">
        <v>23</v>
      </c>
      <c r="G3439" s="4" t="s">
        <v>15</v>
      </c>
      <c r="H3439" s="4">
        <v>7</v>
      </c>
      <c r="I3439" s="4">
        <v>3</v>
      </c>
      <c r="J3439" s="1">
        <v>45732</v>
      </c>
      <c r="K3439" s="2">
        <v>1.5770833333333331E-2</v>
      </c>
      <c r="M3439" s="4" t="str">
        <f t="shared" si="159"/>
        <v>LOW</v>
      </c>
      <c r="N3439" s="4" t="str" cm="1">
        <f t="array" ref="N3439">_xlfn.IFS(C3439&gt;35,"HIGH",C3439&gt;25,"MIDDLE",TRUE,"LOW")</f>
        <v>MIDDLE</v>
      </c>
      <c r="O3439" s="4" t="str">
        <f t="shared" si="160"/>
        <v>OTHERS</v>
      </c>
      <c r="P3439" s="4" t="str">
        <f t="shared" si="161"/>
        <v>OTHERS</v>
      </c>
    </row>
    <row r="3440" spans="1:16" x14ac:dyDescent="0.3">
      <c r="A3440" s="4">
        <v>6</v>
      </c>
      <c r="B3440" t="s">
        <v>11</v>
      </c>
      <c r="C3440" s="4">
        <v>25.96</v>
      </c>
      <c r="D3440" t="s">
        <v>18</v>
      </c>
      <c r="E3440" t="s">
        <v>13</v>
      </c>
      <c r="F3440" s="4" t="s">
        <v>25</v>
      </c>
      <c r="G3440" s="4" t="s">
        <v>15</v>
      </c>
      <c r="H3440" s="4">
        <v>1</v>
      </c>
      <c r="I3440" s="4">
        <v>3</v>
      </c>
      <c r="J3440" s="1">
        <v>45733</v>
      </c>
      <c r="K3440" s="2">
        <v>3.7969907407407404E-2</v>
      </c>
      <c r="M3440" s="4" t="str">
        <f t="shared" si="159"/>
        <v>LOW</v>
      </c>
      <c r="N3440" s="4" t="str" cm="1">
        <f t="array" ref="N3440">_xlfn.IFS(C3440&gt;35,"HIGH",C3440&gt;25,"MIDDLE",TRUE,"LOW")</f>
        <v>MIDDLE</v>
      </c>
      <c r="O3440" s="4" t="str">
        <f t="shared" si="160"/>
        <v>OTHERS</v>
      </c>
      <c r="P3440" s="4" t="str">
        <f t="shared" si="161"/>
        <v>PREMINUM MORNING</v>
      </c>
    </row>
    <row r="3441" spans="1:16" x14ac:dyDescent="0.3">
      <c r="A3441" s="4">
        <v>8</v>
      </c>
      <c r="B3441" t="s">
        <v>11</v>
      </c>
      <c r="C3441" s="4">
        <v>25.96</v>
      </c>
      <c r="D3441" t="s">
        <v>18</v>
      </c>
      <c r="E3441" t="s">
        <v>13</v>
      </c>
      <c r="F3441" s="4" t="s">
        <v>25</v>
      </c>
      <c r="G3441" s="4" t="s">
        <v>15</v>
      </c>
      <c r="H3441" s="4">
        <v>1</v>
      </c>
      <c r="I3441" s="4">
        <v>3</v>
      </c>
      <c r="J3441" s="1">
        <v>45733</v>
      </c>
      <c r="K3441" s="2">
        <v>6.8298611111111112E-3</v>
      </c>
      <c r="M3441" s="4" t="str">
        <f t="shared" si="159"/>
        <v>LOW</v>
      </c>
      <c r="N3441" s="4" t="str" cm="1">
        <f t="array" ref="N3441">_xlfn.IFS(C3441&gt;35,"HIGH",C3441&gt;25,"MIDDLE",TRUE,"LOW")</f>
        <v>MIDDLE</v>
      </c>
      <c r="O3441" s="4" t="str">
        <f t="shared" si="160"/>
        <v>OTHERS</v>
      </c>
      <c r="P3441" s="4" t="str">
        <f t="shared" si="161"/>
        <v>PREMINUM MORNING</v>
      </c>
    </row>
    <row r="3442" spans="1:16" x14ac:dyDescent="0.3">
      <c r="A3442" s="4">
        <v>8</v>
      </c>
      <c r="B3442" t="s">
        <v>11</v>
      </c>
      <c r="C3442" s="4">
        <v>25.96</v>
      </c>
      <c r="D3442" t="s">
        <v>18</v>
      </c>
      <c r="E3442" t="s">
        <v>13</v>
      </c>
      <c r="F3442" s="4" t="s">
        <v>25</v>
      </c>
      <c r="G3442" s="4" t="s">
        <v>15</v>
      </c>
      <c r="H3442" s="4">
        <v>1</v>
      </c>
      <c r="I3442" s="4">
        <v>3</v>
      </c>
      <c r="J3442" s="1">
        <v>45733</v>
      </c>
      <c r="K3442" s="2">
        <v>1.2531250000000001E-2</v>
      </c>
      <c r="M3442" s="4" t="str">
        <f t="shared" si="159"/>
        <v>LOW</v>
      </c>
      <c r="N3442" s="4" t="str" cm="1">
        <f t="array" ref="N3442">_xlfn.IFS(C3442&gt;35,"HIGH",C3442&gt;25,"MIDDLE",TRUE,"LOW")</f>
        <v>MIDDLE</v>
      </c>
      <c r="O3442" s="4" t="str">
        <f t="shared" si="160"/>
        <v>OTHERS</v>
      </c>
      <c r="P3442" s="4" t="str">
        <f t="shared" si="161"/>
        <v>PREMINUM MORNING</v>
      </c>
    </row>
    <row r="3443" spans="1:16" x14ac:dyDescent="0.3">
      <c r="A3443" s="4">
        <v>9</v>
      </c>
      <c r="B3443" t="s">
        <v>11</v>
      </c>
      <c r="C3443" s="4">
        <v>30.86</v>
      </c>
      <c r="D3443" t="s">
        <v>19</v>
      </c>
      <c r="E3443" t="s">
        <v>13</v>
      </c>
      <c r="F3443" s="4" t="s">
        <v>25</v>
      </c>
      <c r="G3443" s="4" t="s">
        <v>15</v>
      </c>
      <c r="H3443" s="4">
        <v>1</v>
      </c>
      <c r="I3443" s="4">
        <v>3</v>
      </c>
      <c r="J3443" s="1">
        <v>45733</v>
      </c>
      <c r="K3443" s="2">
        <v>2.0717592592592593E-3</v>
      </c>
      <c r="M3443" s="4" t="str">
        <f t="shared" si="159"/>
        <v>LOW</v>
      </c>
      <c r="N3443" s="4" t="str" cm="1">
        <f t="array" ref="N3443">_xlfn.IFS(C3443&gt;35,"HIGH",C3443&gt;25,"MIDDLE",TRUE,"LOW")</f>
        <v>MIDDLE</v>
      </c>
      <c r="O3443" s="4" t="str">
        <f t="shared" si="160"/>
        <v>OTHERS</v>
      </c>
      <c r="P3443" s="4" t="str">
        <f t="shared" si="161"/>
        <v>PREMINUM MORNING</v>
      </c>
    </row>
    <row r="3444" spans="1:16" x14ac:dyDescent="0.3">
      <c r="A3444" s="4">
        <v>10</v>
      </c>
      <c r="B3444" t="s">
        <v>11</v>
      </c>
      <c r="C3444" s="4">
        <v>25.96</v>
      </c>
      <c r="D3444" t="s">
        <v>18</v>
      </c>
      <c r="E3444" t="s">
        <v>13</v>
      </c>
      <c r="F3444" s="4" t="s">
        <v>25</v>
      </c>
      <c r="G3444" s="4" t="s">
        <v>15</v>
      </c>
      <c r="H3444" s="4">
        <v>1</v>
      </c>
      <c r="I3444" s="4">
        <v>3</v>
      </c>
      <c r="J3444" s="1">
        <v>45733</v>
      </c>
      <c r="K3444" s="2">
        <v>2.2679398148148146E-2</v>
      </c>
      <c r="M3444" s="4" t="str">
        <f t="shared" si="159"/>
        <v>LOW</v>
      </c>
      <c r="N3444" s="4" t="str" cm="1">
        <f t="array" ref="N3444">_xlfn.IFS(C3444&gt;35,"HIGH",C3444&gt;25,"MIDDLE",TRUE,"LOW")</f>
        <v>MIDDLE</v>
      </c>
      <c r="O3444" s="4" t="str">
        <f t="shared" si="160"/>
        <v>OTHERS</v>
      </c>
      <c r="P3444" s="4" t="str">
        <f t="shared" si="161"/>
        <v>PREMINUM MORNING</v>
      </c>
    </row>
    <row r="3445" spans="1:16" x14ac:dyDescent="0.3">
      <c r="A3445" s="4">
        <v>13</v>
      </c>
      <c r="B3445" t="s">
        <v>11</v>
      </c>
      <c r="C3445" s="4">
        <v>25.96</v>
      </c>
      <c r="D3445" t="s">
        <v>18</v>
      </c>
      <c r="E3445" t="s">
        <v>17</v>
      </c>
      <c r="F3445" s="4" t="s">
        <v>25</v>
      </c>
      <c r="G3445" s="4" t="s">
        <v>15</v>
      </c>
      <c r="H3445" s="4">
        <v>1</v>
      </c>
      <c r="I3445" s="4">
        <v>3</v>
      </c>
      <c r="J3445" s="1">
        <v>45733</v>
      </c>
      <c r="K3445" s="2">
        <v>4.0983796296296296E-2</v>
      </c>
      <c r="M3445" s="4" t="str">
        <f t="shared" si="159"/>
        <v>LOW</v>
      </c>
      <c r="N3445" s="4" t="str" cm="1">
        <f t="array" ref="N3445">_xlfn.IFS(C3445&gt;35,"HIGH",C3445&gt;25,"MIDDLE",TRUE,"LOW")</f>
        <v>MIDDLE</v>
      </c>
      <c r="O3445" s="4" t="str">
        <f t="shared" si="160"/>
        <v>OTHERS</v>
      </c>
      <c r="P3445" s="4" t="str">
        <f t="shared" si="161"/>
        <v>OTHERS</v>
      </c>
    </row>
    <row r="3446" spans="1:16" x14ac:dyDescent="0.3">
      <c r="A3446" s="4">
        <v>14</v>
      </c>
      <c r="B3446" t="s">
        <v>11</v>
      </c>
      <c r="C3446" s="4">
        <v>35.76</v>
      </c>
      <c r="D3446" t="s">
        <v>21</v>
      </c>
      <c r="E3446" t="s">
        <v>17</v>
      </c>
      <c r="F3446" s="4" t="s">
        <v>25</v>
      </c>
      <c r="G3446" s="4" t="s">
        <v>15</v>
      </c>
      <c r="H3446" s="4">
        <v>1</v>
      </c>
      <c r="I3446" s="4">
        <v>3</v>
      </c>
      <c r="J3446" s="1">
        <v>45733</v>
      </c>
      <c r="K3446" s="2">
        <v>1.4866898148148148E-2</v>
      </c>
      <c r="M3446" s="4" t="str">
        <f t="shared" si="159"/>
        <v>HIGH</v>
      </c>
      <c r="N3446" s="4" t="str" cm="1">
        <f t="array" ref="N3446">_xlfn.IFS(C3446&gt;35,"HIGH",C3446&gt;25,"MIDDLE",TRUE,"LOW")</f>
        <v>HIGH</v>
      </c>
      <c r="O3446" s="4" t="str">
        <f t="shared" si="160"/>
        <v>OTHERS</v>
      </c>
      <c r="P3446" s="4" t="str">
        <f t="shared" si="161"/>
        <v>PREMINUM MORNING</v>
      </c>
    </row>
    <row r="3447" spans="1:16" x14ac:dyDescent="0.3">
      <c r="A3447" s="4">
        <v>14</v>
      </c>
      <c r="B3447" t="s">
        <v>11</v>
      </c>
      <c r="C3447" s="4">
        <v>35.76</v>
      </c>
      <c r="D3447" t="s">
        <v>21</v>
      </c>
      <c r="E3447" t="s">
        <v>17</v>
      </c>
      <c r="F3447" s="4" t="s">
        <v>25</v>
      </c>
      <c r="G3447" s="4" t="s">
        <v>15</v>
      </c>
      <c r="H3447" s="4">
        <v>1</v>
      </c>
      <c r="I3447" s="4">
        <v>3</v>
      </c>
      <c r="J3447" s="1">
        <v>45733</v>
      </c>
      <c r="K3447" s="2">
        <v>1.5505787037037038E-2</v>
      </c>
      <c r="M3447" s="4" t="str">
        <f t="shared" si="159"/>
        <v>HIGH</v>
      </c>
      <c r="N3447" s="4" t="str" cm="1">
        <f t="array" ref="N3447">_xlfn.IFS(C3447&gt;35,"HIGH",C3447&gt;25,"MIDDLE",TRUE,"LOW")</f>
        <v>HIGH</v>
      </c>
      <c r="O3447" s="4" t="str">
        <f t="shared" si="160"/>
        <v>OTHERS</v>
      </c>
      <c r="P3447" s="4" t="str">
        <f t="shared" si="161"/>
        <v>PREMINUM MORNING</v>
      </c>
    </row>
    <row r="3448" spans="1:16" x14ac:dyDescent="0.3">
      <c r="A3448" s="4">
        <v>14</v>
      </c>
      <c r="B3448" t="s">
        <v>11</v>
      </c>
      <c r="C3448" s="4">
        <v>35.76</v>
      </c>
      <c r="D3448" t="s">
        <v>12</v>
      </c>
      <c r="E3448" t="s">
        <v>17</v>
      </c>
      <c r="F3448" s="4" t="s">
        <v>25</v>
      </c>
      <c r="G3448" s="4" t="s">
        <v>15</v>
      </c>
      <c r="H3448" s="4">
        <v>1</v>
      </c>
      <c r="I3448" s="4">
        <v>3</v>
      </c>
      <c r="J3448" s="1">
        <v>45733</v>
      </c>
      <c r="K3448" s="2">
        <v>3.3373842592592594E-2</v>
      </c>
      <c r="M3448" s="4" t="str">
        <f t="shared" si="159"/>
        <v>HIGH</v>
      </c>
      <c r="N3448" s="4" t="str" cm="1">
        <f t="array" ref="N3448">_xlfn.IFS(C3448&gt;35,"HIGH",C3448&gt;25,"MIDDLE",TRUE,"LOW")</f>
        <v>HIGH</v>
      </c>
      <c r="O3448" s="4" t="str">
        <f t="shared" si="160"/>
        <v>OTHERS</v>
      </c>
      <c r="P3448" s="4" t="str">
        <f t="shared" si="161"/>
        <v>PREMINUM MORNING</v>
      </c>
    </row>
    <row r="3449" spans="1:16" x14ac:dyDescent="0.3">
      <c r="A3449" s="4">
        <v>15</v>
      </c>
      <c r="B3449" t="s">
        <v>11</v>
      </c>
      <c r="C3449" s="4">
        <v>35.76</v>
      </c>
      <c r="D3449" t="s">
        <v>29</v>
      </c>
      <c r="E3449" t="s">
        <v>17</v>
      </c>
      <c r="F3449" s="4" t="s">
        <v>25</v>
      </c>
      <c r="G3449" s="4" t="s">
        <v>15</v>
      </c>
      <c r="H3449" s="4">
        <v>1</v>
      </c>
      <c r="I3449" s="4">
        <v>3</v>
      </c>
      <c r="J3449" s="1">
        <v>45733</v>
      </c>
      <c r="K3449" s="2">
        <v>7.8391203703703696E-3</v>
      </c>
      <c r="M3449" s="4" t="str">
        <f t="shared" si="159"/>
        <v>HIGH</v>
      </c>
      <c r="N3449" s="4" t="str" cm="1">
        <f t="array" ref="N3449">_xlfn.IFS(C3449&gt;35,"HIGH",C3449&gt;25,"MIDDLE",TRUE,"LOW")</f>
        <v>HIGH</v>
      </c>
      <c r="O3449" s="4" t="str">
        <f t="shared" si="160"/>
        <v>OTHERS</v>
      </c>
      <c r="P3449" s="4" t="str">
        <f t="shared" si="161"/>
        <v>PREMINUM MORNING</v>
      </c>
    </row>
    <row r="3450" spans="1:16" x14ac:dyDescent="0.3">
      <c r="A3450" s="4">
        <v>15</v>
      </c>
      <c r="B3450" t="s">
        <v>11</v>
      </c>
      <c r="C3450" s="4">
        <v>35.76</v>
      </c>
      <c r="D3450" t="s">
        <v>12</v>
      </c>
      <c r="E3450" t="s">
        <v>17</v>
      </c>
      <c r="F3450" s="4" t="s">
        <v>25</v>
      </c>
      <c r="G3450" s="4" t="s">
        <v>15</v>
      </c>
      <c r="H3450" s="4">
        <v>1</v>
      </c>
      <c r="I3450" s="4">
        <v>3</v>
      </c>
      <c r="J3450" s="1">
        <v>45733</v>
      </c>
      <c r="K3450" s="2">
        <v>3.2822916666666667E-2</v>
      </c>
      <c r="M3450" s="4" t="str">
        <f t="shared" si="159"/>
        <v>HIGH</v>
      </c>
      <c r="N3450" s="4" t="str" cm="1">
        <f t="array" ref="N3450">_xlfn.IFS(C3450&gt;35,"HIGH",C3450&gt;25,"MIDDLE",TRUE,"LOW")</f>
        <v>HIGH</v>
      </c>
      <c r="O3450" s="4" t="str">
        <f t="shared" si="160"/>
        <v>OTHERS</v>
      </c>
      <c r="P3450" s="4" t="str">
        <f t="shared" si="161"/>
        <v>PREMINUM MORNING</v>
      </c>
    </row>
    <row r="3451" spans="1:16" x14ac:dyDescent="0.3">
      <c r="A3451" s="4">
        <v>15</v>
      </c>
      <c r="B3451" t="s">
        <v>11</v>
      </c>
      <c r="C3451" s="4">
        <v>35.76</v>
      </c>
      <c r="D3451" t="s">
        <v>12</v>
      </c>
      <c r="E3451" t="s">
        <v>17</v>
      </c>
      <c r="F3451" s="4" t="s">
        <v>25</v>
      </c>
      <c r="G3451" s="4" t="s">
        <v>15</v>
      </c>
      <c r="H3451" s="4">
        <v>1</v>
      </c>
      <c r="I3451" s="4">
        <v>3</v>
      </c>
      <c r="J3451" s="1">
        <v>45733</v>
      </c>
      <c r="K3451" s="2">
        <v>3.4010416666666668E-2</v>
      </c>
      <c r="M3451" s="4" t="str">
        <f t="shared" si="159"/>
        <v>HIGH</v>
      </c>
      <c r="N3451" s="4" t="str" cm="1">
        <f t="array" ref="N3451">_xlfn.IFS(C3451&gt;35,"HIGH",C3451&gt;25,"MIDDLE",TRUE,"LOW")</f>
        <v>HIGH</v>
      </c>
      <c r="O3451" s="4" t="str">
        <f t="shared" si="160"/>
        <v>OTHERS</v>
      </c>
      <c r="P3451" s="4" t="str">
        <f t="shared" si="161"/>
        <v>PREMINUM MORNING</v>
      </c>
    </row>
    <row r="3452" spans="1:16" x14ac:dyDescent="0.3">
      <c r="A3452" s="4">
        <v>16</v>
      </c>
      <c r="B3452" t="s">
        <v>11</v>
      </c>
      <c r="C3452" s="4">
        <v>25.96</v>
      </c>
      <c r="D3452" t="s">
        <v>18</v>
      </c>
      <c r="E3452" t="s">
        <v>17</v>
      </c>
      <c r="F3452" s="4" t="s">
        <v>25</v>
      </c>
      <c r="G3452" s="4" t="s">
        <v>15</v>
      </c>
      <c r="H3452" s="4">
        <v>1</v>
      </c>
      <c r="I3452" s="4">
        <v>3</v>
      </c>
      <c r="J3452" s="1">
        <v>45733</v>
      </c>
      <c r="K3452" s="2">
        <v>3.2460648148148148E-2</v>
      </c>
      <c r="M3452" s="4" t="str">
        <f t="shared" si="159"/>
        <v>LOW</v>
      </c>
      <c r="N3452" s="4" t="str" cm="1">
        <f t="array" ref="N3452">_xlfn.IFS(C3452&gt;35,"HIGH",C3452&gt;25,"MIDDLE",TRUE,"LOW")</f>
        <v>MIDDLE</v>
      </c>
      <c r="O3452" s="4" t="str">
        <f t="shared" si="160"/>
        <v>OTHERS</v>
      </c>
      <c r="P3452" s="4" t="str">
        <f t="shared" si="161"/>
        <v>OTHERS</v>
      </c>
    </row>
    <row r="3453" spans="1:16" x14ac:dyDescent="0.3">
      <c r="A3453" s="4">
        <v>8</v>
      </c>
      <c r="B3453" t="s">
        <v>11</v>
      </c>
      <c r="C3453" s="4">
        <v>30.86</v>
      </c>
      <c r="D3453" t="s">
        <v>19</v>
      </c>
      <c r="E3453" t="s">
        <v>13</v>
      </c>
      <c r="F3453" s="4" t="s">
        <v>27</v>
      </c>
      <c r="G3453" s="4" t="s">
        <v>15</v>
      </c>
      <c r="H3453" s="4">
        <v>2</v>
      </c>
      <c r="I3453" s="4">
        <v>3</v>
      </c>
      <c r="J3453" s="1">
        <v>45734</v>
      </c>
      <c r="K3453" s="2">
        <v>1.6099537037037037E-2</v>
      </c>
      <c r="M3453" s="4" t="str">
        <f t="shared" si="159"/>
        <v>LOW</v>
      </c>
      <c r="N3453" s="4" t="str" cm="1">
        <f t="array" ref="N3453">_xlfn.IFS(C3453&gt;35,"HIGH",C3453&gt;25,"MIDDLE",TRUE,"LOW")</f>
        <v>MIDDLE</v>
      </c>
      <c r="O3453" s="4" t="str">
        <f t="shared" si="160"/>
        <v>OTHERS</v>
      </c>
      <c r="P3453" s="4" t="str">
        <f t="shared" si="161"/>
        <v>PREMINUM MORNING</v>
      </c>
    </row>
    <row r="3454" spans="1:16" x14ac:dyDescent="0.3">
      <c r="A3454" s="4">
        <v>8</v>
      </c>
      <c r="B3454" t="s">
        <v>11</v>
      </c>
      <c r="C3454" s="4">
        <v>35.76</v>
      </c>
      <c r="D3454" t="s">
        <v>12</v>
      </c>
      <c r="E3454" t="s">
        <v>13</v>
      </c>
      <c r="F3454" s="4" t="s">
        <v>27</v>
      </c>
      <c r="G3454" s="4" t="s">
        <v>15</v>
      </c>
      <c r="H3454" s="4">
        <v>2</v>
      </c>
      <c r="I3454" s="4">
        <v>3</v>
      </c>
      <c r="J3454" s="1">
        <v>45734</v>
      </c>
      <c r="K3454" s="2">
        <v>2.3490740740740739E-2</v>
      </c>
      <c r="M3454" s="4" t="str">
        <f t="shared" si="159"/>
        <v>HIGH</v>
      </c>
      <c r="N3454" s="4" t="str" cm="1">
        <f t="array" ref="N3454">_xlfn.IFS(C3454&gt;35,"HIGH",C3454&gt;25,"MIDDLE",TRUE,"LOW")</f>
        <v>HIGH</v>
      </c>
      <c r="O3454" s="4" t="str">
        <f t="shared" si="160"/>
        <v>PREMINUM MORNING</v>
      </c>
      <c r="P3454" s="4" t="str">
        <f t="shared" si="161"/>
        <v>PREMINUM MORNING</v>
      </c>
    </row>
    <row r="3455" spans="1:16" x14ac:dyDescent="0.3">
      <c r="A3455" s="4">
        <v>10</v>
      </c>
      <c r="B3455" t="s">
        <v>11</v>
      </c>
      <c r="C3455" s="4">
        <v>35.76</v>
      </c>
      <c r="D3455" t="s">
        <v>12</v>
      </c>
      <c r="E3455" t="s">
        <v>13</v>
      </c>
      <c r="F3455" s="4" t="s">
        <v>27</v>
      </c>
      <c r="G3455" s="4" t="s">
        <v>15</v>
      </c>
      <c r="H3455" s="4">
        <v>2</v>
      </c>
      <c r="I3455" s="4">
        <v>3</v>
      </c>
      <c r="J3455" s="1">
        <v>45734</v>
      </c>
      <c r="K3455" s="2">
        <v>3.4622685185185187E-2</v>
      </c>
      <c r="M3455" s="4" t="str">
        <f t="shared" si="159"/>
        <v>HIGH</v>
      </c>
      <c r="N3455" s="4" t="str" cm="1">
        <f t="array" ref="N3455">_xlfn.IFS(C3455&gt;35,"HIGH",C3455&gt;25,"MIDDLE",TRUE,"LOW")</f>
        <v>HIGH</v>
      </c>
      <c r="O3455" s="4" t="str">
        <f t="shared" si="160"/>
        <v>PREMINUM MORNING</v>
      </c>
      <c r="P3455" s="4" t="str">
        <f t="shared" si="161"/>
        <v>PREMINUM MORNING</v>
      </c>
    </row>
    <row r="3456" spans="1:16" x14ac:dyDescent="0.3">
      <c r="A3456" s="4">
        <v>10</v>
      </c>
      <c r="B3456" t="s">
        <v>11</v>
      </c>
      <c r="C3456" s="4">
        <v>25.96</v>
      </c>
      <c r="D3456" t="s">
        <v>18</v>
      </c>
      <c r="E3456" t="s">
        <v>13</v>
      </c>
      <c r="F3456" s="4" t="s">
        <v>27</v>
      </c>
      <c r="G3456" s="4" t="s">
        <v>15</v>
      </c>
      <c r="H3456" s="4">
        <v>2</v>
      </c>
      <c r="I3456" s="4">
        <v>3</v>
      </c>
      <c r="J3456" s="1">
        <v>45734</v>
      </c>
      <c r="K3456" s="2">
        <v>3.5621527777777773E-2</v>
      </c>
      <c r="M3456" s="4" t="str">
        <f t="shared" si="159"/>
        <v>LOW</v>
      </c>
      <c r="N3456" s="4" t="str" cm="1">
        <f t="array" ref="N3456">_xlfn.IFS(C3456&gt;35,"HIGH",C3456&gt;25,"MIDDLE",TRUE,"LOW")</f>
        <v>MIDDLE</v>
      </c>
      <c r="O3456" s="4" t="str">
        <f t="shared" si="160"/>
        <v>OTHERS</v>
      </c>
      <c r="P3456" s="4" t="str">
        <f t="shared" si="161"/>
        <v>PREMINUM MORNING</v>
      </c>
    </row>
    <row r="3457" spans="1:16" x14ac:dyDescent="0.3">
      <c r="A3457" s="4">
        <v>11</v>
      </c>
      <c r="B3457" t="s">
        <v>11</v>
      </c>
      <c r="C3457" s="4">
        <v>35.76</v>
      </c>
      <c r="D3457" t="s">
        <v>16</v>
      </c>
      <c r="E3457" t="s">
        <v>13</v>
      </c>
      <c r="F3457" s="4" t="s">
        <v>27</v>
      </c>
      <c r="G3457" s="4" t="s">
        <v>15</v>
      </c>
      <c r="H3457" s="4">
        <v>2</v>
      </c>
      <c r="I3457" s="4">
        <v>3</v>
      </c>
      <c r="J3457" s="1">
        <v>45734</v>
      </c>
      <c r="K3457" s="2">
        <v>3.2870370370370369E-2</v>
      </c>
      <c r="M3457" s="4" t="str">
        <f t="shared" si="159"/>
        <v>HIGH</v>
      </c>
      <c r="N3457" s="4" t="str" cm="1">
        <f t="array" ref="N3457">_xlfn.IFS(C3457&gt;35,"HIGH",C3457&gt;25,"MIDDLE",TRUE,"LOW")</f>
        <v>HIGH</v>
      </c>
      <c r="O3457" s="4" t="str">
        <f t="shared" si="160"/>
        <v>PREMINUM MORNING</v>
      </c>
      <c r="P3457" s="4" t="str">
        <f t="shared" si="161"/>
        <v>PREMINUM MORNING</v>
      </c>
    </row>
    <row r="3458" spans="1:16" x14ac:dyDescent="0.3">
      <c r="A3458" s="4">
        <v>11</v>
      </c>
      <c r="B3458" t="s">
        <v>11</v>
      </c>
      <c r="C3458" s="4">
        <v>35.76</v>
      </c>
      <c r="D3458" t="s">
        <v>16</v>
      </c>
      <c r="E3458" t="s">
        <v>13</v>
      </c>
      <c r="F3458" s="4" t="s">
        <v>27</v>
      </c>
      <c r="G3458" s="4" t="s">
        <v>15</v>
      </c>
      <c r="H3458" s="4">
        <v>2</v>
      </c>
      <c r="I3458" s="4">
        <v>3</v>
      </c>
      <c r="J3458" s="1">
        <v>45734</v>
      </c>
      <c r="K3458" s="2">
        <v>3.3978009259259256E-2</v>
      </c>
      <c r="M3458" s="4" t="str">
        <f t="shared" si="159"/>
        <v>HIGH</v>
      </c>
      <c r="N3458" s="4" t="str" cm="1">
        <f t="array" ref="N3458">_xlfn.IFS(C3458&gt;35,"HIGH",C3458&gt;25,"MIDDLE",TRUE,"LOW")</f>
        <v>HIGH</v>
      </c>
      <c r="O3458" s="4" t="str">
        <f t="shared" si="160"/>
        <v>PREMINUM MORNING</v>
      </c>
      <c r="P3458" s="4" t="str">
        <f t="shared" si="161"/>
        <v>PREMINUM MORNING</v>
      </c>
    </row>
    <row r="3459" spans="1:16" x14ac:dyDescent="0.3">
      <c r="A3459" s="4">
        <v>14</v>
      </c>
      <c r="B3459" t="s">
        <v>11</v>
      </c>
      <c r="C3459" s="4">
        <v>30.86</v>
      </c>
      <c r="D3459" t="s">
        <v>19</v>
      </c>
      <c r="E3459" t="s">
        <v>17</v>
      </c>
      <c r="F3459" s="4" t="s">
        <v>27</v>
      </c>
      <c r="G3459" s="4" t="s">
        <v>15</v>
      </c>
      <c r="H3459" s="4">
        <v>2</v>
      </c>
      <c r="I3459" s="4">
        <v>3</v>
      </c>
      <c r="J3459" s="1">
        <v>45734</v>
      </c>
      <c r="K3459" s="2">
        <v>3.0267361111111109E-2</v>
      </c>
      <c r="M3459" s="4" t="str">
        <f t="shared" ref="M3459:M3522" si="162">IF(C3459&gt;35,"HIGH","LOW")</f>
        <v>LOW</v>
      </c>
      <c r="N3459" s="4" t="str" cm="1">
        <f t="array" ref="N3459">_xlfn.IFS(C3459&gt;35,"HIGH",C3459&gt;25,"MIDDLE",TRUE,"LOW")</f>
        <v>MIDDLE</v>
      </c>
      <c r="O3459" s="4" t="str">
        <f t="shared" ref="O3459:O3522" si="163">IF(AND(C3459&gt;35,E3459="MORNING"),"PREMINUM MORNING","OTHERS")</f>
        <v>OTHERS</v>
      </c>
      <c r="P3459" s="4" t="str">
        <f t="shared" ref="P3459:P3522" si="164">IF(OR(C3459&gt;35,E3459="MORNING"),"PREMINUM MORNING","OTHERS")</f>
        <v>OTHERS</v>
      </c>
    </row>
    <row r="3460" spans="1:16" x14ac:dyDescent="0.3">
      <c r="A3460" s="4">
        <v>15</v>
      </c>
      <c r="B3460" t="s">
        <v>11</v>
      </c>
      <c r="C3460" s="4">
        <v>25.96</v>
      </c>
      <c r="D3460" t="s">
        <v>18</v>
      </c>
      <c r="E3460" t="s">
        <v>17</v>
      </c>
      <c r="F3460" s="4" t="s">
        <v>27</v>
      </c>
      <c r="G3460" s="4" t="s">
        <v>15</v>
      </c>
      <c r="H3460" s="4">
        <v>2</v>
      </c>
      <c r="I3460" s="4">
        <v>3</v>
      </c>
      <c r="J3460" s="1">
        <v>45734</v>
      </c>
      <c r="K3460" s="2">
        <v>2.701388888888889E-3</v>
      </c>
      <c r="M3460" s="4" t="str">
        <f t="shared" si="162"/>
        <v>LOW</v>
      </c>
      <c r="N3460" s="4" t="str" cm="1">
        <f t="array" ref="N3460">_xlfn.IFS(C3460&gt;35,"HIGH",C3460&gt;25,"MIDDLE",TRUE,"LOW")</f>
        <v>MIDDLE</v>
      </c>
      <c r="O3460" s="4" t="str">
        <f t="shared" si="163"/>
        <v>OTHERS</v>
      </c>
      <c r="P3460" s="4" t="str">
        <f t="shared" si="164"/>
        <v>OTHERS</v>
      </c>
    </row>
    <row r="3461" spans="1:16" x14ac:dyDescent="0.3">
      <c r="A3461" s="4">
        <v>15</v>
      </c>
      <c r="B3461" t="s">
        <v>11</v>
      </c>
      <c r="C3461" s="4">
        <v>30.86</v>
      </c>
      <c r="D3461" t="s">
        <v>19</v>
      </c>
      <c r="E3461" t="s">
        <v>17</v>
      </c>
      <c r="F3461" s="4" t="s">
        <v>27</v>
      </c>
      <c r="G3461" s="4" t="s">
        <v>15</v>
      </c>
      <c r="H3461" s="4">
        <v>2</v>
      </c>
      <c r="I3461" s="4">
        <v>3</v>
      </c>
      <c r="J3461" s="1">
        <v>45734</v>
      </c>
      <c r="K3461" s="2">
        <v>7.7245370370370367E-3</v>
      </c>
      <c r="M3461" s="4" t="str">
        <f t="shared" si="162"/>
        <v>LOW</v>
      </c>
      <c r="N3461" s="4" t="str" cm="1">
        <f t="array" ref="N3461">_xlfn.IFS(C3461&gt;35,"HIGH",C3461&gt;25,"MIDDLE",TRUE,"LOW")</f>
        <v>MIDDLE</v>
      </c>
      <c r="O3461" s="4" t="str">
        <f t="shared" si="163"/>
        <v>OTHERS</v>
      </c>
      <c r="P3461" s="4" t="str">
        <f t="shared" si="164"/>
        <v>OTHERS</v>
      </c>
    </row>
    <row r="3462" spans="1:16" x14ac:dyDescent="0.3">
      <c r="A3462" s="4">
        <v>16</v>
      </c>
      <c r="B3462" t="s">
        <v>11</v>
      </c>
      <c r="C3462" s="4">
        <v>25.96</v>
      </c>
      <c r="D3462" t="s">
        <v>18</v>
      </c>
      <c r="E3462" t="s">
        <v>17</v>
      </c>
      <c r="F3462" s="4" t="s">
        <v>27</v>
      </c>
      <c r="G3462" s="4" t="s">
        <v>15</v>
      </c>
      <c r="H3462" s="4">
        <v>2</v>
      </c>
      <c r="I3462" s="4">
        <v>3</v>
      </c>
      <c r="J3462" s="1">
        <v>45734</v>
      </c>
      <c r="K3462" s="2">
        <v>6.3379629629629636E-3</v>
      </c>
      <c r="M3462" s="4" t="str">
        <f t="shared" si="162"/>
        <v>LOW</v>
      </c>
      <c r="N3462" s="4" t="str" cm="1">
        <f t="array" ref="N3462">_xlfn.IFS(C3462&gt;35,"HIGH",C3462&gt;25,"MIDDLE",TRUE,"LOW")</f>
        <v>MIDDLE</v>
      </c>
      <c r="O3462" s="4" t="str">
        <f t="shared" si="163"/>
        <v>OTHERS</v>
      </c>
      <c r="P3462" s="4" t="str">
        <f t="shared" si="164"/>
        <v>OTHERS</v>
      </c>
    </row>
    <row r="3463" spans="1:16" x14ac:dyDescent="0.3">
      <c r="A3463" s="4">
        <v>16</v>
      </c>
      <c r="B3463" t="s">
        <v>11</v>
      </c>
      <c r="C3463" s="4">
        <v>35.76</v>
      </c>
      <c r="D3463" t="s">
        <v>12</v>
      </c>
      <c r="E3463" t="s">
        <v>17</v>
      </c>
      <c r="F3463" s="4" t="s">
        <v>27</v>
      </c>
      <c r="G3463" s="4" t="s">
        <v>15</v>
      </c>
      <c r="H3463" s="4">
        <v>2</v>
      </c>
      <c r="I3463" s="4">
        <v>3</v>
      </c>
      <c r="J3463" s="1">
        <v>45734</v>
      </c>
      <c r="K3463" s="2">
        <v>8.160879629629629E-3</v>
      </c>
      <c r="M3463" s="4" t="str">
        <f t="shared" si="162"/>
        <v>HIGH</v>
      </c>
      <c r="N3463" s="4" t="str" cm="1">
        <f t="array" ref="N3463">_xlfn.IFS(C3463&gt;35,"HIGH",C3463&gt;25,"MIDDLE",TRUE,"LOW")</f>
        <v>HIGH</v>
      </c>
      <c r="O3463" s="4" t="str">
        <f t="shared" si="163"/>
        <v>OTHERS</v>
      </c>
      <c r="P3463" s="4" t="str">
        <f t="shared" si="164"/>
        <v>PREMINUM MORNING</v>
      </c>
    </row>
    <row r="3464" spans="1:16" x14ac:dyDescent="0.3">
      <c r="A3464" s="4">
        <v>16</v>
      </c>
      <c r="B3464" t="s">
        <v>11</v>
      </c>
      <c r="C3464" s="4">
        <v>21.06</v>
      </c>
      <c r="D3464" t="s">
        <v>26</v>
      </c>
      <c r="E3464" t="s">
        <v>17</v>
      </c>
      <c r="F3464" s="4" t="s">
        <v>27</v>
      </c>
      <c r="G3464" s="4" t="s">
        <v>15</v>
      </c>
      <c r="H3464" s="4">
        <v>2</v>
      </c>
      <c r="I3464" s="4">
        <v>3</v>
      </c>
      <c r="J3464" s="1">
        <v>45734</v>
      </c>
      <c r="K3464" s="2">
        <v>1.6210648148148148E-2</v>
      </c>
      <c r="M3464" s="4" t="str">
        <f t="shared" si="162"/>
        <v>LOW</v>
      </c>
      <c r="N3464" s="4" t="str" cm="1">
        <f t="array" ref="N3464">_xlfn.IFS(C3464&gt;35,"HIGH",C3464&gt;25,"MIDDLE",TRUE,"LOW")</f>
        <v>LOW</v>
      </c>
      <c r="O3464" s="4" t="str">
        <f t="shared" si="163"/>
        <v>OTHERS</v>
      </c>
      <c r="P3464" s="4" t="str">
        <f t="shared" si="164"/>
        <v>OTHERS</v>
      </c>
    </row>
    <row r="3465" spans="1:16" x14ac:dyDescent="0.3">
      <c r="A3465" s="4">
        <v>18</v>
      </c>
      <c r="B3465" t="s">
        <v>11</v>
      </c>
      <c r="C3465" s="4">
        <v>35.76</v>
      </c>
      <c r="D3465" t="s">
        <v>21</v>
      </c>
      <c r="E3465" t="s">
        <v>20</v>
      </c>
      <c r="F3465" s="4" t="s">
        <v>27</v>
      </c>
      <c r="G3465" s="4" t="s">
        <v>15</v>
      </c>
      <c r="H3465" s="4">
        <v>2</v>
      </c>
      <c r="I3465" s="4">
        <v>3</v>
      </c>
      <c r="J3465" s="1">
        <v>45734</v>
      </c>
      <c r="K3465" s="2">
        <v>2.9520833333333333E-2</v>
      </c>
      <c r="M3465" s="4" t="str">
        <f t="shared" si="162"/>
        <v>HIGH</v>
      </c>
      <c r="N3465" s="4" t="str" cm="1">
        <f t="array" ref="N3465">_xlfn.IFS(C3465&gt;35,"HIGH",C3465&gt;25,"MIDDLE",TRUE,"LOW")</f>
        <v>HIGH</v>
      </c>
      <c r="O3465" s="4" t="str">
        <f t="shared" si="163"/>
        <v>OTHERS</v>
      </c>
      <c r="P3465" s="4" t="str">
        <f t="shared" si="164"/>
        <v>PREMINUM MORNING</v>
      </c>
    </row>
    <row r="3466" spans="1:16" x14ac:dyDescent="0.3">
      <c r="A3466" s="4">
        <v>18</v>
      </c>
      <c r="B3466" t="s">
        <v>11</v>
      </c>
      <c r="C3466" s="4">
        <v>35.76</v>
      </c>
      <c r="D3466" t="s">
        <v>21</v>
      </c>
      <c r="E3466" t="s">
        <v>20</v>
      </c>
      <c r="F3466" s="4" t="s">
        <v>27</v>
      </c>
      <c r="G3466" s="4" t="s">
        <v>15</v>
      </c>
      <c r="H3466" s="4">
        <v>2</v>
      </c>
      <c r="I3466" s="4">
        <v>3</v>
      </c>
      <c r="J3466" s="1">
        <v>45734</v>
      </c>
      <c r="K3466" s="2">
        <v>3.0063657407407407E-2</v>
      </c>
      <c r="M3466" s="4" t="str">
        <f t="shared" si="162"/>
        <v>HIGH</v>
      </c>
      <c r="N3466" s="4" t="str" cm="1">
        <f t="array" ref="N3466">_xlfn.IFS(C3466&gt;35,"HIGH",C3466&gt;25,"MIDDLE",TRUE,"LOW")</f>
        <v>HIGH</v>
      </c>
      <c r="O3466" s="4" t="str">
        <f t="shared" si="163"/>
        <v>OTHERS</v>
      </c>
      <c r="P3466" s="4" t="str">
        <f t="shared" si="164"/>
        <v>PREMINUM MORNING</v>
      </c>
    </row>
    <row r="3467" spans="1:16" x14ac:dyDescent="0.3">
      <c r="A3467" s="4">
        <v>20</v>
      </c>
      <c r="B3467" t="s">
        <v>11</v>
      </c>
      <c r="C3467" s="4">
        <v>35.76</v>
      </c>
      <c r="D3467" t="s">
        <v>21</v>
      </c>
      <c r="E3467" t="s">
        <v>20</v>
      </c>
      <c r="F3467" s="4" t="s">
        <v>27</v>
      </c>
      <c r="G3467" s="4" t="s">
        <v>15</v>
      </c>
      <c r="H3467" s="4">
        <v>2</v>
      </c>
      <c r="I3467" s="4">
        <v>3</v>
      </c>
      <c r="J3467" s="1">
        <v>45734</v>
      </c>
      <c r="K3467" s="2">
        <v>4.0509259259259258E-4</v>
      </c>
      <c r="M3467" s="4" t="str">
        <f t="shared" si="162"/>
        <v>HIGH</v>
      </c>
      <c r="N3467" s="4" t="str" cm="1">
        <f t="array" ref="N3467">_xlfn.IFS(C3467&gt;35,"HIGH",C3467&gt;25,"MIDDLE",TRUE,"LOW")</f>
        <v>HIGH</v>
      </c>
      <c r="O3467" s="4" t="str">
        <f t="shared" si="163"/>
        <v>OTHERS</v>
      </c>
      <c r="P3467" s="4" t="str">
        <f t="shared" si="164"/>
        <v>PREMINUM MORNING</v>
      </c>
    </row>
    <row r="3468" spans="1:16" x14ac:dyDescent="0.3">
      <c r="A3468" s="4">
        <v>20</v>
      </c>
      <c r="B3468" t="s">
        <v>11</v>
      </c>
      <c r="C3468" s="4">
        <v>35.76</v>
      </c>
      <c r="D3468" t="s">
        <v>21</v>
      </c>
      <c r="E3468" t="s">
        <v>20</v>
      </c>
      <c r="F3468" s="4" t="s">
        <v>27</v>
      </c>
      <c r="G3468" s="4" t="s">
        <v>15</v>
      </c>
      <c r="H3468" s="4">
        <v>2</v>
      </c>
      <c r="I3468" s="4">
        <v>3</v>
      </c>
      <c r="J3468" s="1">
        <v>45734</v>
      </c>
      <c r="K3468" s="2">
        <v>1.1307870370370371E-3</v>
      </c>
      <c r="M3468" s="4" t="str">
        <f t="shared" si="162"/>
        <v>HIGH</v>
      </c>
      <c r="N3468" s="4" t="str" cm="1">
        <f t="array" ref="N3468">_xlfn.IFS(C3468&gt;35,"HIGH",C3468&gt;25,"MIDDLE",TRUE,"LOW")</f>
        <v>HIGH</v>
      </c>
      <c r="O3468" s="4" t="str">
        <f t="shared" si="163"/>
        <v>OTHERS</v>
      </c>
      <c r="P3468" s="4" t="str">
        <f t="shared" si="164"/>
        <v>PREMINUM MORNING</v>
      </c>
    </row>
    <row r="3469" spans="1:16" x14ac:dyDescent="0.3">
      <c r="A3469" s="4">
        <v>21</v>
      </c>
      <c r="B3469" t="s">
        <v>11</v>
      </c>
      <c r="C3469" s="4">
        <v>35.76</v>
      </c>
      <c r="D3469" t="s">
        <v>12</v>
      </c>
      <c r="E3469" t="s">
        <v>20</v>
      </c>
      <c r="F3469" s="4" t="s">
        <v>27</v>
      </c>
      <c r="G3469" s="4" t="s">
        <v>15</v>
      </c>
      <c r="H3469" s="4">
        <v>2</v>
      </c>
      <c r="I3469" s="4">
        <v>3</v>
      </c>
      <c r="J3469" s="1">
        <v>45734</v>
      </c>
      <c r="K3469" s="2">
        <v>1.4351851851851852E-2</v>
      </c>
      <c r="M3469" s="4" t="str">
        <f t="shared" si="162"/>
        <v>HIGH</v>
      </c>
      <c r="N3469" s="4" t="str" cm="1">
        <f t="array" ref="N3469">_xlfn.IFS(C3469&gt;35,"HIGH",C3469&gt;25,"MIDDLE",TRUE,"LOW")</f>
        <v>HIGH</v>
      </c>
      <c r="O3469" s="4" t="str">
        <f t="shared" si="163"/>
        <v>OTHERS</v>
      </c>
      <c r="P3469" s="4" t="str">
        <f t="shared" si="164"/>
        <v>PREMINUM MORNING</v>
      </c>
    </row>
    <row r="3470" spans="1:16" x14ac:dyDescent="0.3">
      <c r="A3470" s="4">
        <v>7</v>
      </c>
      <c r="B3470" t="s">
        <v>11</v>
      </c>
      <c r="C3470" s="4">
        <v>25.96</v>
      </c>
      <c r="D3470" t="s">
        <v>18</v>
      </c>
      <c r="E3470" t="s">
        <v>13</v>
      </c>
      <c r="F3470" s="4" t="s">
        <v>28</v>
      </c>
      <c r="G3470" s="4" t="s">
        <v>15</v>
      </c>
      <c r="H3470" s="4">
        <v>3</v>
      </c>
      <c r="I3470" s="4">
        <v>3</v>
      </c>
      <c r="J3470" s="1">
        <v>45735</v>
      </c>
      <c r="K3470" s="2">
        <v>2.1655092592592594E-3</v>
      </c>
      <c r="M3470" s="4" t="str">
        <f t="shared" si="162"/>
        <v>LOW</v>
      </c>
      <c r="N3470" s="4" t="str" cm="1">
        <f t="array" ref="N3470">_xlfn.IFS(C3470&gt;35,"HIGH",C3470&gt;25,"MIDDLE",TRUE,"LOW")</f>
        <v>MIDDLE</v>
      </c>
      <c r="O3470" s="4" t="str">
        <f t="shared" si="163"/>
        <v>OTHERS</v>
      </c>
      <c r="P3470" s="4" t="str">
        <f t="shared" si="164"/>
        <v>PREMINUM MORNING</v>
      </c>
    </row>
    <row r="3471" spans="1:16" x14ac:dyDescent="0.3">
      <c r="A3471" s="4">
        <v>7</v>
      </c>
      <c r="B3471" t="s">
        <v>11</v>
      </c>
      <c r="C3471" s="4">
        <v>25.96</v>
      </c>
      <c r="D3471" t="s">
        <v>18</v>
      </c>
      <c r="E3471" t="s">
        <v>13</v>
      </c>
      <c r="F3471" s="4" t="s">
        <v>28</v>
      </c>
      <c r="G3471" s="4" t="s">
        <v>15</v>
      </c>
      <c r="H3471" s="4">
        <v>3</v>
      </c>
      <c r="I3471" s="4">
        <v>3</v>
      </c>
      <c r="J3471" s="1">
        <v>45735</v>
      </c>
      <c r="K3471" s="2">
        <v>2.8773148148148148E-3</v>
      </c>
      <c r="M3471" s="4" t="str">
        <f t="shared" si="162"/>
        <v>LOW</v>
      </c>
      <c r="N3471" s="4" t="str" cm="1">
        <f t="array" ref="N3471">_xlfn.IFS(C3471&gt;35,"HIGH",C3471&gt;25,"MIDDLE",TRUE,"LOW")</f>
        <v>MIDDLE</v>
      </c>
      <c r="O3471" s="4" t="str">
        <f t="shared" si="163"/>
        <v>OTHERS</v>
      </c>
      <c r="P3471" s="4" t="str">
        <f t="shared" si="164"/>
        <v>PREMINUM MORNING</v>
      </c>
    </row>
    <row r="3472" spans="1:16" x14ac:dyDescent="0.3">
      <c r="A3472" s="4">
        <v>7</v>
      </c>
      <c r="B3472" t="s">
        <v>11</v>
      </c>
      <c r="C3472" s="4">
        <v>35.76</v>
      </c>
      <c r="D3472" t="s">
        <v>29</v>
      </c>
      <c r="E3472" t="s">
        <v>13</v>
      </c>
      <c r="F3472" s="4" t="s">
        <v>28</v>
      </c>
      <c r="G3472" s="4" t="s">
        <v>15</v>
      </c>
      <c r="H3472" s="4">
        <v>3</v>
      </c>
      <c r="I3472" s="4">
        <v>3</v>
      </c>
      <c r="J3472" s="1">
        <v>45735</v>
      </c>
      <c r="K3472" s="2">
        <v>4.5706018518518517E-3</v>
      </c>
      <c r="M3472" s="4" t="str">
        <f t="shared" si="162"/>
        <v>HIGH</v>
      </c>
      <c r="N3472" s="4" t="str" cm="1">
        <f t="array" ref="N3472">_xlfn.IFS(C3472&gt;35,"HIGH",C3472&gt;25,"MIDDLE",TRUE,"LOW")</f>
        <v>HIGH</v>
      </c>
      <c r="O3472" s="4" t="str">
        <f t="shared" si="163"/>
        <v>PREMINUM MORNING</v>
      </c>
      <c r="P3472" s="4" t="str">
        <f t="shared" si="164"/>
        <v>PREMINUM MORNING</v>
      </c>
    </row>
    <row r="3473" spans="1:16" x14ac:dyDescent="0.3">
      <c r="A3473" s="4">
        <v>8</v>
      </c>
      <c r="B3473" t="s">
        <v>11</v>
      </c>
      <c r="C3473" s="4">
        <v>25.96</v>
      </c>
      <c r="D3473" t="s">
        <v>18</v>
      </c>
      <c r="E3473" t="s">
        <v>13</v>
      </c>
      <c r="F3473" s="4" t="s">
        <v>28</v>
      </c>
      <c r="G3473" s="4" t="s">
        <v>15</v>
      </c>
      <c r="H3473" s="4">
        <v>3</v>
      </c>
      <c r="I3473" s="4">
        <v>3</v>
      </c>
      <c r="J3473" s="1">
        <v>45735</v>
      </c>
      <c r="K3473" s="2">
        <v>2.2951388888888891E-3</v>
      </c>
      <c r="M3473" s="4" t="str">
        <f t="shared" si="162"/>
        <v>LOW</v>
      </c>
      <c r="N3473" s="4" t="str" cm="1">
        <f t="array" ref="N3473">_xlfn.IFS(C3473&gt;35,"HIGH",C3473&gt;25,"MIDDLE",TRUE,"LOW")</f>
        <v>MIDDLE</v>
      </c>
      <c r="O3473" s="4" t="str">
        <f t="shared" si="163"/>
        <v>OTHERS</v>
      </c>
      <c r="P3473" s="4" t="str">
        <f t="shared" si="164"/>
        <v>PREMINUM MORNING</v>
      </c>
    </row>
    <row r="3474" spans="1:16" x14ac:dyDescent="0.3">
      <c r="A3474" s="4">
        <v>10</v>
      </c>
      <c r="B3474" t="s">
        <v>11</v>
      </c>
      <c r="C3474" s="4">
        <v>35.76</v>
      </c>
      <c r="D3474" t="s">
        <v>16</v>
      </c>
      <c r="E3474" t="s">
        <v>13</v>
      </c>
      <c r="F3474" s="4" t="s">
        <v>28</v>
      </c>
      <c r="G3474" s="4" t="s">
        <v>15</v>
      </c>
      <c r="H3474" s="4">
        <v>3</v>
      </c>
      <c r="I3474" s="4">
        <v>3</v>
      </c>
      <c r="J3474" s="1">
        <v>45735</v>
      </c>
      <c r="K3474" s="2">
        <v>1.2953703703703703E-2</v>
      </c>
      <c r="M3474" s="4" t="str">
        <f t="shared" si="162"/>
        <v>HIGH</v>
      </c>
      <c r="N3474" s="4" t="str" cm="1">
        <f t="array" ref="N3474">_xlfn.IFS(C3474&gt;35,"HIGH",C3474&gt;25,"MIDDLE",TRUE,"LOW")</f>
        <v>HIGH</v>
      </c>
      <c r="O3474" s="4" t="str">
        <f t="shared" si="163"/>
        <v>PREMINUM MORNING</v>
      </c>
      <c r="P3474" s="4" t="str">
        <f t="shared" si="164"/>
        <v>PREMINUM MORNING</v>
      </c>
    </row>
    <row r="3475" spans="1:16" x14ac:dyDescent="0.3">
      <c r="A3475" s="4">
        <v>11</v>
      </c>
      <c r="B3475" t="s">
        <v>11</v>
      </c>
      <c r="C3475" s="4">
        <v>25.96</v>
      </c>
      <c r="D3475" t="s">
        <v>18</v>
      </c>
      <c r="E3475" t="s">
        <v>13</v>
      </c>
      <c r="F3475" s="4" t="s">
        <v>28</v>
      </c>
      <c r="G3475" s="4" t="s">
        <v>15</v>
      </c>
      <c r="H3475" s="4">
        <v>3</v>
      </c>
      <c r="I3475" s="4">
        <v>3</v>
      </c>
      <c r="J3475" s="1">
        <v>45735</v>
      </c>
      <c r="K3475" s="2">
        <v>3.8655092592592595E-2</v>
      </c>
      <c r="M3475" s="4" t="str">
        <f t="shared" si="162"/>
        <v>LOW</v>
      </c>
      <c r="N3475" s="4" t="str" cm="1">
        <f t="array" ref="N3475">_xlfn.IFS(C3475&gt;35,"HIGH",C3475&gt;25,"MIDDLE",TRUE,"LOW")</f>
        <v>MIDDLE</v>
      </c>
      <c r="O3475" s="4" t="str">
        <f t="shared" si="163"/>
        <v>OTHERS</v>
      </c>
      <c r="P3475" s="4" t="str">
        <f t="shared" si="164"/>
        <v>PREMINUM MORNING</v>
      </c>
    </row>
    <row r="3476" spans="1:16" x14ac:dyDescent="0.3">
      <c r="A3476" s="4">
        <v>12</v>
      </c>
      <c r="B3476" t="s">
        <v>11</v>
      </c>
      <c r="C3476" s="4">
        <v>25.96</v>
      </c>
      <c r="D3476" t="s">
        <v>18</v>
      </c>
      <c r="E3476" t="s">
        <v>17</v>
      </c>
      <c r="F3476" s="4" t="s">
        <v>28</v>
      </c>
      <c r="G3476" s="4" t="s">
        <v>15</v>
      </c>
      <c r="H3476" s="4">
        <v>3</v>
      </c>
      <c r="I3476" s="4">
        <v>3</v>
      </c>
      <c r="J3476" s="1">
        <v>45735</v>
      </c>
      <c r="K3476" s="2">
        <v>4.059259259259259E-2</v>
      </c>
      <c r="M3476" s="4" t="str">
        <f t="shared" si="162"/>
        <v>LOW</v>
      </c>
      <c r="N3476" s="4" t="str" cm="1">
        <f t="array" ref="N3476">_xlfn.IFS(C3476&gt;35,"HIGH",C3476&gt;25,"MIDDLE",TRUE,"LOW")</f>
        <v>MIDDLE</v>
      </c>
      <c r="O3476" s="4" t="str">
        <f t="shared" si="163"/>
        <v>OTHERS</v>
      </c>
      <c r="P3476" s="4" t="str">
        <f t="shared" si="164"/>
        <v>OTHERS</v>
      </c>
    </row>
    <row r="3477" spans="1:16" x14ac:dyDescent="0.3">
      <c r="A3477" s="4">
        <v>15</v>
      </c>
      <c r="B3477" t="s">
        <v>11</v>
      </c>
      <c r="C3477" s="4">
        <v>35.76</v>
      </c>
      <c r="D3477" t="s">
        <v>12</v>
      </c>
      <c r="E3477" t="s">
        <v>17</v>
      </c>
      <c r="F3477" s="4" t="s">
        <v>28</v>
      </c>
      <c r="G3477" s="4" t="s">
        <v>15</v>
      </c>
      <c r="H3477" s="4">
        <v>3</v>
      </c>
      <c r="I3477" s="4">
        <v>3</v>
      </c>
      <c r="J3477" s="1">
        <v>45735</v>
      </c>
      <c r="K3477" s="2">
        <v>8.9490740740740746E-3</v>
      </c>
      <c r="M3477" s="4" t="str">
        <f t="shared" si="162"/>
        <v>HIGH</v>
      </c>
      <c r="N3477" s="4" t="str" cm="1">
        <f t="array" ref="N3477">_xlfn.IFS(C3477&gt;35,"HIGH",C3477&gt;25,"MIDDLE",TRUE,"LOW")</f>
        <v>HIGH</v>
      </c>
      <c r="O3477" s="4" t="str">
        <f t="shared" si="163"/>
        <v>OTHERS</v>
      </c>
      <c r="P3477" s="4" t="str">
        <f t="shared" si="164"/>
        <v>PREMINUM MORNING</v>
      </c>
    </row>
    <row r="3478" spans="1:16" x14ac:dyDescent="0.3">
      <c r="A3478" s="4">
        <v>15</v>
      </c>
      <c r="B3478" t="s">
        <v>11</v>
      </c>
      <c r="C3478" s="4">
        <v>35.76</v>
      </c>
      <c r="D3478" t="s">
        <v>12</v>
      </c>
      <c r="E3478" t="s">
        <v>17</v>
      </c>
      <c r="F3478" s="4" t="s">
        <v>28</v>
      </c>
      <c r="G3478" s="4" t="s">
        <v>15</v>
      </c>
      <c r="H3478" s="4">
        <v>3</v>
      </c>
      <c r="I3478" s="4">
        <v>3</v>
      </c>
      <c r="J3478" s="1">
        <v>45735</v>
      </c>
      <c r="K3478" s="2">
        <v>9.9930555555555554E-3</v>
      </c>
      <c r="M3478" s="4" t="str">
        <f t="shared" si="162"/>
        <v>HIGH</v>
      </c>
      <c r="N3478" s="4" t="str" cm="1">
        <f t="array" ref="N3478">_xlfn.IFS(C3478&gt;35,"HIGH",C3478&gt;25,"MIDDLE",TRUE,"LOW")</f>
        <v>HIGH</v>
      </c>
      <c r="O3478" s="4" t="str">
        <f t="shared" si="163"/>
        <v>OTHERS</v>
      </c>
      <c r="P3478" s="4" t="str">
        <f t="shared" si="164"/>
        <v>PREMINUM MORNING</v>
      </c>
    </row>
    <row r="3479" spans="1:16" x14ac:dyDescent="0.3">
      <c r="A3479" s="4">
        <v>16</v>
      </c>
      <c r="B3479" t="s">
        <v>11</v>
      </c>
      <c r="C3479" s="4">
        <v>35.76</v>
      </c>
      <c r="D3479" t="s">
        <v>12</v>
      </c>
      <c r="E3479" t="s">
        <v>17</v>
      </c>
      <c r="F3479" s="4" t="s">
        <v>28</v>
      </c>
      <c r="G3479" s="4" t="s">
        <v>15</v>
      </c>
      <c r="H3479" s="4">
        <v>3</v>
      </c>
      <c r="I3479" s="4">
        <v>3</v>
      </c>
      <c r="J3479" s="1">
        <v>45735</v>
      </c>
      <c r="K3479" s="2">
        <v>1.3586805555555557E-2</v>
      </c>
      <c r="M3479" s="4" t="str">
        <f t="shared" si="162"/>
        <v>HIGH</v>
      </c>
      <c r="N3479" s="4" t="str" cm="1">
        <f t="array" ref="N3479">_xlfn.IFS(C3479&gt;35,"HIGH",C3479&gt;25,"MIDDLE",TRUE,"LOW")</f>
        <v>HIGH</v>
      </c>
      <c r="O3479" s="4" t="str">
        <f t="shared" si="163"/>
        <v>OTHERS</v>
      </c>
      <c r="P3479" s="4" t="str">
        <f t="shared" si="164"/>
        <v>PREMINUM MORNING</v>
      </c>
    </row>
    <row r="3480" spans="1:16" x14ac:dyDescent="0.3">
      <c r="A3480" s="4">
        <v>16</v>
      </c>
      <c r="B3480" t="s">
        <v>11</v>
      </c>
      <c r="C3480" s="4">
        <v>25.96</v>
      </c>
      <c r="D3480" t="s">
        <v>18</v>
      </c>
      <c r="E3480" t="s">
        <v>17</v>
      </c>
      <c r="F3480" s="4" t="s">
        <v>28</v>
      </c>
      <c r="G3480" s="4" t="s">
        <v>15</v>
      </c>
      <c r="H3480" s="4">
        <v>3</v>
      </c>
      <c r="I3480" s="4">
        <v>3</v>
      </c>
      <c r="J3480" s="1">
        <v>45735</v>
      </c>
      <c r="K3480" s="2">
        <v>2.0790509259259259E-2</v>
      </c>
      <c r="M3480" s="4" t="str">
        <f t="shared" si="162"/>
        <v>LOW</v>
      </c>
      <c r="N3480" s="4" t="str" cm="1">
        <f t="array" ref="N3480">_xlfn.IFS(C3480&gt;35,"HIGH",C3480&gt;25,"MIDDLE",TRUE,"LOW")</f>
        <v>MIDDLE</v>
      </c>
      <c r="O3480" s="4" t="str">
        <f t="shared" si="163"/>
        <v>OTHERS</v>
      </c>
      <c r="P3480" s="4" t="str">
        <f t="shared" si="164"/>
        <v>OTHERS</v>
      </c>
    </row>
    <row r="3481" spans="1:16" x14ac:dyDescent="0.3">
      <c r="A3481" s="4">
        <v>16</v>
      </c>
      <c r="B3481" t="s">
        <v>11</v>
      </c>
      <c r="C3481" s="4">
        <v>35.76</v>
      </c>
      <c r="D3481" t="s">
        <v>29</v>
      </c>
      <c r="E3481" t="s">
        <v>17</v>
      </c>
      <c r="F3481" s="4" t="s">
        <v>28</v>
      </c>
      <c r="G3481" s="4" t="s">
        <v>15</v>
      </c>
      <c r="H3481" s="4">
        <v>3</v>
      </c>
      <c r="I3481" s="4">
        <v>3</v>
      </c>
      <c r="J3481" s="1">
        <v>45735</v>
      </c>
      <c r="K3481" s="2">
        <v>2.8168981481481482E-2</v>
      </c>
      <c r="M3481" s="4" t="str">
        <f t="shared" si="162"/>
        <v>HIGH</v>
      </c>
      <c r="N3481" s="4" t="str" cm="1">
        <f t="array" ref="N3481">_xlfn.IFS(C3481&gt;35,"HIGH",C3481&gt;25,"MIDDLE",TRUE,"LOW")</f>
        <v>HIGH</v>
      </c>
      <c r="O3481" s="4" t="str">
        <f t="shared" si="163"/>
        <v>OTHERS</v>
      </c>
      <c r="P3481" s="4" t="str">
        <f t="shared" si="164"/>
        <v>PREMINUM MORNING</v>
      </c>
    </row>
    <row r="3482" spans="1:16" x14ac:dyDescent="0.3">
      <c r="A3482" s="4">
        <v>16</v>
      </c>
      <c r="B3482" t="s">
        <v>11</v>
      </c>
      <c r="C3482" s="4">
        <v>35.76</v>
      </c>
      <c r="D3482" t="s">
        <v>29</v>
      </c>
      <c r="E3482" t="s">
        <v>17</v>
      </c>
      <c r="F3482" s="4" t="s">
        <v>28</v>
      </c>
      <c r="G3482" s="4" t="s">
        <v>15</v>
      </c>
      <c r="H3482" s="4">
        <v>3</v>
      </c>
      <c r="I3482" s="4">
        <v>3</v>
      </c>
      <c r="J3482" s="1">
        <v>45735</v>
      </c>
      <c r="K3482" s="2">
        <v>2.9351851851851851E-2</v>
      </c>
      <c r="M3482" s="4" t="str">
        <f t="shared" si="162"/>
        <v>HIGH</v>
      </c>
      <c r="N3482" s="4" t="str" cm="1">
        <f t="array" ref="N3482">_xlfn.IFS(C3482&gt;35,"HIGH",C3482&gt;25,"MIDDLE",TRUE,"LOW")</f>
        <v>HIGH</v>
      </c>
      <c r="O3482" s="4" t="str">
        <f t="shared" si="163"/>
        <v>OTHERS</v>
      </c>
      <c r="P3482" s="4" t="str">
        <f t="shared" si="164"/>
        <v>PREMINUM MORNING</v>
      </c>
    </row>
    <row r="3483" spans="1:16" x14ac:dyDescent="0.3">
      <c r="A3483" s="4">
        <v>16</v>
      </c>
      <c r="B3483" t="s">
        <v>11</v>
      </c>
      <c r="C3483" s="4">
        <v>25.96</v>
      </c>
      <c r="D3483" t="s">
        <v>18</v>
      </c>
      <c r="E3483" t="s">
        <v>17</v>
      </c>
      <c r="F3483" s="4" t="s">
        <v>28</v>
      </c>
      <c r="G3483" s="4" t="s">
        <v>15</v>
      </c>
      <c r="H3483" s="4">
        <v>3</v>
      </c>
      <c r="I3483" s="4">
        <v>3</v>
      </c>
      <c r="J3483" s="1">
        <v>45735</v>
      </c>
      <c r="K3483" s="2">
        <v>3.5824074074074071E-2</v>
      </c>
      <c r="M3483" s="4" t="str">
        <f t="shared" si="162"/>
        <v>LOW</v>
      </c>
      <c r="N3483" s="4" t="str" cm="1">
        <f t="array" ref="N3483">_xlfn.IFS(C3483&gt;35,"HIGH",C3483&gt;25,"MIDDLE",TRUE,"LOW")</f>
        <v>MIDDLE</v>
      </c>
      <c r="O3483" s="4" t="str">
        <f t="shared" si="163"/>
        <v>OTHERS</v>
      </c>
      <c r="P3483" s="4" t="str">
        <f t="shared" si="164"/>
        <v>OTHERS</v>
      </c>
    </row>
    <row r="3484" spans="1:16" x14ac:dyDescent="0.3">
      <c r="A3484" s="4">
        <v>16</v>
      </c>
      <c r="B3484" t="s">
        <v>11</v>
      </c>
      <c r="C3484" s="4">
        <v>25.96</v>
      </c>
      <c r="D3484" t="s">
        <v>18</v>
      </c>
      <c r="E3484" t="s">
        <v>17</v>
      </c>
      <c r="F3484" s="4" t="s">
        <v>28</v>
      </c>
      <c r="G3484" s="4" t="s">
        <v>15</v>
      </c>
      <c r="H3484" s="4">
        <v>3</v>
      </c>
      <c r="I3484" s="4">
        <v>3</v>
      </c>
      <c r="J3484" s="1">
        <v>45735</v>
      </c>
      <c r="K3484" s="2">
        <v>3.6454861111111111E-2</v>
      </c>
      <c r="M3484" s="4" t="str">
        <f t="shared" si="162"/>
        <v>LOW</v>
      </c>
      <c r="N3484" s="4" t="str" cm="1">
        <f t="array" ref="N3484">_xlfn.IFS(C3484&gt;35,"HIGH",C3484&gt;25,"MIDDLE",TRUE,"LOW")</f>
        <v>MIDDLE</v>
      </c>
      <c r="O3484" s="4" t="str">
        <f t="shared" si="163"/>
        <v>OTHERS</v>
      </c>
      <c r="P3484" s="4" t="str">
        <f t="shared" si="164"/>
        <v>OTHERS</v>
      </c>
    </row>
    <row r="3485" spans="1:16" x14ac:dyDescent="0.3">
      <c r="A3485" s="4">
        <v>17</v>
      </c>
      <c r="B3485" t="s">
        <v>11</v>
      </c>
      <c r="C3485" s="4">
        <v>35.76</v>
      </c>
      <c r="D3485" t="s">
        <v>21</v>
      </c>
      <c r="E3485" t="s">
        <v>20</v>
      </c>
      <c r="F3485" s="4" t="s">
        <v>28</v>
      </c>
      <c r="G3485" s="4" t="s">
        <v>15</v>
      </c>
      <c r="H3485" s="4">
        <v>3</v>
      </c>
      <c r="I3485" s="4">
        <v>3</v>
      </c>
      <c r="J3485" s="1">
        <v>45735</v>
      </c>
      <c r="K3485" s="2">
        <v>0</v>
      </c>
      <c r="M3485" s="4" t="str">
        <f t="shared" si="162"/>
        <v>HIGH</v>
      </c>
      <c r="N3485" s="4" t="str" cm="1">
        <f t="array" ref="N3485">_xlfn.IFS(C3485&gt;35,"HIGH",C3485&gt;25,"MIDDLE",TRUE,"LOW")</f>
        <v>HIGH</v>
      </c>
      <c r="O3485" s="4" t="str">
        <f t="shared" si="163"/>
        <v>OTHERS</v>
      </c>
      <c r="P3485" s="4" t="str">
        <f t="shared" si="164"/>
        <v>PREMINUM MORNING</v>
      </c>
    </row>
    <row r="3486" spans="1:16" x14ac:dyDescent="0.3">
      <c r="A3486" s="4">
        <v>17</v>
      </c>
      <c r="B3486" t="s">
        <v>11</v>
      </c>
      <c r="C3486" s="4">
        <v>30.86</v>
      </c>
      <c r="D3486" t="s">
        <v>19</v>
      </c>
      <c r="E3486" t="s">
        <v>20</v>
      </c>
      <c r="F3486" s="4" t="s">
        <v>28</v>
      </c>
      <c r="G3486" s="4" t="s">
        <v>15</v>
      </c>
      <c r="H3486" s="4">
        <v>3</v>
      </c>
      <c r="I3486" s="4">
        <v>3</v>
      </c>
      <c r="J3486" s="1">
        <v>45735</v>
      </c>
      <c r="K3486" s="2">
        <v>6.8865740740740745E-3</v>
      </c>
      <c r="M3486" s="4" t="str">
        <f t="shared" si="162"/>
        <v>LOW</v>
      </c>
      <c r="N3486" s="4" t="str" cm="1">
        <f t="array" ref="N3486">_xlfn.IFS(C3486&gt;35,"HIGH",C3486&gt;25,"MIDDLE",TRUE,"LOW")</f>
        <v>MIDDLE</v>
      </c>
      <c r="O3486" s="4" t="str">
        <f t="shared" si="163"/>
        <v>OTHERS</v>
      </c>
      <c r="P3486" s="4" t="str">
        <f t="shared" si="164"/>
        <v>OTHERS</v>
      </c>
    </row>
    <row r="3487" spans="1:16" x14ac:dyDescent="0.3">
      <c r="A3487" s="4">
        <v>17</v>
      </c>
      <c r="B3487" t="s">
        <v>11</v>
      </c>
      <c r="C3487" s="4">
        <v>30.86</v>
      </c>
      <c r="D3487" t="s">
        <v>19</v>
      </c>
      <c r="E3487" t="s">
        <v>20</v>
      </c>
      <c r="F3487" s="4" t="s">
        <v>28</v>
      </c>
      <c r="G3487" s="4" t="s">
        <v>15</v>
      </c>
      <c r="H3487" s="4">
        <v>3</v>
      </c>
      <c r="I3487" s="4">
        <v>3</v>
      </c>
      <c r="J3487" s="1">
        <v>45735</v>
      </c>
      <c r="K3487" s="2">
        <v>1.9209490740740742E-2</v>
      </c>
      <c r="M3487" s="4" t="str">
        <f t="shared" si="162"/>
        <v>LOW</v>
      </c>
      <c r="N3487" s="4" t="str" cm="1">
        <f t="array" ref="N3487">_xlfn.IFS(C3487&gt;35,"HIGH",C3487&gt;25,"MIDDLE",TRUE,"LOW")</f>
        <v>MIDDLE</v>
      </c>
      <c r="O3487" s="4" t="str">
        <f t="shared" si="163"/>
        <v>OTHERS</v>
      </c>
      <c r="P3487" s="4" t="str">
        <f t="shared" si="164"/>
        <v>OTHERS</v>
      </c>
    </row>
    <row r="3488" spans="1:16" x14ac:dyDescent="0.3">
      <c r="A3488" s="4">
        <v>18</v>
      </c>
      <c r="B3488" t="s">
        <v>11</v>
      </c>
      <c r="C3488" s="4">
        <v>25.96</v>
      </c>
      <c r="D3488" t="s">
        <v>24</v>
      </c>
      <c r="E3488" t="s">
        <v>20</v>
      </c>
      <c r="F3488" s="4" t="s">
        <v>28</v>
      </c>
      <c r="G3488" s="4" t="s">
        <v>15</v>
      </c>
      <c r="H3488" s="4">
        <v>3</v>
      </c>
      <c r="I3488" s="4">
        <v>3</v>
      </c>
      <c r="J3488" s="1">
        <v>45735</v>
      </c>
      <c r="K3488" s="2">
        <v>2.0722222222222222E-2</v>
      </c>
      <c r="M3488" s="4" t="str">
        <f t="shared" si="162"/>
        <v>LOW</v>
      </c>
      <c r="N3488" s="4" t="str" cm="1">
        <f t="array" ref="N3488">_xlfn.IFS(C3488&gt;35,"HIGH",C3488&gt;25,"MIDDLE",TRUE,"LOW")</f>
        <v>MIDDLE</v>
      </c>
      <c r="O3488" s="4" t="str">
        <f t="shared" si="163"/>
        <v>OTHERS</v>
      </c>
      <c r="P3488" s="4" t="str">
        <f t="shared" si="164"/>
        <v>OTHERS</v>
      </c>
    </row>
    <row r="3489" spans="1:16" x14ac:dyDescent="0.3">
      <c r="A3489" s="4">
        <v>18</v>
      </c>
      <c r="B3489" t="s">
        <v>11</v>
      </c>
      <c r="C3489" s="4">
        <v>21.06</v>
      </c>
      <c r="D3489" t="s">
        <v>26</v>
      </c>
      <c r="E3489" t="s">
        <v>20</v>
      </c>
      <c r="F3489" s="4" t="s">
        <v>28</v>
      </c>
      <c r="G3489" s="4" t="s">
        <v>15</v>
      </c>
      <c r="H3489" s="4">
        <v>3</v>
      </c>
      <c r="I3489" s="4">
        <v>3</v>
      </c>
      <c r="J3489" s="1">
        <v>45735</v>
      </c>
      <c r="K3489" s="2">
        <v>2.1342592592592594E-2</v>
      </c>
      <c r="M3489" s="4" t="str">
        <f t="shared" si="162"/>
        <v>LOW</v>
      </c>
      <c r="N3489" s="4" t="str" cm="1">
        <f t="array" ref="N3489">_xlfn.IFS(C3489&gt;35,"HIGH",C3489&gt;25,"MIDDLE",TRUE,"LOW")</f>
        <v>LOW</v>
      </c>
      <c r="O3489" s="4" t="str">
        <f t="shared" si="163"/>
        <v>OTHERS</v>
      </c>
      <c r="P3489" s="4" t="str">
        <f t="shared" si="164"/>
        <v>OTHERS</v>
      </c>
    </row>
    <row r="3490" spans="1:16" x14ac:dyDescent="0.3">
      <c r="A3490" s="4">
        <v>18</v>
      </c>
      <c r="B3490" t="s">
        <v>11</v>
      </c>
      <c r="C3490" s="4">
        <v>21.06</v>
      </c>
      <c r="D3490" t="s">
        <v>26</v>
      </c>
      <c r="E3490" t="s">
        <v>20</v>
      </c>
      <c r="F3490" s="4" t="s">
        <v>28</v>
      </c>
      <c r="G3490" s="4" t="s">
        <v>15</v>
      </c>
      <c r="H3490" s="4">
        <v>3</v>
      </c>
      <c r="I3490" s="4">
        <v>3</v>
      </c>
      <c r="J3490" s="1">
        <v>45735</v>
      </c>
      <c r="K3490" s="2">
        <v>2.1828703703703704E-2</v>
      </c>
      <c r="M3490" s="4" t="str">
        <f t="shared" si="162"/>
        <v>LOW</v>
      </c>
      <c r="N3490" s="4" t="str" cm="1">
        <f t="array" ref="N3490">_xlfn.IFS(C3490&gt;35,"HIGH",C3490&gt;25,"MIDDLE",TRUE,"LOW")</f>
        <v>LOW</v>
      </c>
      <c r="O3490" s="4" t="str">
        <f t="shared" si="163"/>
        <v>OTHERS</v>
      </c>
      <c r="P3490" s="4" t="str">
        <f t="shared" si="164"/>
        <v>OTHERS</v>
      </c>
    </row>
    <row r="3491" spans="1:16" x14ac:dyDescent="0.3">
      <c r="A3491" s="4">
        <v>8</v>
      </c>
      <c r="B3491" t="s">
        <v>11</v>
      </c>
      <c r="C3491" s="4">
        <v>30.86</v>
      </c>
      <c r="D3491" t="s">
        <v>19</v>
      </c>
      <c r="E3491" t="s">
        <v>13</v>
      </c>
      <c r="F3491" s="4" t="s">
        <v>30</v>
      </c>
      <c r="G3491" s="4" t="s">
        <v>15</v>
      </c>
      <c r="H3491" s="4">
        <v>4</v>
      </c>
      <c r="I3491" s="4">
        <v>3</v>
      </c>
      <c r="J3491" s="1">
        <v>45736</v>
      </c>
      <c r="K3491" s="2">
        <v>9.2164351851851851E-3</v>
      </c>
      <c r="M3491" s="4" t="str">
        <f t="shared" si="162"/>
        <v>LOW</v>
      </c>
      <c r="N3491" s="4" t="str" cm="1">
        <f t="array" ref="N3491">_xlfn.IFS(C3491&gt;35,"HIGH",C3491&gt;25,"MIDDLE",TRUE,"LOW")</f>
        <v>MIDDLE</v>
      </c>
      <c r="O3491" s="4" t="str">
        <f t="shared" si="163"/>
        <v>OTHERS</v>
      </c>
      <c r="P3491" s="4" t="str">
        <f t="shared" si="164"/>
        <v>PREMINUM MORNING</v>
      </c>
    </row>
    <row r="3492" spans="1:16" x14ac:dyDescent="0.3">
      <c r="A3492" s="4">
        <v>9</v>
      </c>
      <c r="B3492" t="s">
        <v>11</v>
      </c>
      <c r="C3492" s="4">
        <v>30.86</v>
      </c>
      <c r="D3492" t="s">
        <v>19</v>
      </c>
      <c r="E3492" t="s">
        <v>13</v>
      </c>
      <c r="F3492" s="4" t="s">
        <v>30</v>
      </c>
      <c r="G3492" s="4" t="s">
        <v>15</v>
      </c>
      <c r="H3492" s="4">
        <v>4</v>
      </c>
      <c r="I3492" s="4">
        <v>3</v>
      </c>
      <c r="J3492" s="1">
        <v>45736</v>
      </c>
      <c r="K3492" s="2">
        <v>3.6166666666666666E-2</v>
      </c>
      <c r="M3492" s="4" t="str">
        <f t="shared" si="162"/>
        <v>LOW</v>
      </c>
      <c r="N3492" s="4" t="str" cm="1">
        <f t="array" ref="N3492">_xlfn.IFS(C3492&gt;35,"HIGH",C3492&gt;25,"MIDDLE",TRUE,"LOW")</f>
        <v>MIDDLE</v>
      </c>
      <c r="O3492" s="4" t="str">
        <f t="shared" si="163"/>
        <v>OTHERS</v>
      </c>
      <c r="P3492" s="4" t="str">
        <f t="shared" si="164"/>
        <v>PREMINUM MORNING</v>
      </c>
    </row>
    <row r="3493" spans="1:16" x14ac:dyDescent="0.3">
      <c r="A3493" s="4">
        <v>10</v>
      </c>
      <c r="B3493" t="s">
        <v>11</v>
      </c>
      <c r="C3493" s="4">
        <v>30.86</v>
      </c>
      <c r="D3493" t="s">
        <v>19</v>
      </c>
      <c r="E3493" t="s">
        <v>13</v>
      </c>
      <c r="F3493" s="4" t="s">
        <v>30</v>
      </c>
      <c r="G3493" s="4" t="s">
        <v>15</v>
      </c>
      <c r="H3493" s="4">
        <v>4</v>
      </c>
      <c r="I3493" s="4">
        <v>3</v>
      </c>
      <c r="J3493" s="1">
        <v>45736</v>
      </c>
      <c r="K3493" s="2">
        <v>4.6793981481481487E-3</v>
      </c>
      <c r="M3493" s="4" t="str">
        <f t="shared" si="162"/>
        <v>LOW</v>
      </c>
      <c r="N3493" s="4" t="str" cm="1">
        <f t="array" ref="N3493">_xlfn.IFS(C3493&gt;35,"HIGH",C3493&gt;25,"MIDDLE",TRUE,"LOW")</f>
        <v>MIDDLE</v>
      </c>
      <c r="O3493" s="4" t="str">
        <f t="shared" si="163"/>
        <v>OTHERS</v>
      </c>
      <c r="P3493" s="4" t="str">
        <f t="shared" si="164"/>
        <v>PREMINUM MORNING</v>
      </c>
    </row>
    <row r="3494" spans="1:16" x14ac:dyDescent="0.3">
      <c r="A3494" s="4">
        <v>10</v>
      </c>
      <c r="B3494" t="s">
        <v>11</v>
      </c>
      <c r="C3494" s="4">
        <v>25.96</v>
      </c>
      <c r="D3494" t="s">
        <v>18</v>
      </c>
      <c r="E3494" t="s">
        <v>13</v>
      </c>
      <c r="F3494" s="4" t="s">
        <v>30</v>
      </c>
      <c r="G3494" s="4" t="s">
        <v>15</v>
      </c>
      <c r="H3494" s="4">
        <v>4</v>
      </c>
      <c r="I3494" s="4">
        <v>3</v>
      </c>
      <c r="J3494" s="1">
        <v>45736</v>
      </c>
      <c r="K3494" s="2">
        <v>3.1761574074074074E-2</v>
      </c>
      <c r="M3494" s="4" t="str">
        <f t="shared" si="162"/>
        <v>LOW</v>
      </c>
      <c r="N3494" s="4" t="str" cm="1">
        <f t="array" ref="N3494">_xlfn.IFS(C3494&gt;35,"HIGH",C3494&gt;25,"MIDDLE",TRUE,"LOW")</f>
        <v>MIDDLE</v>
      </c>
      <c r="O3494" s="4" t="str">
        <f t="shared" si="163"/>
        <v>OTHERS</v>
      </c>
      <c r="P3494" s="4" t="str">
        <f t="shared" si="164"/>
        <v>PREMINUM MORNING</v>
      </c>
    </row>
    <row r="3495" spans="1:16" x14ac:dyDescent="0.3">
      <c r="A3495" s="4">
        <v>10</v>
      </c>
      <c r="B3495" t="s">
        <v>11</v>
      </c>
      <c r="C3495" s="4">
        <v>25.96</v>
      </c>
      <c r="D3495" t="s">
        <v>18</v>
      </c>
      <c r="E3495" t="s">
        <v>13</v>
      </c>
      <c r="F3495" s="4" t="s">
        <v>30</v>
      </c>
      <c r="G3495" s="4" t="s">
        <v>15</v>
      </c>
      <c r="H3495" s="4">
        <v>4</v>
      </c>
      <c r="I3495" s="4">
        <v>3</v>
      </c>
      <c r="J3495" s="1">
        <v>45736</v>
      </c>
      <c r="K3495" s="2">
        <v>3.8395833333333337E-2</v>
      </c>
      <c r="M3495" s="4" t="str">
        <f t="shared" si="162"/>
        <v>LOW</v>
      </c>
      <c r="N3495" s="4" t="str" cm="1">
        <f t="array" ref="N3495">_xlfn.IFS(C3495&gt;35,"HIGH",C3495&gt;25,"MIDDLE",TRUE,"LOW")</f>
        <v>MIDDLE</v>
      </c>
      <c r="O3495" s="4" t="str">
        <f t="shared" si="163"/>
        <v>OTHERS</v>
      </c>
      <c r="P3495" s="4" t="str">
        <f t="shared" si="164"/>
        <v>PREMINUM MORNING</v>
      </c>
    </row>
    <row r="3496" spans="1:16" x14ac:dyDescent="0.3">
      <c r="A3496" s="4">
        <v>12</v>
      </c>
      <c r="B3496" t="s">
        <v>11</v>
      </c>
      <c r="C3496" s="4">
        <v>25.96</v>
      </c>
      <c r="D3496" t="s">
        <v>18</v>
      </c>
      <c r="E3496" t="s">
        <v>17</v>
      </c>
      <c r="F3496" s="4" t="s">
        <v>30</v>
      </c>
      <c r="G3496" s="4" t="s">
        <v>15</v>
      </c>
      <c r="H3496" s="4">
        <v>4</v>
      </c>
      <c r="I3496" s="4">
        <v>3</v>
      </c>
      <c r="J3496" s="1">
        <v>45736</v>
      </c>
      <c r="K3496" s="2">
        <v>3.3615740740740745E-2</v>
      </c>
      <c r="M3496" s="4" t="str">
        <f t="shared" si="162"/>
        <v>LOW</v>
      </c>
      <c r="N3496" s="4" t="str" cm="1">
        <f t="array" ref="N3496">_xlfn.IFS(C3496&gt;35,"HIGH",C3496&gt;25,"MIDDLE",TRUE,"LOW")</f>
        <v>MIDDLE</v>
      </c>
      <c r="O3496" s="4" t="str">
        <f t="shared" si="163"/>
        <v>OTHERS</v>
      </c>
      <c r="P3496" s="4" t="str">
        <f t="shared" si="164"/>
        <v>OTHERS</v>
      </c>
    </row>
    <row r="3497" spans="1:16" x14ac:dyDescent="0.3">
      <c r="A3497" s="4">
        <v>14</v>
      </c>
      <c r="B3497" t="s">
        <v>11</v>
      </c>
      <c r="C3497" s="4">
        <v>25.96</v>
      </c>
      <c r="D3497" t="s">
        <v>18</v>
      </c>
      <c r="E3497" t="s">
        <v>17</v>
      </c>
      <c r="F3497" s="4" t="s">
        <v>30</v>
      </c>
      <c r="G3497" s="4" t="s">
        <v>15</v>
      </c>
      <c r="H3497" s="4">
        <v>4</v>
      </c>
      <c r="I3497" s="4">
        <v>3</v>
      </c>
      <c r="J3497" s="1">
        <v>45736</v>
      </c>
      <c r="K3497" s="2">
        <v>3.2858796296296295E-3</v>
      </c>
      <c r="M3497" s="4" t="str">
        <f t="shared" si="162"/>
        <v>LOW</v>
      </c>
      <c r="N3497" s="4" t="str" cm="1">
        <f t="array" ref="N3497">_xlfn.IFS(C3497&gt;35,"HIGH",C3497&gt;25,"MIDDLE",TRUE,"LOW")</f>
        <v>MIDDLE</v>
      </c>
      <c r="O3497" s="4" t="str">
        <f t="shared" si="163"/>
        <v>OTHERS</v>
      </c>
      <c r="P3497" s="4" t="str">
        <f t="shared" si="164"/>
        <v>OTHERS</v>
      </c>
    </row>
    <row r="3498" spans="1:16" x14ac:dyDescent="0.3">
      <c r="A3498" s="4">
        <v>14</v>
      </c>
      <c r="B3498" t="s">
        <v>11</v>
      </c>
      <c r="C3498" s="4">
        <v>25.96</v>
      </c>
      <c r="D3498" t="s">
        <v>18</v>
      </c>
      <c r="E3498" t="s">
        <v>17</v>
      </c>
      <c r="F3498" s="4" t="s">
        <v>30</v>
      </c>
      <c r="G3498" s="4" t="s">
        <v>15</v>
      </c>
      <c r="H3498" s="4">
        <v>4</v>
      </c>
      <c r="I3498" s="4">
        <v>3</v>
      </c>
      <c r="J3498" s="1">
        <v>45736</v>
      </c>
      <c r="K3498" s="2">
        <v>1.4327546296296297E-2</v>
      </c>
      <c r="M3498" s="4" t="str">
        <f t="shared" si="162"/>
        <v>LOW</v>
      </c>
      <c r="N3498" s="4" t="str" cm="1">
        <f t="array" ref="N3498">_xlfn.IFS(C3498&gt;35,"HIGH",C3498&gt;25,"MIDDLE",TRUE,"LOW")</f>
        <v>MIDDLE</v>
      </c>
      <c r="O3498" s="4" t="str">
        <f t="shared" si="163"/>
        <v>OTHERS</v>
      </c>
      <c r="P3498" s="4" t="str">
        <f t="shared" si="164"/>
        <v>OTHERS</v>
      </c>
    </row>
    <row r="3499" spans="1:16" x14ac:dyDescent="0.3">
      <c r="A3499" s="4">
        <v>14</v>
      </c>
      <c r="B3499" t="s">
        <v>11</v>
      </c>
      <c r="C3499" s="4">
        <v>21.06</v>
      </c>
      <c r="D3499" t="s">
        <v>26</v>
      </c>
      <c r="E3499" t="s">
        <v>17</v>
      </c>
      <c r="F3499" s="4" t="s">
        <v>30</v>
      </c>
      <c r="G3499" s="4" t="s">
        <v>15</v>
      </c>
      <c r="H3499" s="4">
        <v>4</v>
      </c>
      <c r="I3499" s="4">
        <v>3</v>
      </c>
      <c r="J3499" s="1">
        <v>45736</v>
      </c>
      <c r="K3499" s="2">
        <v>1.5068287037037038E-2</v>
      </c>
      <c r="M3499" s="4" t="str">
        <f t="shared" si="162"/>
        <v>LOW</v>
      </c>
      <c r="N3499" s="4" t="str" cm="1">
        <f t="array" ref="N3499">_xlfn.IFS(C3499&gt;35,"HIGH",C3499&gt;25,"MIDDLE",TRUE,"LOW")</f>
        <v>LOW</v>
      </c>
      <c r="O3499" s="4" t="str">
        <f t="shared" si="163"/>
        <v>OTHERS</v>
      </c>
      <c r="P3499" s="4" t="str">
        <f t="shared" si="164"/>
        <v>OTHERS</v>
      </c>
    </row>
    <row r="3500" spans="1:16" x14ac:dyDescent="0.3">
      <c r="A3500" s="4">
        <v>14</v>
      </c>
      <c r="B3500" t="s">
        <v>11</v>
      </c>
      <c r="C3500" s="4">
        <v>25.96</v>
      </c>
      <c r="D3500" t="s">
        <v>24</v>
      </c>
      <c r="E3500" t="s">
        <v>17</v>
      </c>
      <c r="F3500" s="4" t="s">
        <v>30</v>
      </c>
      <c r="G3500" s="4" t="s">
        <v>15</v>
      </c>
      <c r="H3500" s="4">
        <v>4</v>
      </c>
      <c r="I3500" s="4">
        <v>3</v>
      </c>
      <c r="J3500" s="1">
        <v>45736</v>
      </c>
      <c r="K3500" s="2">
        <v>1.7415509259259259E-2</v>
      </c>
      <c r="M3500" s="4" t="str">
        <f t="shared" si="162"/>
        <v>LOW</v>
      </c>
      <c r="N3500" s="4" t="str" cm="1">
        <f t="array" ref="N3500">_xlfn.IFS(C3500&gt;35,"HIGH",C3500&gt;25,"MIDDLE",TRUE,"LOW")</f>
        <v>MIDDLE</v>
      </c>
      <c r="O3500" s="4" t="str">
        <f t="shared" si="163"/>
        <v>OTHERS</v>
      </c>
      <c r="P3500" s="4" t="str">
        <f t="shared" si="164"/>
        <v>OTHERS</v>
      </c>
    </row>
    <row r="3501" spans="1:16" x14ac:dyDescent="0.3">
      <c r="A3501" s="4">
        <v>14</v>
      </c>
      <c r="B3501" t="s">
        <v>11</v>
      </c>
      <c r="C3501" s="4">
        <v>35.76</v>
      </c>
      <c r="D3501" t="s">
        <v>29</v>
      </c>
      <c r="E3501" t="s">
        <v>17</v>
      </c>
      <c r="F3501" s="4" t="s">
        <v>30</v>
      </c>
      <c r="G3501" s="4" t="s">
        <v>15</v>
      </c>
      <c r="H3501" s="4">
        <v>4</v>
      </c>
      <c r="I3501" s="4">
        <v>3</v>
      </c>
      <c r="J3501" s="1">
        <v>45736</v>
      </c>
      <c r="K3501" s="2">
        <v>1.8596064814814815E-2</v>
      </c>
      <c r="M3501" s="4" t="str">
        <f t="shared" si="162"/>
        <v>HIGH</v>
      </c>
      <c r="N3501" s="4" t="str" cm="1">
        <f t="array" ref="N3501">_xlfn.IFS(C3501&gt;35,"HIGH",C3501&gt;25,"MIDDLE",TRUE,"LOW")</f>
        <v>HIGH</v>
      </c>
      <c r="O3501" s="4" t="str">
        <f t="shared" si="163"/>
        <v>OTHERS</v>
      </c>
      <c r="P3501" s="4" t="str">
        <f t="shared" si="164"/>
        <v>PREMINUM MORNING</v>
      </c>
    </row>
    <row r="3502" spans="1:16" x14ac:dyDescent="0.3">
      <c r="A3502" s="4">
        <v>14</v>
      </c>
      <c r="B3502" t="s">
        <v>11</v>
      </c>
      <c r="C3502" s="4">
        <v>35.76</v>
      </c>
      <c r="D3502" t="s">
        <v>29</v>
      </c>
      <c r="E3502" t="s">
        <v>17</v>
      </c>
      <c r="F3502" s="4" t="s">
        <v>30</v>
      </c>
      <c r="G3502" s="4" t="s">
        <v>15</v>
      </c>
      <c r="H3502" s="4">
        <v>4</v>
      </c>
      <c r="I3502" s="4">
        <v>3</v>
      </c>
      <c r="J3502" s="1">
        <v>45736</v>
      </c>
      <c r="K3502" s="2">
        <v>4.1521990740740741E-2</v>
      </c>
      <c r="M3502" s="4" t="str">
        <f t="shared" si="162"/>
        <v>HIGH</v>
      </c>
      <c r="N3502" s="4" t="str" cm="1">
        <f t="array" ref="N3502">_xlfn.IFS(C3502&gt;35,"HIGH",C3502&gt;25,"MIDDLE",TRUE,"LOW")</f>
        <v>HIGH</v>
      </c>
      <c r="O3502" s="4" t="str">
        <f t="shared" si="163"/>
        <v>OTHERS</v>
      </c>
      <c r="P3502" s="4" t="str">
        <f t="shared" si="164"/>
        <v>PREMINUM MORNING</v>
      </c>
    </row>
    <row r="3503" spans="1:16" x14ac:dyDescent="0.3">
      <c r="A3503" s="4">
        <v>15</v>
      </c>
      <c r="B3503" t="s">
        <v>11</v>
      </c>
      <c r="C3503" s="4">
        <v>25.96</v>
      </c>
      <c r="D3503" t="s">
        <v>18</v>
      </c>
      <c r="E3503" t="s">
        <v>17</v>
      </c>
      <c r="F3503" s="4" t="s">
        <v>30</v>
      </c>
      <c r="G3503" s="4" t="s">
        <v>15</v>
      </c>
      <c r="H3503" s="4">
        <v>4</v>
      </c>
      <c r="I3503" s="4">
        <v>3</v>
      </c>
      <c r="J3503" s="1">
        <v>45736</v>
      </c>
      <c r="K3503" s="2">
        <v>3.731481481481481E-3</v>
      </c>
      <c r="M3503" s="4" t="str">
        <f t="shared" si="162"/>
        <v>LOW</v>
      </c>
      <c r="N3503" s="4" t="str" cm="1">
        <f t="array" ref="N3503">_xlfn.IFS(C3503&gt;35,"HIGH",C3503&gt;25,"MIDDLE",TRUE,"LOW")</f>
        <v>MIDDLE</v>
      </c>
      <c r="O3503" s="4" t="str">
        <f t="shared" si="163"/>
        <v>OTHERS</v>
      </c>
      <c r="P3503" s="4" t="str">
        <f t="shared" si="164"/>
        <v>OTHERS</v>
      </c>
    </row>
    <row r="3504" spans="1:16" x14ac:dyDescent="0.3">
      <c r="A3504" s="4">
        <v>15</v>
      </c>
      <c r="B3504" t="s">
        <v>11</v>
      </c>
      <c r="C3504" s="4">
        <v>25.96</v>
      </c>
      <c r="D3504" t="s">
        <v>18</v>
      </c>
      <c r="E3504" t="s">
        <v>17</v>
      </c>
      <c r="F3504" s="4" t="s">
        <v>30</v>
      </c>
      <c r="G3504" s="4" t="s">
        <v>15</v>
      </c>
      <c r="H3504" s="4">
        <v>4</v>
      </c>
      <c r="I3504" s="4">
        <v>3</v>
      </c>
      <c r="J3504" s="1">
        <v>45736</v>
      </c>
      <c r="K3504" s="2">
        <v>1.5182870370370369E-2</v>
      </c>
      <c r="M3504" s="4" t="str">
        <f t="shared" si="162"/>
        <v>LOW</v>
      </c>
      <c r="N3504" s="4" t="str" cm="1">
        <f t="array" ref="N3504">_xlfn.IFS(C3504&gt;35,"HIGH",C3504&gt;25,"MIDDLE",TRUE,"LOW")</f>
        <v>MIDDLE</v>
      </c>
      <c r="O3504" s="4" t="str">
        <f t="shared" si="163"/>
        <v>OTHERS</v>
      </c>
      <c r="P3504" s="4" t="str">
        <f t="shared" si="164"/>
        <v>OTHERS</v>
      </c>
    </row>
    <row r="3505" spans="1:16" x14ac:dyDescent="0.3">
      <c r="A3505" s="4">
        <v>16</v>
      </c>
      <c r="B3505" t="s">
        <v>11</v>
      </c>
      <c r="C3505" s="4">
        <v>35.76</v>
      </c>
      <c r="D3505" t="s">
        <v>29</v>
      </c>
      <c r="E3505" t="s">
        <v>17</v>
      </c>
      <c r="F3505" s="4" t="s">
        <v>30</v>
      </c>
      <c r="G3505" s="4" t="s">
        <v>15</v>
      </c>
      <c r="H3505" s="4">
        <v>4</v>
      </c>
      <c r="I3505" s="4">
        <v>3</v>
      </c>
      <c r="J3505" s="1">
        <v>45736</v>
      </c>
      <c r="K3505" s="2">
        <v>3.1770833333333331E-2</v>
      </c>
      <c r="M3505" s="4" t="str">
        <f t="shared" si="162"/>
        <v>HIGH</v>
      </c>
      <c r="N3505" s="4" t="str" cm="1">
        <f t="array" ref="N3505">_xlfn.IFS(C3505&gt;35,"HIGH",C3505&gt;25,"MIDDLE",TRUE,"LOW")</f>
        <v>HIGH</v>
      </c>
      <c r="O3505" s="4" t="str">
        <f t="shared" si="163"/>
        <v>OTHERS</v>
      </c>
      <c r="P3505" s="4" t="str">
        <f t="shared" si="164"/>
        <v>PREMINUM MORNING</v>
      </c>
    </row>
    <row r="3506" spans="1:16" x14ac:dyDescent="0.3">
      <c r="A3506" s="4">
        <v>17</v>
      </c>
      <c r="B3506" t="s">
        <v>11</v>
      </c>
      <c r="C3506" s="4">
        <v>25.96</v>
      </c>
      <c r="D3506" t="s">
        <v>18</v>
      </c>
      <c r="E3506" t="s">
        <v>20</v>
      </c>
      <c r="F3506" s="4" t="s">
        <v>30</v>
      </c>
      <c r="G3506" s="4" t="s">
        <v>15</v>
      </c>
      <c r="H3506" s="4">
        <v>4</v>
      </c>
      <c r="I3506" s="4">
        <v>3</v>
      </c>
      <c r="J3506" s="1">
        <v>45736</v>
      </c>
      <c r="K3506" s="2">
        <v>1.656712962962963E-2</v>
      </c>
      <c r="M3506" s="4" t="str">
        <f t="shared" si="162"/>
        <v>LOW</v>
      </c>
      <c r="N3506" s="4" t="str" cm="1">
        <f t="array" ref="N3506">_xlfn.IFS(C3506&gt;35,"HIGH",C3506&gt;25,"MIDDLE",TRUE,"LOW")</f>
        <v>MIDDLE</v>
      </c>
      <c r="O3506" s="4" t="str">
        <f t="shared" si="163"/>
        <v>OTHERS</v>
      </c>
      <c r="P3506" s="4" t="str">
        <f t="shared" si="164"/>
        <v>OTHERS</v>
      </c>
    </row>
    <row r="3507" spans="1:16" x14ac:dyDescent="0.3">
      <c r="A3507" s="4">
        <v>18</v>
      </c>
      <c r="B3507" t="s">
        <v>11</v>
      </c>
      <c r="C3507" s="4">
        <v>35.76</v>
      </c>
      <c r="D3507" t="s">
        <v>16</v>
      </c>
      <c r="E3507" t="s">
        <v>20</v>
      </c>
      <c r="F3507" s="4" t="s">
        <v>30</v>
      </c>
      <c r="G3507" s="4" t="s">
        <v>15</v>
      </c>
      <c r="H3507" s="4">
        <v>4</v>
      </c>
      <c r="I3507" s="4">
        <v>3</v>
      </c>
      <c r="J3507" s="1">
        <v>45736</v>
      </c>
      <c r="K3507" s="2">
        <v>3.8873842592592592E-2</v>
      </c>
      <c r="M3507" s="4" t="str">
        <f t="shared" si="162"/>
        <v>HIGH</v>
      </c>
      <c r="N3507" s="4" t="str" cm="1">
        <f t="array" ref="N3507">_xlfn.IFS(C3507&gt;35,"HIGH",C3507&gt;25,"MIDDLE",TRUE,"LOW")</f>
        <v>HIGH</v>
      </c>
      <c r="O3507" s="4" t="str">
        <f t="shared" si="163"/>
        <v>OTHERS</v>
      </c>
      <c r="P3507" s="4" t="str">
        <f t="shared" si="164"/>
        <v>PREMINUM MORNING</v>
      </c>
    </row>
    <row r="3508" spans="1:16" x14ac:dyDescent="0.3">
      <c r="A3508" s="4">
        <v>19</v>
      </c>
      <c r="B3508" t="s">
        <v>11</v>
      </c>
      <c r="C3508" s="4">
        <v>35.76</v>
      </c>
      <c r="D3508" t="s">
        <v>21</v>
      </c>
      <c r="E3508" t="s">
        <v>20</v>
      </c>
      <c r="F3508" s="4" t="s">
        <v>30</v>
      </c>
      <c r="G3508" s="4" t="s">
        <v>15</v>
      </c>
      <c r="H3508" s="4">
        <v>4</v>
      </c>
      <c r="I3508" s="4">
        <v>3</v>
      </c>
      <c r="J3508" s="1">
        <v>45736</v>
      </c>
      <c r="K3508" s="2">
        <v>2.548148148148148E-2</v>
      </c>
      <c r="M3508" s="4" t="str">
        <f t="shared" si="162"/>
        <v>HIGH</v>
      </c>
      <c r="N3508" s="4" t="str" cm="1">
        <f t="array" ref="N3508">_xlfn.IFS(C3508&gt;35,"HIGH",C3508&gt;25,"MIDDLE",TRUE,"LOW")</f>
        <v>HIGH</v>
      </c>
      <c r="O3508" s="4" t="str">
        <f t="shared" si="163"/>
        <v>OTHERS</v>
      </c>
      <c r="P3508" s="4" t="str">
        <f t="shared" si="164"/>
        <v>PREMINUM MORNING</v>
      </c>
    </row>
    <row r="3509" spans="1:16" x14ac:dyDescent="0.3">
      <c r="A3509" s="4">
        <v>19</v>
      </c>
      <c r="B3509" t="s">
        <v>11</v>
      </c>
      <c r="C3509" s="4">
        <v>35.76</v>
      </c>
      <c r="D3509" t="s">
        <v>29</v>
      </c>
      <c r="E3509" t="s">
        <v>20</v>
      </c>
      <c r="F3509" s="4" t="s">
        <v>30</v>
      </c>
      <c r="G3509" s="4" t="s">
        <v>15</v>
      </c>
      <c r="H3509" s="4">
        <v>4</v>
      </c>
      <c r="I3509" s="4">
        <v>3</v>
      </c>
      <c r="J3509" s="1">
        <v>45736</v>
      </c>
      <c r="K3509" s="2">
        <v>4.0144675925925924E-2</v>
      </c>
      <c r="M3509" s="4" t="str">
        <f t="shared" si="162"/>
        <v>HIGH</v>
      </c>
      <c r="N3509" s="4" t="str" cm="1">
        <f t="array" ref="N3509">_xlfn.IFS(C3509&gt;35,"HIGH",C3509&gt;25,"MIDDLE",TRUE,"LOW")</f>
        <v>HIGH</v>
      </c>
      <c r="O3509" s="4" t="str">
        <f t="shared" si="163"/>
        <v>OTHERS</v>
      </c>
      <c r="P3509" s="4" t="str">
        <f t="shared" si="164"/>
        <v>PREMINUM MORNING</v>
      </c>
    </row>
    <row r="3510" spans="1:16" x14ac:dyDescent="0.3">
      <c r="A3510" s="4">
        <v>21</v>
      </c>
      <c r="B3510" t="s">
        <v>11</v>
      </c>
      <c r="C3510" s="4">
        <v>35.76</v>
      </c>
      <c r="D3510" t="s">
        <v>12</v>
      </c>
      <c r="E3510" t="s">
        <v>20</v>
      </c>
      <c r="F3510" s="4" t="s">
        <v>30</v>
      </c>
      <c r="G3510" s="4" t="s">
        <v>15</v>
      </c>
      <c r="H3510" s="4">
        <v>4</v>
      </c>
      <c r="I3510" s="4">
        <v>3</v>
      </c>
      <c r="J3510" s="1">
        <v>45736</v>
      </c>
      <c r="K3510" s="2">
        <v>3.4902777777777776E-2</v>
      </c>
      <c r="M3510" s="4" t="str">
        <f t="shared" si="162"/>
        <v>HIGH</v>
      </c>
      <c r="N3510" s="4" t="str" cm="1">
        <f t="array" ref="N3510">_xlfn.IFS(C3510&gt;35,"HIGH",C3510&gt;25,"MIDDLE",TRUE,"LOW")</f>
        <v>HIGH</v>
      </c>
      <c r="O3510" s="4" t="str">
        <f t="shared" si="163"/>
        <v>OTHERS</v>
      </c>
      <c r="P3510" s="4" t="str">
        <f t="shared" si="164"/>
        <v>PREMINUM MORNING</v>
      </c>
    </row>
    <row r="3511" spans="1:16" x14ac:dyDescent="0.3">
      <c r="A3511" s="4">
        <v>7</v>
      </c>
      <c r="B3511" t="s">
        <v>11</v>
      </c>
      <c r="C3511" s="4">
        <v>30.86</v>
      </c>
      <c r="D3511" t="s">
        <v>19</v>
      </c>
      <c r="E3511" t="s">
        <v>13</v>
      </c>
      <c r="F3511" s="4" t="s">
        <v>14</v>
      </c>
      <c r="G3511" s="4" t="s">
        <v>15</v>
      </c>
      <c r="H3511" s="4">
        <v>5</v>
      </c>
      <c r="I3511" s="4">
        <v>3</v>
      </c>
      <c r="J3511" s="1">
        <v>45737</v>
      </c>
      <c r="K3511" s="2">
        <v>4.3055555555555555E-3</v>
      </c>
      <c r="M3511" s="4" t="str">
        <f t="shared" si="162"/>
        <v>LOW</v>
      </c>
      <c r="N3511" s="4" t="str" cm="1">
        <f t="array" ref="N3511">_xlfn.IFS(C3511&gt;35,"HIGH",C3511&gt;25,"MIDDLE",TRUE,"LOW")</f>
        <v>MIDDLE</v>
      </c>
      <c r="O3511" s="4" t="str">
        <f t="shared" si="163"/>
        <v>OTHERS</v>
      </c>
      <c r="P3511" s="4" t="str">
        <f t="shared" si="164"/>
        <v>PREMINUM MORNING</v>
      </c>
    </row>
    <row r="3512" spans="1:16" x14ac:dyDescent="0.3">
      <c r="A3512" s="4">
        <v>7</v>
      </c>
      <c r="B3512" t="s">
        <v>11</v>
      </c>
      <c r="C3512" s="4">
        <v>30.86</v>
      </c>
      <c r="D3512" t="s">
        <v>19</v>
      </c>
      <c r="E3512" t="s">
        <v>13</v>
      </c>
      <c r="F3512" s="4" t="s">
        <v>14</v>
      </c>
      <c r="G3512" s="4" t="s">
        <v>15</v>
      </c>
      <c r="H3512" s="4">
        <v>5</v>
      </c>
      <c r="I3512" s="4">
        <v>3</v>
      </c>
      <c r="J3512" s="1">
        <v>45737</v>
      </c>
      <c r="K3512" s="2">
        <v>6.3437500000000004E-3</v>
      </c>
      <c r="M3512" s="4" t="str">
        <f t="shared" si="162"/>
        <v>LOW</v>
      </c>
      <c r="N3512" s="4" t="str" cm="1">
        <f t="array" ref="N3512">_xlfn.IFS(C3512&gt;35,"HIGH",C3512&gt;25,"MIDDLE",TRUE,"LOW")</f>
        <v>MIDDLE</v>
      </c>
      <c r="O3512" s="4" t="str">
        <f t="shared" si="163"/>
        <v>OTHERS</v>
      </c>
      <c r="P3512" s="4" t="str">
        <f t="shared" si="164"/>
        <v>PREMINUM MORNING</v>
      </c>
    </row>
    <row r="3513" spans="1:16" x14ac:dyDescent="0.3">
      <c r="A3513" s="4">
        <v>8</v>
      </c>
      <c r="B3513" t="s">
        <v>11</v>
      </c>
      <c r="C3513" s="4">
        <v>25.96</v>
      </c>
      <c r="D3513" t="s">
        <v>18</v>
      </c>
      <c r="E3513" t="s">
        <v>13</v>
      </c>
      <c r="F3513" s="4" t="s">
        <v>14</v>
      </c>
      <c r="G3513" s="4" t="s">
        <v>15</v>
      </c>
      <c r="H3513" s="4">
        <v>5</v>
      </c>
      <c r="I3513" s="4">
        <v>3</v>
      </c>
      <c r="J3513" s="1">
        <v>45737</v>
      </c>
      <c r="K3513" s="2">
        <v>1.1616898148148149E-2</v>
      </c>
      <c r="M3513" s="4" t="str">
        <f t="shared" si="162"/>
        <v>LOW</v>
      </c>
      <c r="N3513" s="4" t="str" cm="1">
        <f t="array" ref="N3513">_xlfn.IFS(C3513&gt;35,"HIGH",C3513&gt;25,"MIDDLE",TRUE,"LOW")</f>
        <v>MIDDLE</v>
      </c>
      <c r="O3513" s="4" t="str">
        <f t="shared" si="163"/>
        <v>OTHERS</v>
      </c>
      <c r="P3513" s="4" t="str">
        <f t="shared" si="164"/>
        <v>PREMINUM MORNING</v>
      </c>
    </row>
    <row r="3514" spans="1:16" x14ac:dyDescent="0.3">
      <c r="A3514" s="4">
        <v>8</v>
      </c>
      <c r="B3514" t="s">
        <v>11</v>
      </c>
      <c r="C3514" s="4">
        <v>25.96</v>
      </c>
      <c r="D3514" t="s">
        <v>18</v>
      </c>
      <c r="E3514" t="s">
        <v>13</v>
      </c>
      <c r="F3514" s="4" t="s">
        <v>14</v>
      </c>
      <c r="G3514" s="4" t="s">
        <v>15</v>
      </c>
      <c r="H3514" s="4">
        <v>5</v>
      </c>
      <c r="I3514" s="4">
        <v>3</v>
      </c>
      <c r="J3514" s="1">
        <v>45737</v>
      </c>
      <c r="K3514" s="2">
        <v>1.9866898148148147E-2</v>
      </c>
      <c r="M3514" s="4" t="str">
        <f t="shared" si="162"/>
        <v>LOW</v>
      </c>
      <c r="N3514" s="4" t="str" cm="1">
        <f t="array" ref="N3514">_xlfn.IFS(C3514&gt;35,"HIGH",C3514&gt;25,"MIDDLE",TRUE,"LOW")</f>
        <v>MIDDLE</v>
      </c>
      <c r="O3514" s="4" t="str">
        <f t="shared" si="163"/>
        <v>OTHERS</v>
      </c>
      <c r="P3514" s="4" t="str">
        <f t="shared" si="164"/>
        <v>PREMINUM MORNING</v>
      </c>
    </row>
    <row r="3515" spans="1:16" x14ac:dyDescent="0.3">
      <c r="A3515" s="4">
        <v>8</v>
      </c>
      <c r="B3515" t="s">
        <v>11</v>
      </c>
      <c r="C3515" s="4">
        <v>25.96</v>
      </c>
      <c r="D3515" t="s">
        <v>18</v>
      </c>
      <c r="E3515" t="s">
        <v>13</v>
      </c>
      <c r="F3515" s="4" t="s">
        <v>14</v>
      </c>
      <c r="G3515" s="4" t="s">
        <v>15</v>
      </c>
      <c r="H3515" s="4">
        <v>5</v>
      </c>
      <c r="I3515" s="4">
        <v>3</v>
      </c>
      <c r="J3515" s="1">
        <v>45737</v>
      </c>
      <c r="K3515" s="2">
        <v>2.0380787037037038E-2</v>
      </c>
      <c r="M3515" s="4" t="str">
        <f t="shared" si="162"/>
        <v>LOW</v>
      </c>
      <c r="N3515" s="4" t="str" cm="1">
        <f t="array" ref="N3515">_xlfn.IFS(C3515&gt;35,"HIGH",C3515&gt;25,"MIDDLE",TRUE,"LOW")</f>
        <v>MIDDLE</v>
      </c>
      <c r="O3515" s="4" t="str">
        <f t="shared" si="163"/>
        <v>OTHERS</v>
      </c>
      <c r="P3515" s="4" t="str">
        <f t="shared" si="164"/>
        <v>PREMINUM MORNING</v>
      </c>
    </row>
    <row r="3516" spans="1:16" x14ac:dyDescent="0.3">
      <c r="A3516" s="4">
        <v>8</v>
      </c>
      <c r="B3516" t="s">
        <v>11</v>
      </c>
      <c r="C3516" s="4">
        <v>35.76</v>
      </c>
      <c r="D3516" t="s">
        <v>29</v>
      </c>
      <c r="E3516" t="s">
        <v>13</v>
      </c>
      <c r="F3516" s="4" t="s">
        <v>14</v>
      </c>
      <c r="G3516" s="4" t="s">
        <v>15</v>
      </c>
      <c r="H3516" s="4">
        <v>5</v>
      </c>
      <c r="I3516" s="4">
        <v>3</v>
      </c>
      <c r="J3516" s="1">
        <v>45737</v>
      </c>
      <c r="K3516" s="2">
        <v>2.4525462962962964E-2</v>
      </c>
      <c r="M3516" s="4" t="str">
        <f t="shared" si="162"/>
        <v>HIGH</v>
      </c>
      <c r="N3516" s="4" t="str" cm="1">
        <f t="array" ref="N3516">_xlfn.IFS(C3516&gt;35,"HIGH",C3516&gt;25,"MIDDLE",TRUE,"LOW")</f>
        <v>HIGH</v>
      </c>
      <c r="O3516" s="4" t="str">
        <f t="shared" si="163"/>
        <v>PREMINUM MORNING</v>
      </c>
      <c r="P3516" s="4" t="str">
        <f t="shared" si="164"/>
        <v>PREMINUM MORNING</v>
      </c>
    </row>
    <row r="3517" spans="1:16" x14ac:dyDescent="0.3">
      <c r="A3517" s="4">
        <v>11</v>
      </c>
      <c r="B3517" t="s">
        <v>11</v>
      </c>
      <c r="C3517" s="4">
        <v>25.96</v>
      </c>
      <c r="D3517" t="s">
        <v>18</v>
      </c>
      <c r="E3517" t="s">
        <v>13</v>
      </c>
      <c r="F3517" s="4" t="s">
        <v>14</v>
      </c>
      <c r="G3517" s="4" t="s">
        <v>15</v>
      </c>
      <c r="H3517" s="4">
        <v>5</v>
      </c>
      <c r="I3517" s="4">
        <v>3</v>
      </c>
      <c r="J3517" s="1">
        <v>45737</v>
      </c>
      <c r="K3517" s="2">
        <v>3.482986111111111E-2</v>
      </c>
      <c r="M3517" s="4" t="str">
        <f t="shared" si="162"/>
        <v>LOW</v>
      </c>
      <c r="N3517" s="4" t="str" cm="1">
        <f t="array" ref="N3517">_xlfn.IFS(C3517&gt;35,"HIGH",C3517&gt;25,"MIDDLE",TRUE,"LOW")</f>
        <v>MIDDLE</v>
      </c>
      <c r="O3517" s="4" t="str">
        <f t="shared" si="163"/>
        <v>OTHERS</v>
      </c>
      <c r="P3517" s="4" t="str">
        <f t="shared" si="164"/>
        <v>PREMINUM MORNING</v>
      </c>
    </row>
    <row r="3518" spans="1:16" x14ac:dyDescent="0.3">
      <c r="A3518" s="4">
        <v>11</v>
      </c>
      <c r="B3518" t="s">
        <v>11</v>
      </c>
      <c r="C3518" s="4">
        <v>35.76</v>
      </c>
      <c r="D3518" t="s">
        <v>12</v>
      </c>
      <c r="E3518" t="s">
        <v>13</v>
      </c>
      <c r="F3518" s="4" t="s">
        <v>14</v>
      </c>
      <c r="G3518" s="4" t="s">
        <v>15</v>
      </c>
      <c r="H3518" s="4">
        <v>5</v>
      </c>
      <c r="I3518" s="4">
        <v>3</v>
      </c>
      <c r="J3518" s="1">
        <v>45737</v>
      </c>
      <c r="K3518" s="2">
        <v>3.5503472222222221E-2</v>
      </c>
      <c r="M3518" s="4" t="str">
        <f t="shared" si="162"/>
        <v>HIGH</v>
      </c>
      <c r="N3518" s="4" t="str" cm="1">
        <f t="array" ref="N3518">_xlfn.IFS(C3518&gt;35,"HIGH",C3518&gt;25,"MIDDLE",TRUE,"LOW")</f>
        <v>HIGH</v>
      </c>
      <c r="O3518" s="4" t="str">
        <f t="shared" si="163"/>
        <v>PREMINUM MORNING</v>
      </c>
      <c r="P3518" s="4" t="str">
        <f t="shared" si="164"/>
        <v>PREMINUM MORNING</v>
      </c>
    </row>
    <row r="3519" spans="1:16" x14ac:dyDescent="0.3">
      <c r="A3519" s="4">
        <v>13</v>
      </c>
      <c r="B3519" t="s">
        <v>11</v>
      </c>
      <c r="C3519" s="4">
        <v>25.96</v>
      </c>
      <c r="D3519" t="s">
        <v>18</v>
      </c>
      <c r="E3519" t="s">
        <v>17</v>
      </c>
      <c r="F3519" s="4" t="s">
        <v>14</v>
      </c>
      <c r="G3519" s="4" t="s">
        <v>15</v>
      </c>
      <c r="H3519" s="4">
        <v>5</v>
      </c>
      <c r="I3519" s="4">
        <v>3</v>
      </c>
      <c r="J3519" s="1">
        <v>45737</v>
      </c>
      <c r="K3519" s="2">
        <v>1.9479166666666668E-3</v>
      </c>
      <c r="M3519" s="4" t="str">
        <f t="shared" si="162"/>
        <v>LOW</v>
      </c>
      <c r="N3519" s="4" t="str" cm="1">
        <f t="array" ref="N3519">_xlfn.IFS(C3519&gt;35,"HIGH",C3519&gt;25,"MIDDLE",TRUE,"LOW")</f>
        <v>MIDDLE</v>
      </c>
      <c r="O3519" s="4" t="str">
        <f t="shared" si="163"/>
        <v>OTHERS</v>
      </c>
      <c r="P3519" s="4" t="str">
        <f t="shared" si="164"/>
        <v>OTHERS</v>
      </c>
    </row>
    <row r="3520" spans="1:16" x14ac:dyDescent="0.3">
      <c r="A3520" s="4">
        <v>13</v>
      </c>
      <c r="B3520" t="s">
        <v>11</v>
      </c>
      <c r="C3520" s="4">
        <v>35.76</v>
      </c>
      <c r="D3520" t="s">
        <v>12</v>
      </c>
      <c r="E3520" t="s">
        <v>17</v>
      </c>
      <c r="F3520" s="4" t="s">
        <v>14</v>
      </c>
      <c r="G3520" s="4" t="s">
        <v>15</v>
      </c>
      <c r="H3520" s="4">
        <v>5</v>
      </c>
      <c r="I3520" s="4">
        <v>3</v>
      </c>
      <c r="J3520" s="1">
        <v>45737</v>
      </c>
      <c r="K3520" s="2">
        <v>1.6631944444444446E-2</v>
      </c>
      <c r="M3520" s="4" t="str">
        <f t="shared" si="162"/>
        <v>HIGH</v>
      </c>
      <c r="N3520" s="4" t="str" cm="1">
        <f t="array" ref="N3520">_xlfn.IFS(C3520&gt;35,"HIGH",C3520&gt;25,"MIDDLE",TRUE,"LOW")</f>
        <v>HIGH</v>
      </c>
      <c r="O3520" s="4" t="str">
        <f t="shared" si="163"/>
        <v>OTHERS</v>
      </c>
      <c r="P3520" s="4" t="str">
        <f t="shared" si="164"/>
        <v>PREMINUM MORNING</v>
      </c>
    </row>
    <row r="3521" spans="1:16" x14ac:dyDescent="0.3">
      <c r="A3521" s="4">
        <v>14</v>
      </c>
      <c r="B3521" t="s">
        <v>11</v>
      </c>
      <c r="C3521" s="4">
        <v>35.76</v>
      </c>
      <c r="D3521" t="s">
        <v>29</v>
      </c>
      <c r="E3521" t="s">
        <v>17</v>
      </c>
      <c r="F3521" s="4" t="s">
        <v>14</v>
      </c>
      <c r="G3521" s="4" t="s">
        <v>15</v>
      </c>
      <c r="H3521" s="4">
        <v>5</v>
      </c>
      <c r="I3521" s="4">
        <v>3</v>
      </c>
      <c r="J3521" s="1">
        <v>45737</v>
      </c>
      <c r="K3521" s="2">
        <v>8.1493055555555555E-3</v>
      </c>
      <c r="M3521" s="4" t="str">
        <f t="shared" si="162"/>
        <v>HIGH</v>
      </c>
      <c r="N3521" s="4" t="str" cm="1">
        <f t="array" ref="N3521">_xlfn.IFS(C3521&gt;35,"HIGH",C3521&gt;25,"MIDDLE",TRUE,"LOW")</f>
        <v>HIGH</v>
      </c>
      <c r="O3521" s="4" t="str">
        <f t="shared" si="163"/>
        <v>OTHERS</v>
      </c>
      <c r="P3521" s="4" t="str">
        <f t="shared" si="164"/>
        <v>PREMINUM MORNING</v>
      </c>
    </row>
    <row r="3522" spans="1:16" x14ac:dyDescent="0.3">
      <c r="A3522" s="4">
        <v>15</v>
      </c>
      <c r="B3522" t="s">
        <v>11</v>
      </c>
      <c r="C3522" s="4">
        <v>35.76</v>
      </c>
      <c r="D3522" t="s">
        <v>29</v>
      </c>
      <c r="E3522" t="s">
        <v>17</v>
      </c>
      <c r="F3522" s="4" t="s">
        <v>14</v>
      </c>
      <c r="G3522" s="4" t="s">
        <v>15</v>
      </c>
      <c r="H3522" s="4">
        <v>5</v>
      </c>
      <c r="I3522" s="4">
        <v>3</v>
      </c>
      <c r="J3522" s="1">
        <v>45737</v>
      </c>
      <c r="K3522" s="2">
        <v>6.2847222222222219E-3</v>
      </c>
      <c r="M3522" s="4" t="str">
        <f t="shared" si="162"/>
        <v>HIGH</v>
      </c>
      <c r="N3522" s="4" t="str" cm="1">
        <f t="array" ref="N3522">_xlfn.IFS(C3522&gt;35,"HIGH",C3522&gt;25,"MIDDLE",TRUE,"LOW")</f>
        <v>HIGH</v>
      </c>
      <c r="O3522" s="4" t="str">
        <f t="shared" si="163"/>
        <v>OTHERS</v>
      </c>
      <c r="P3522" s="4" t="str">
        <f t="shared" si="164"/>
        <v>PREMINUM MORNING</v>
      </c>
    </row>
    <row r="3523" spans="1:16" x14ac:dyDescent="0.3">
      <c r="A3523" s="4">
        <v>15</v>
      </c>
      <c r="B3523" t="s">
        <v>11</v>
      </c>
      <c r="C3523" s="4">
        <v>25.96</v>
      </c>
      <c r="D3523" t="s">
        <v>18</v>
      </c>
      <c r="E3523" t="s">
        <v>17</v>
      </c>
      <c r="F3523" s="4" t="s">
        <v>14</v>
      </c>
      <c r="G3523" s="4" t="s">
        <v>15</v>
      </c>
      <c r="H3523" s="4">
        <v>5</v>
      </c>
      <c r="I3523" s="4">
        <v>3</v>
      </c>
      <c r="J3523" s="1">
        <v>45737</v>
      </c>
      <c r="K3523" s="2">
        <v>1.7158564814814814E-2</v>
      </c>
      <c r="M3523" s="4" t="str">
        <f t="shared" ref="M3523:M3548" si="165">IF(C3523&gt;35,"HIGH","LOW")</f>
        <v>LOW</v>
      </c>
      <c r="N3523" s="4" t="str" cm="1">
        <f t="array" ref="N3523">_xlfn.IFS(C3523&gt;35,"HIGH",C3523&gt;25,"MIDDLE",TRUE,"LOW")</f>
        <v>MIDDLE</v>
      </c>
      <c r="O3523" s="4" t="str">
        <f t="shared" ref="O3523:O3548" si="166">IF(AND(C3523&gt;35,E3523="MORNING"),"PREMINUM MORNING","OTHERS")</f>
        <v>OTHERS</v>
      </c>
      <c r="P3523" s="4" t="str">
        <f t="shared" ref="P3523:P3548" si="167">IF(OR(C3523&gt;35,E3523="MORNING"),"PREMINUM MORNING","OTHERS")</f>
        <v>OTHERS</v>
      </c>
    </row>
    <row r="3524" spans="1:16" x14ac:dyDescent="0.3">
      <c r="A3524" s="4">
        <v>15</v>
      </c>
      <c r="B3524" t="s">
        <v>11</v>
      </c>
      <c r="C3524" s="4">
        <v>35.76</v>
      </c>
      <c r="D3524" t="s">
        <v>12</v>
      </c>
      <c r="E3524" t="s">
        <v>17</v>
      </c>
      <c r="F3524" s="4" t="s">
        <v>14</v>
      </c>
      <c r="G3524" s="4" t="s">
        <v>15</v>
      </c>
      <c r="H3524" s="4">
        <v>5</v>
      </c>
      <c r="I3524" s="4">
        <v>3</v>
      </c>
      <c r="J3524" s="1">
        <v>45737</v>
      </c>
      <c r="K3524" s="2">
        <v>1.9671296296296294E-2</v>
      </c>
      <c r="M3524" s="4" t="str">
        <f t="shared" si="165"/>
        <v>HIGH</v>
      </c>
      <c r="N3524" s="4" t="str" cm="1">
        <f t="array" ref="N3524">_xlfn.IFS(C3524&gt;35,"HIGH",C3524&gt;25,"MIDDLE",TRUE,"LOW")</f>
        <v>HIGH</v>
      </c>
      <c r="O3524" s="4" t="str">
        <f t="shared" si="166"/>
        <v>OTHERS</v>
      </c>
      <c r="P3524" s="4" t="str">
        <f t="shared" si="167"/>
        <v>PREMINUM MORNING</v>
      </c>
    </row>
    <row r="3525" spans="1:16" x14ac:dyDescent="0.3">
      <c r="A3525" s="4">
        <v>15</v>
      </c>
      <c r="B3525" t="s">
        <v>11</v>
      </c>
      <c r="C3525" s="4">
        <v>35.76</v>
      </c>
      <c r="D3525" t="s">
        <v>29</v>
      </c>
      <c r="E3525" t="s">
        <v>17</v>
      </c>
      <c r="F3525" s="4" t="s">
        <v>14</v>
      </c>
      <c r="G3525" s="4" t="s">
        <v>15</v>
      </c>
      <c r="H3525" s="4">
        <v>5</v>
      </c>
      <c r="I3525" s="4">
        <v>3</v>
      </c>
      <c r="J3525" s="1">
        <v>45737</v>
      </c>
      <c r="K3525" s="2">
        <v>2.0512731481481482E-2</v>
      </c>
      <c r="M3525" s="4" t="str">
        <f t="shared" si="165"/>
        <v>HIGH</v>
      </c>
      <c r="N3525" s="4" t="str" cm="1">
        <f t="array" ref="N3525">_xlfn.IFS(C3525&gt;35,"HIGH",C3525&gt;25,"MIDDLE",TRUE,"LOW")</f>
        <v>HIGH</v>
      </c>
      <c r="O3525" s="4" t="str">
        <f t="shared" si="166"/>
        <v>OTHERS</v>
      </c>
      <c r="P3525" s="4" t="str">
        <f t="shared" si="167"/>
        <v>PREMINUM MORNING</v>
      </c>
    </row>
    <row r="3526" spans="1:16" x14ac:dyDescent="0.3">
      <c r="A3526" s="4">
        <v>17</v>
      </c>
      <c r="B3526" t="s">
        <v>11</v>
      </c>
      <c r="C3526" s="4">
        <v>35.76</v>
      </c>
      <c r="D3526" t="s">
        <v>16</v>
      </c>
      <c r="E3526" t="s">
        <v>20</v>
      </c>
      <c r="F3526" s="4" t="s">
        <v>14</v>
      </c>
      <c r="G3526" s="4" t="s">
        <v>15</v>
      </c>
      <c r="H3526" s="4">
        <v>5</v>
      </c>
      <c r="I3526" s="4">
        <v>3</v>
      </c>
      <c r="J3526" s="1">
        <v>45737</v>
      </c>
      <c r="K3526" s="2">
        <v>1.0277777777777778E-3</v>
      </c>
      <c r="M3526" s="4" t="str">
        <f t="shared" si="165"/>
        <v>HIGH</v>
      </c>
      <c r="N3526" s="4" t="str" cm="1">
        <f t="array" ref="N3526">_xlfn.IFS(C3526&gt;35,"HIGH",C3526&gt;25,"MIDDLE",TRUE,"LOW")</f>
        <v>HIGH</v>
      </c>
      <c r="O3526" s="4" t="str">
        <f t="shared" si="166"/>
        <v>OTHERS</v>
      </c>
      <c r="P3526" s="4" t="str">
        <f t="shared" si="167"/>
        <v>PREMINUM MORNING</v>
      </c>
    </row>
    <row r="3527" spans="1:16" x14ac:dyDescent="0.3">
      <c r="A3527" s="4">
        <v>17</v>
      </c>
      <c r="B3527" t="s">
        <v>11</v>
      </c>
      <c r="C3527" s="4">
        <v>35.76</v>
      </c>
      <c r="D3527" t="s">
        <v>12</v>
      </c>
      <c r="E3527" t="s">
        <v>20</v>
      </c>
      <c r="F3527" s="4" t="s">
        <v>14</v>
      </c>
      <c r="G3527" s="4" t="s">
        <v>15</v>
      </c>
      <c r="H3527" s="4">
        <v>5</v>
      </c>
      <c r="I3527" s="4">
        <v>3</v>
      </c>
      <c r="J3527" s="1">
        <v>45737</v>
      </c>
      <c r="K3527" s="2">
        <v>1.4778935185185187E-2</v>
      </c>
      <c r="M3527" s="4" t="str">
        <f t="shared" si="165"/>
        <v>HIGH</v>
      </c>
      <c r="N3527" s="4" t="str" cm="1">
        <f t="array" ref="N3527">_xlfn.IFS(C3527&gt;35,"HIGH",C3527&gt;25,"MIDDLE",TRUE,"LOW")</f>
        <v>HIGH</v>
      </c>
      <c r="O3527" s="4" t="str">
        <f t="shared" si="166"/>
        <v>OTHERS</v>
      </c>
      <c r="P3527" s="4" t="str">
        <f t="shared" si="167"/>
        <v>PREMINUM MORNING</v>
      </c>
    </row>
    <row r="3528" spans="1:16" x14ac:dyDescent="0.3">
      <c r="A3528" s="4">
        <v>17</v>
      </c>
      <c r="B3528" t="s">
        <v>11</v>
      </c>
      <c r="C3528" s="4">
        <v>35.76</v>
      </c>
      <c r="D3528" t="s">
        <v>12</v>
      </c>
      <c r="E3528" t="s">
        <v>20</v>
      </c>
      <c r="F3528" s="4" t="s">
        <v>14</v>
      </c>
      <c r="G3528" s="4" t="s">
        <v>15</v>
      </c>
      <c r="H3528" s="4">
        <v>5</v>
      </c>
      <c r="I3528" s="4">
        <v>3</v>
      </c>
      <c r="J3528" s="1">
        <v>45737</v>
      </c>
      <c r="K3528" s="2">
        <v>1.5855324074074074E-2</v>
      </c>
      <c r="M3528" s="4" t="str">
        <f t="shared" si="165"/>
        <v>HIGH</v>
      </c>
      <c r="N3528" s="4" t="str" cm="1">
        <f t="array" ref="N3528">_xlfn.IFS(C3528&gt;35,"HIGH",C3528&gt;25,"MIDDLE",TRUE,"LOW")</f>
        <v>HIGH</v>
      </c>
      <c r="O3528" s="4" t="str">
        <f t="shared" si="166"/>
        <v>OTHERS</v>
      </c>
      <c r="P3528" s="4" t="str">
        <f t="shared" si="167"/>
        <v>PREMINUM MORNING</v>
      </c>
    </row>
    <row r="3529" spans="1:16" x14ac:dyDescent="0.3">
      <c r="A3529" s="4">
        <v>18</v>
      </c>
      <c r="B3529" t="s">
        <v>11</v>
      </c>
      <c r="C3529" s="4">
        <v>35.76</v>
      </c>
      <c r="D3529" t="s">
        <v>12</v>
      </c>
      <c r="E3529" t="s">
        <v>20</v>
      </c>
      <c r="F3529" s="4" t="s">
        <v>14</v>
      </c>
      <c r="G3529" s="4" t="s">
        <v>15</v>
      </c>
      <c r="H3529" s="4">
        <v>5</v>
      </c>
      <c r="I3529" s="4">
        <v>3</v>
      </c>
      <c r="J3529" s="1">
        <v>45737</v>
      </c>
      <c r="K3529" s="2">
        <v>3.6258101851851847E-2</v>
      </c>
      <c r="M3529" s="4" t="str">
        <f t="shared" si="165"/>
        <v>HIGH</v>
      </c>
      <c r="N3529" s="4" t="str" cm="1">
        <f t="array" ref="N3529">_xlfn.IFS(C3529&gt;35,"HIGH",C3529&gt;25,"MIDDLE",TRUE,"LOW")</f>
        <v>HIGH</v>
      </c>
      <c r="O3529" s="4" t="str">
        <f t="shared" si="166"/>
        <v>OTHERS</v>
      </c>
      <c r="P3529" s="4" t="str">
        <f t="shared" si="167"/>
        <v>PREMINUM MORNING</v>
      </c>
    </row>
    <row r="3530" spans="1:16" x14ac:dyDescent="0.3">
      <c r="A3530" s="4">
        <v>18</v>
      </c>
      <c r="B3530" t="s">
        <v>11</v>
      </c>
      <c r="C3530" s="4">
        <v>25.96</v>
      </c>
      <c r="D3530" t="s">
        <v>18</v>
      </c>
      <c r="E3530" t="s">
        <v>20</v>
      </c>
      <c r="F3530" s="4" t="s">
        <v>14</v>
      </c>
      <c r="G3530" s="4" t="s">
        <v>15</v>
      </c>
      <c r="H3530" s="4">
        <v>5</v>
      </c>
      <c r="I3530" s="4">
        <v>3</v>
      </c>
      <c r="J3530" s="1">
        <v>45737</v>
      </c>
      <c r="K3530" s="2">
        <v>4.1253472222222226E-2</v>
      </c>
      <c r="M3530" s="4" t="str">
        <f t="shared" si="165"/>
        <v>LOW</v>
      </c>
      <c r="N3530" s="4" t="str" cm="1">
        <f t="array" ref="N3530">_xlfn.IFS(C3530&gt;35,"HIGH",C3530&gt;25,"MIDDLE",TRUE,"LOW")</f>
        <v>MIDDLE</v>
      </c>
      <c r="O3530" s="4" t="str">
        <f t="shared" si="166"/>
        <v>OTHERS</v>
      </c>
      <c r="P3530" s="4" t="str">
        <f t="shared" si="167"/>
        <v>OTHERS</v>
      </c>
    </row>
    <row r="3531" spans="1:16" x14ac:dyDescent="0.3">
      <c r="A3531" s="4">
        <v>9</v>
      </c>
      <c r="B3531" t="s">
        <v>11</v>
      </c>
      <c r="C3531" s="4">
        <v>30.86</v>
      </c>
      <c r="D3531" t="s">
        <v>19</v>
      </c>
      <c r="E3531" t="s">
        <v>13</v>
      </c>
      <c r="F3531" s="4" t="s">
        <v>22</v>
      </c>
      <c r="G3531" s="4" t="s">
        <v>15</v>
      </c>
      <c r="H3531" s="4">
        <v>6</v>
      </c>
      <c r="I3531" s="4">
        <v>3</v>
      </c>
      <c r="J3531" s="1">
        <v>45738</v>
      </c>
      <c r="K3531" s="2">
        <v>3.623842592592593E-3</v>
      </c>
      <c r="M3531" s="4" t="str">
        <f t="shared" si="165"/>
        <v>LOW</v>
      </c>
      <c r="N3531" s="4" t="str" cm="1">
        <f t="array" ref="N3531">_xlfn.IFS(C3531&gt;35,"HIGH",C3531&gt;25,"MIDDLE",TRUE,"LOW")</f>
        <v>MIDDLE</v>
      </c>
      <c r="O3531" s="4" t="str">
        <f t="shared" si="166"/>
        <v>OTHERS</v>
      </c>
      <c r="P3531" s="4" t="str">
        <f t="shared" si="167"/>
        <v>PREMINUM MORNING</v>
      </c>
    </row>
    <row r="3532" spans="1:16" x14ac:dyDescent="0.3">
      <c r="A3532" s="4">
        <v>10</v>
      </c>
      <c r="B3532" t="s">
        <v>11</v>
      </c>
      <c r="C3532" s="4">
        <v>30.86</v>
      </c>
      <c r="D3532" t="s">
        <v>19</v>
      </c>
      <c r="E3532" t="s">
        <v>13</v>
      </c>
      <c r="F3532" s="4" t="s">
        <v>22</v>
      </c>
      <c r="G3532" s="4" t="s">
        <v>15</v>
      </c>
      <c r="H3532" s="4">
        <v>6</v>
      </c>
      <c r="I3532" s="4">
        <v>3</v>
      </c>
      <c r="J3532" s="1">
        <v>45738</v>
      </c>
      <c r="K3532" s="2">
        <v>2.094212962962963E-2</v>
      </c>
      <c r="M3532" s="4" t="str">
        <f t="shared" si="165"/>
        <v>LOW</v>
      </c>
      <c r="N3532" s="4" t="str" cm="1">
        <f t="array" ref="N3532">_xlfn.IFS(C3532&gt;35,"HIGH",C3532&gt;25,"MIDDLE",TRUE,"LOW")</f>
        <v>MIDDLE</v>
      </c>
      <c r="O3532" s="4" t="str">
        <f t="shared" si="166"/>
        <v>OTHERS</v>
      </c>
      <c r="P3532" s="4" t="str">
        <f t="shared" si="167"/>
        <v>PREMINUM MORNING</v>
      </c>
    </row>
    <row r="3533" spans="1:16" x14ac:dyDescent="0.3">
      <c r="A3533" s="4">
        <v>11</v>
      </c>
      <c r="B3533" t="s">
        <v>11</v>
      </c>
      <c r="C3533" s="4">
        <v>35.76</v>
      </c>
      <c r="D3533" t="s">
        <v>16</v>
      </c>
      <c r="E3533" t="s">
        <v>13</v>
      </c>
      <c r="F3533" s="4" t="s">
        <v>22</v>
      </c>
      <c r="G3533" s="4" t="s">
        <v>15</v>
      </c>
      <c r="H3533" s="4">
        <v>6</v>
      </c>
      <c r="I3533" s="4">
        <v>3</v>
      </c>
      <c r="J3533" s="1">
        <v>45738</v>
      </c>
      <c r="K3533" s="2">
        <v>9.7916666666666673E-3</v>
      </c>
      <c r="M3533" s="4" t="str">
        <f t="shared" si="165"/>
        <v>HIGH</v>
      </c>
      <c r="N3533" s="4" t="str" cm="1">
        <f t="array" ref="N3533">_xlfn.IFS(C3533&gt;35,"HIGH",C3533&gt;25,"MIDDLE",TRUE,"LOW")</f>
        <v>HIGH</v>
      </c>
      <c r="O3533" s="4" t="str">
        <f t="shared" si="166"/>
        <v>PREMINUM MORNING</v>
      </c>
      <c r="P3533" s="4" t="str">
        <f t="shared" si="167"/>
        <v>PREMINUM MORNING</v>
      </c>
    </row>
    <row r="3534" spans="1:16" x14ac:dyDescent="0.3">
      <c r="A3534" s="4">
        <v>11</v>
      </c>
      <c r="B3534" t="s">
        <v>11</v>
      </c>
      <c r="C3534" s="4">
        <v>35.76</v>
      </c>
      <c r="D3534" t="s">
        <v>21</v>
      </c>
      <c r="E3534" t="s">
        <v>13</v>
      </c>
      <c r="F3534" s="4" t="s">
        <v>22</v>
      </c>
      <c r="G3534" s="4" t="s">
        <v>15</v>
      </c>
      <c r="H3534" s="4">
        <v>6</v>
      </c>
      <c r="I3534" s="4">
        <v>3</v>
      </c>
      <c r="J3534" s="1">
        <v>45738</v>
      </c>
      <c r="K3534" s="2">
        <v>2.8710648148148148E-2</v>
      </c>
      <c r="M3534" s="4" t="str">
        <f t="shared" si="165"/>
        <v>HIGH</v>
      </c>
      <c r="N3534" s="4" t="str" cm="1">
        <f t="array" ref="N3534">_xlfn.IFS(C3534&gt;35,"HIGH",C3534&gt;25,"MIDDLE",TRUE,"LOW")</f>
        <v>HIGH</v>
      </c>
      <c r="O3534" s="4" t="str">
        <f t="shared" si="166"/>
        <v>PREMINUM MORNING</v>
      </c>
      <c r="P3534" s="4" t="str">
        <f t="shared" si="167"/>
        <v>PREMINUM MORNING</v>
      </c>
    </row>
    <row r="3535" spans="1:16" x14ac:dyDescent="0.3">
      <c r="A3535" s="4">
        <v>12</v>
      </c>
      <c r="B3535" t="s">
        <v>11</v>
      </c>
      <c r="C3535" s="4">
        <v>30.86</v>
      </c>
      <c r="D3535" t="s">
        <v>19</v>
      </c>
      <c r="E3535" t="s">
        <v>17</v>
      </c>
      <c r="F3535" s="4" t="s">
        <v>22</v>
      </c>
      <c r="G3535" s="4" t="s">
        <v>15</v>
      </c>
      <c r="H3535" s="4">
        <v>6</v>
      </c>
      <c r="I3535" s="4">
        <v>3</v>
      </c>
      <c r="J3535" s="1">
        <v>45738</v>
      </c>
      <c r="K3535" s="2">
        <v>1.2818287037037038E-2</v>
      </c>
      <c r="M3535" s="4" t="str">
        <f t="shared" si="165"/>
        <v>LOW</v>
      </c>
      <c r="N3535" s="4" t="str" cm="1">
        <f t="array" ref="N3535">_xlfn.IFS(C3535&gt;35,"HIGH",C3535&gt;25,"MIDDLE",TRUE,"LOW")</f>
        <v>MIDDLE</v>
      </c>
      <c r="O3535" s="4" t="str">
        <f t="shared" si="166"/>
        <v>OTHERS</v>
      </c>
      <c r="P3535" s="4" t="str">
        <f t="shared" si="167"/>
        <v>OTHERS</v>
      </c>
    </row>
    <row r="3536" spans="1:16" x14ac:dyDescent="0.3">
      <c r="A3536" s="4">
        <v>12</v>
      </c>
      <c r="B3536" t="s">
        <v>11</v>
      </c>
      <c r="C3536" s="4">
        <v>25.96</v>
      </c>
      <c r="D3536" t="s">
        <v>18</v>
      </c>
      <c r="E3536" t="s">
        <v>17</v>
      </c>
      <c r="F3536" s="4" t="s">
        <v>22</v>
      </c>
      <c r="G3536" s="4" t="s">
        <v>15</v>
      </c>
      <c r="H3536" s="4">
        <v>6</v>
      </c>
      <c r="I3536" s="4">
        <v>3</v>
      </c>
      <c r="J3536" s="1">
        <v>45738</v>
      </c>
      <c r="K3536" s="2">
        <v>1.8052083333333333E-2</v>
      </c>
      <c r="M3536" s="4" t="str">
        <f t="shared" si="165"/>
        <v>LOW</v>
      </c>
      <c r="N3536" s="4" t="str" cm="1">
        <f t="array" ref="N3536">_xlfn.IFS(C3536&gt;35,"HIGH",C3536&gt;25,"MIDDLE",TRUE,"LOW")</f>
        <v>MIDDLE</v>
      </c>
      <c r="O3536" s="4" t="str">
        <f t="shared" si="166"/>
        <v>OTHERS</v>
      </c>
      <c r="P3536" s="4" t="str">
        <f t="shared" si="167"/>
        <v>OTHERS</v>
      </c>
    </row>
    <row r="3537" spans="1:16" x14ac:dyDescent="0.3">
      <c r="A3537" s="4">
        <v>13</v>
      </c>
      <c r="B3537" t="s">
        <v>11</v>
      </c>
      <c r="C3537" s="4">
        <v>25.96</v>
      </c>
      <c r="D3537" t="s">
        <v>18</v>
      </c>
      <c r="E3537" t="s">
        <v>17</v>
      </c>
      <c r="F3537" s="4" t="s">
        <v>22</v>
      </c>
      <c r="G3537" s="4" t="s">
        <v>15</v>
      </c>
      <c r="H3537" s="4">
        <v>6</v>
      </c>
      <c r="I3537" s="4">
        <v>3</v>
      </c>
      <c r="J3537" s="1">
        <v>45738</v>
      </c>
      <c r="K3537" s="2">
        <v>4.4166666666666668E-3</v>
      </c>
      <c r="M3537" s="4" t="str">
        <f t="shared" si="165"/>
        <v>LOW</v>
      </c>
      <c r="N3537" s="4" t="str" cm="1">
        <f t="array" ref="N3537">_xlfn.IFS(C3537&gt;35,"HIGH",C3537&gt;25,"MIDDLE",TRUE,"LOW")</f>
        <v>MIDDLE</v>
      </c>
      <c r="O3537" s="4" t="str">
        <f t="shared" si="166"/>
        <v>OTHERS</v>
      </c>
      <c r="P3537" s="4" t="str">
        <f t="shared" si="167"/>
        <v>OTHERS</v>
      </c>
    </row>
    <row r="3538" spans="1:16" x14ac:dyDescent="0.3">
      <c r="A3538" s="4">
        <v>13</v>
      </c>
      <c r="B3538" t="s">
        <v>11</v>
      </c>
      <c r="C3538" s="4">
        <v>30.86</v>
      </c>
      <c r="D3538" t="s">
        <v>19</v>
      </c>
      <c r="E3538" t="s">
        <v>17</v>
      </c>
      <c r="F3538" s="4" t="s">
        <v>22</v>
      </c>
      <c r="G3538" s="4" t="s">
        <v>15</v>
      </c>
      <c r="H3538" s="4">
        <v>6</v>
      </c>
      <c r="I3538" s="4">
        <v>3</v>
      </c>
      <c r="J3538" s="1">
        <v>45738</v>
      </c>
      <c r="K3538" s="2">
        <v>1.6179398148148148E-2</v>
      </c>
      <c r="M3538" s="4" t="str">
        <f t="shared" si="165"/>
        <v>LOW</v>
      </c>
      <c r="N3538" s="4" t="str" cm="1">
        <f t="array" ref="N3538">_xlfn.IFS(C3538&gt;35,"HIGH",C3538&gt;25,"MIDDLE",TRUE,"LOW")</f>
        <v>MIDDLE</v>
      </c>
      <c r="O3538" s="4" t="str">
        <f t="shared" si="166"/>
        <v>OTHERS</v>
      </c>
      <c r="P3538" s="4" t="str">
        <f t="shared" si="167"/>
        <v>OTHERS</v>
      </c>
    </row>
    <row r="3539" spans="1:16" x14ac:dyDescent="0.3">
      <c r="A3539" s="4">
        <v>15</v>
      </c>
      <c r="B3539" t="s">
        <v>11</v>
      </c>
      <c r="C3539" s="4">
        <v>21.06</v>
      </c>
      <c r="D3539" t="s">
        <v>26</v>
      </c>
      <c r="E3539" t="s">
        <v>17</v>
      </c>
      <c r="F3539" s="4" t="s">
        <v>22</v>
      </c>
      <c r="G3539" s="4" t="s">
        <v>15</v>
      </c>
      <c r="H3539" s="4">
        <v>6</v>
      </c>
      <c r="I3539" s="4">
        <v>3</v>
      </c>
      <c r="J3539" s="1">
        <v>45738</v>
      </c>
      <c r="K3539" s="2">
        <v>4.0256944444444442E-2</v>
      </c>
      <c r="M3539" s="4" t="str">
        <f t="shared" si="165"/>
        <v>LOW</v>
      </c>
      <c r="N3539" s="4" t="str" cm="1">
        <f t="array" ref="N3539">_xlfn.IFS(C3539&gt;35,"HIGH",C3539&gt;25,"MIDDLE",TRUE,"LOW")</f>
        <v>LOW</v>
      </c>
      <c r="O3539" s="4" t="str">
        <f t="shared" si="166"/>
        <v>OTHERS</v>
      </c>
      <c r="P3539" s="4" t="str">
        <f t="shared" si="167"/>
        <v>OTHERS</v>
      </c>
    </row>
    <row r="3540" spans="1:16" x14ac:dyDescent="0.3">
      <c r="A3540" s="4">
        <v>16</v>
      </c>
      <c r="B3540" t="s">
        <v>11</v>
      </c>
      <c r="C3540" s="4">
        <v>35.76</v>
      </c>
      <c r="D3540" t="s">
        <v>12</v>
      </c>
      <c r="E3540" t="s">
        <v>17</v>
      </c>
      <c r="F3540" s="4" t="s">
        <v>22</v>
      </c>
      <c r="G3540" s="4" t="s">
        <v>15</v>
      </c>
      <c r="H3540" s="4">
        <v>6</v>
      </c>
      <c r="I3540" s="4">
        <v>3</v>
      </c>
      <c r="J3540" s="1">
        <v>45738</v>
      </c>
      <c r="K3540" s="2">
        <v>1.8747685185185183E-2</v>
      </c>
      <c r="M3540" s="4" t="str">
        <f t="shared" si="165"/>
        <v>HIGH</v>
      </c>
      <c r="N3540" s="4" t="str" cm="1">
        <f t="array" ref="N3540">_xlfn.IFS(C3540&gt;35,"HIGH",C3540&gt;25,"MIDDLE",TRUE,"LOW")</f>
        <v>HIGH</v>
      </c>
      <c r="O3540" s="4" t="str">
        <f t="shared" si="166"/>
        <v>OTHERS</v>
      </c>
      <c r="P3540" s="4" t="str">
        <f t="shared" si="167"/>
        <v>PREMINUM MORNING</v>
      </c>
    </row>
    <row r="3541" spans="1:16" x14ac:dyDescent="0.3">
      <c r="A3541" s="4">
        <v>17</v>
      </c>
      <c r="B3541" t="s">
        <v>11</v>
      </c>
      <c r="C3541" s="4">
        <v>30.86</v>
      </c>
      <c r="D3541" t="s">
        <v>19</v>
      </c>
      <c r="E3541" t="s">
        <v>20</v>
      </c>
      <c r="F3541" s="4" t="s">
        <v>22</v>
      </c>
      <c r="G3541" s="4" t="s">
        <v>15</v>
      </c>
      <c r="H3541" s="4">
        <v>6</v>
      </c>
      <c r="I3541" s="4">
        <v>3</v>
      </c>
      <c r="J3541" s="1">
        <v>45738</v>
      </c>
      <c r="K3541" s="2">
        <v>3.7221064814814818E-2</v>
      </c>
      <c r="M3541" s="4" t="str">
        <f t="shared" si="165"/>
        <v>LOW</v>
      </c>
      <c r="N3541" s="4" t="str" cm="1">
        <f t="array" ref="N3541">_xlfn.IFS(C3541&gt;35,"HIGH",C3541&gt;25,"MIDDLE",TRUE,"LOW")</f>
        <v>MIDDLE</v>
      </c>
      <c r="O3541" s="4" t="str">
        <f t="shared" si="166"/>
        <v>OTHERS</v>
      </c>
      <c r="P3541" s="4" t="str">
        <f t="shared" si="167"/>
        <v>OTHERS</v>
      </c>
    </row>
    <row r="3542" spans="1:16" x14ac:dyDescent="0.3">
      <c r="A3542" s="4">
        <v>19</v>
      </c>
      <c r="B3542" t="s">
        <v>11</v>
      </c>
      <c r="C3542" s="4">
        <v>30.86</v>
      </c>
      <c r="D3542" t="s">
        <v>19</v>
      </c>
      <c r="E3542" t="s">
        <v>20</v>
      </c>
      <c r="F3542" s="4" t="s">
        <v>22</v>
      </c>
      <c r="G3542" s="4" t="s">
        <v>15</v>
      </c>
      <c r="H3542" s="4">
        <v>6</v>
      </c>
      <c r="I3542" s="4">
        <v>3</v>
      </c>
      <c r="J3542" s="1">
        <v>45738</v>
      </c>
      <c r="K3542" s="2">
        <v>1.1721064814814816E-2</v>
      </c>
      <c r="M3542" s="4" t="str">
        <f t="shared" si="165"/>
        <v>LOW</v>
      </c>
      <c r="N3542" s="4" t="str" cm="1">
        <f t="array" ref="N3542">_xlfn.IFS(C3542&gt;35,"HIGH",C3542&gt;25,"MIDDLE",TRUE,"LOW")</f>
        <v>MIDDLE</v>
      </c>
      <c r="O3542" s="4" t="str">
        <f t="shared" si="166"/>
        <v>OTHERS</v>
      </c>
      <c r="P3542" s="4" t="str">
        <f t="shared" si="167"/>
        <v>OTHERS</v>
      </c>
    </row>
    <row r="3543" spans="1:16" x14ac:dyDescent="0.3">
      <c r="A3543" s="4">
        <v>10</v>
      </c>
      <c r="B3543" t="s">
        <v>11</v>
      </c>
      <c r="C3543" s="4">
        <v>35.76</v>
      </c>
      <c r="D3543" t="s">
        <v>12</v>
      </c>
      <c r="E3543" t="s">
        <v>13</v>
      </c>
      <c r="F3543" s="4" t="s">
        <v>23</v>
      </c>
      <c r="G3543" s="4" t="s">
        <v>15</v>
      </c>
      <c r="H3543" s="4">
        <v>7</v>
      </c>
      <c r="I3543" s="4">
        <v>3</v>
      </c>
      <c r="J3543" s="1">
        <v>45739</v>
      </c>
      <c r="K3543" s="2">
        <v>4.9918981481481481E-3</v>
      </c>
      <c r="M3543" s="4" t="str">
        <f t="shared" si="165"/>
        <v>HIGH</v>
      </c>
      <c r="N3543" s="4" t="str" cm="1">
        <f t="array" ref="N3543">_xlfn.IFS(C3543&gt;35,"HIGH",C3543&gt;25,"MIDDLE",TRUE,"LOW")</f>
        <v>HIGH</v>
      </c>
      <c r="O3543" s="4" t="str">
        <f t="shared" si="166"/>
        <v>PREMINUM MORNING</v>
      </c>
      <c r="P3543" s="4" t="str">
        <f t="shared" si="167"/>
        <v>PREMINUM MORNING</v>
      </c>
    </row>
    <row r="3544" spans="1:16" x14ac:dyDescent="0.3">
      <c r="A3544" s="4">
        <v>10</v>
      </c>
      <c r="B3544" t="s">
        <v>11</v>
      </c>
      <c r="C3544" s="4">
        <v>35.76</v>
      </c>
      <c r="D3544" t="s">
        <v>29</v>
      </c>
      <c r="E3544" t="s">
        <v>13</v>
      </c>
      <c r="F3544" s="4" t="s">
        <v>23</v>
      </c>
      <c r="G3544" s="4" t="s">
        <v>15</v>
      </c>
      <c r="H3544" s="4">
        <v>7</v>
      </c>
      <c r="I3544" s="4">
        <v>3</v>
      </c>
      <c r="J3544" s="1">
        <v>45739</v>
      </c>
      <c r="K3544" s="2">
        <v>2.424652777777778E-2</v>
      </c>
      <c r="M3544" s="4" t="str">
        <f t="shared" si="165"/>
        <v>HIGH</v>
      </c>
      <c r="N3544" s="4" t="str" cm="1">
        <f t="array" ref="N3544">_xlfn.IFS(C3544&gt;35,"HIGH",C3544&gt;25,"MIDDLE",TRUE,"LOW")</f>
        <v>HIGH</v>
      </c>
      <c r="O3544" s="4" t="str">
        <f t="shared" si="166"/>
        <v>PREMINUM MORNING</v>
      </c>
      <c r="P3544" s="4" t="str">
        <f t="shared" si="167"/>
        <v>PREMINUM MORNING</v>
      </c>
    </row>
    <row r="3545" spans="1:16" x14ac:dyDescent="0.3">
      <c r="A3545" s="4">
        <v>14</v>
      </c>
      <c r="B3545" t="s">
        <v>11</v>
      </c>
      <c r="C3545" s="4">
        <v>35.76</v>
      </c>
      <c r="D3545" t="s">
        <v>21</v>
      </c>
      <c r="E3545" t="s">
        <v>17</v>
      </c>
      <c r="F3545" s="4" t="s">
        <v>23</v>
      </c>
      <c r="G3545" s="4" t="s">
        <v>15</v>
      </c>
      <c r="H3545" s="4">
        <v>7</v>
      </c>
      <c r="I3545" s="4">
        <v>3</v>
      </c>
      <c r="J3545" s="1">
        <v>45739</v>
      </c>
      <c r="K3545" s="2">
        <v>3.0293981481481484E-2</v>
      </c>
      <c r="M3545" s="4" t="str">
        <f t="shared" si="165"/>
        <v>HIGH</v>
      </c>
      <c r="N3545" s="4" t="str" cm="1">
        <f t="array" ref="N3545">_xlfn.IFS(C3545&gt;35,"HIGH",C3545&gt;25,"MIDDLE",TRUE,"LOW")</f>
        <v>HIGH</v>
      </c>
      <c r="O3545" s="4" t="str">
        <f t="shared" si="166"/>
        <v>OTHERS</v>
      </c>
      <c r="P3545" s="4" t="str">
        <f t="shared" si="167"/>
        <v>PREMINUM MORNING</v>
      </c>
    </row>
    <row r="3546" spans="1:16" x14ac:dyDescent="0.3">
      <c r="A3546" s="4">
        <v>14</v>
      </c>
      <c r="B3546" t="s">
        <v>11</v>
      </c>
      <c r="C3546" s="4">
        <v>35.76</v>
      </c>
      <c r="D3546" t="s">
        <v>21</v>
      </c>
      <c r="E3546" t="s">
        <v>17</v>
      </c>
      <c r="F3546" s="4" t="s">
        <v>23</v>
      </c>
      <c r="G3546" s="4" t="s">
        <v>15</v>
      </c>
      <c r="H3546" s="4">
        <v>7</v>
      </c>
      <c r="I3546" s="4">
        <v>3</v>
      </c>
      <c r="J3546" s="1">
        <v>45739</v>
      </c>
      <c r="K3546" s="2">
        <v>3.0751157407407408E-2</v>
      </c>
      <c r="M3546" s="4" t="str">
        <f t="shared" si="165"/>
        <v>HIGH</v>
      </c>
      <c r="N3546" s="4" t="str" cm="1">
        <f t="array" ref="N3546">_xlfn.IFS(C3546&gt;35,"HIGH",C3546&gt;25,"MIDDLE",TRUE,"LOW")</f>
        <v>HIGH</v>
      </c>
      <c r="O3546" s="4" t="str">
        <f t="shared" si="166"/>
        <v>OTHERS</v>
      </c>
      <c r="P3546" s="4" t="str">
        <f t="shared" si="167"/>
        <v>PREMINUM MORNING</v>
      </c>
    </row>
    <row r="3547" spans="1:16" x14ac:dyDescent="0.3">
      <c r="A3547" s="4">
        <v>15</v>
      </c>
      <c r="B3547" t="s">
        <v>11</v>
      </c>
      <c r="C3547" s="4">
        <v>25.96</v>
      </c>
      <c r="D3547" t="s">
        <v>18</v>
      </c>
      <c r="E3547" t="s">
        <v>17</v>
      </c>
      <c r="F3547" s="4" t="s">
        <v>23</v>
      </c>
      <c r="G3547" s="4" t="s">
        <v>15</v>
      </c>
      <c r="H3547" s="4">
        <v>7</v>
      </c>
      <c r="I3547" s="4">
        <v>3</v>
      </c>
      <c r="J3547" s="1">
        <v>45739</v>
      </c>
      <c r="K3547" s="2">
        <v>3.2971064814814814E-2</v>
      </c>
      <c r="M3547" s="4" t="str">
        <f t="shared" si="165"/>
        <v>LOW</v>
      </c>
      <c r="N3547" s="4" t="str" cm="1">
        <f t="array" ref="N3547">_xlfn.IFS(C3547&gt;35,"HIGH",C3547&gt;25,"MIDDLE",TRUE,"LOW")</f>
        <v>MIDDLE</v>
      </c>
      <c r="O3547" s="4" t="str">
        <f t="shared" si="166"/>
        <v>OTHERS</v>
      </c>
      <c r="P3547" s="4" t="str">
        <f t="shared" si="167"/>
        <v>OTHERS</v>
      </c>
    </row>
    <row r="3548" spans="1:16" x14ac:dyDescent="0.3">
      <c r="A3548" s="4">
        <v>18</v>
      </c>
      <c r="B3548" t="s">
        <v>11</v>
      </c>
      <c r="C3548" s="4">
        <v>35.76</v>
      </c>
      <c r="D3548" t="s">
        <v>12</v>
      </c>
      <c r="E3548" t="s">
        <v>20</v>
      </c>
      <c r="F3548" s="4" t="s">
        <v>23</v>
      </c>
      <c r="G3548" s="4" t="s">
        <v>15</v>
      </c>
      <c r="H3548" s="4">
        <v>7</v>
      </c>
      <c r="I3548" s="4">
        <v>3</v>
      </c>
      <c r="J3548" s="1">
        <v>45739</v>
      </c>
      <c r="K3548" s="2">
        <v>8.0856481481481491E-3</v>
      </c>
      <c r="M3548" s="4" t="str">
        <f t="shared" si="165"/>
        <v>HIGH</v>
      </c>
      <c r="N3548" s="4" t="str" cm="1">
        <f t="array" ref="N3548">_xlfn.IFS(C3548&gt;35,"HIGH",C3548&gt;25,"MIDDLE",TRUE,"LOW")</f>
        <v>HIGH</v>
      </c>
      <c r="O3548" s="4" t="str">
        <f t="shared" si="166"/>
        <v>OTHERS</v>
      </c>
      <c r="P3548" s="4" t="str">
        <f t="shared" si="167"/>
        <v>PREMINUM MORNING</v>
      </c>
    </row>
  </sheetData>
  <autoFilter ref="P1:P3548" xr:uid="{0FF0F2B4-F0F9-4CB9-A41D-14536AB71DDF}"/>
  <dataConsolidate/>
  <conditionalFormatting sqref="C1:C1048576">
    <cfRule type="cellIs" dxfId="14" priority="15" operator="equal">
      <formula>37.72</formula>
    </cfRule>
    <cfRule type="cellIs" dxfId="13" priority="16" operator="between">
      <formula>35</formula>
      <formula>37</formula>
    </cfRule>
  </conditionalFormatting>
  <conditionalFormatting sqref="C2:C3548">
    <cfRule type="cellIs" dxfId="12" priority="17" operator="lessThan">
      <formula>28</formula>
    </cfRule>
    <cfRule type="cellIs" dxfId="11" priority="18" operator="between">
      <formula>27</formula>
      <formula>35</formula>
    </cfRule>
    <cfRule type="cellIs" dxfId="10" priority="19" operator="greaterThan">
      <formula>35</formula>
    </cfRule>
  </conditionalFormatting>
  <conditionalFormatting sqref="D1851">
    <cfRule type="cellIs" dxfId="9" priority="20" operator="greaterThan">
      <formula>11</formula>
    </cfRule>
  </conditionalFormatting>
  <conditionalFormatting sqref="M1:N1048576">
    <cfRule type="cellIs" dxfId="8" priority="4" operator="equal">
      <formula>"LOW"</formula>
    </cfRule>
    <cfRule type="cellIs" dxfId="7" priority="8" operator="equal">
      <formula>"HIGH"</formula>
    </cfRule>
  </conditionalFormatting>
  <conditionalFormatting sqref="N1:N1048576">
    <cfRule type="cellIs" dxfId="6" priority="6" operator="equal">
      <formula>"MIDDLE"</formula>
    </cfRule>
    <cfRule type="cellIs" dxfId="5" priority="7" operator="equal">
      <formula>"LOW"</formula>
    </cfRule>
  </conditionalFormatting>
  <conditionalFormatting sqref="O1:O1048576">
    <cfRule type="cellIs" dxfId="4" priority="11" operator="equal">
      <formula>"PREMIUM MORNING"</formula>
    </cfRule>
  </conditionalFormatting>
  <conditionalFormatting sqref="O1:P1048576">
    <cfRule type="cellIs" dxfId="3" priority="2" operator="equal">
      <formula>"PREMINUM MORNING"</formula>
    </cfRule>
    <cfRule type="cellIs" dxfId="2" priority="3" operator="equal">
      <formula>"OTHERS"</formula>
    </cfRule>
  </conditionalFormatting>
  <conditionalFormatting sqref="Q13">
    <cfRule type="cellIs" dxfId="1" priority="10" operator="equal">
      <formula>"PREMINUM MORNING"</formula>
    </cfRule>
  </conditionalFormatting>
  <conditionalFormatting sqref="X2">
    <cfRule type="cellIs" dxfId="0" priority="1" operator="equal">
      <formula>"HIGH"</formula>
    </cfRule>
  </conditionalFormatting>
  <pageMargins left="0.25" right="0.25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7FBA-70EA-42E2-B124-3E565A609451}">
  <dimension ref="A1"/>
  <sheetViews>
    <sheetView workbookViewId="0">
      <selection activeCell="B29" sqref="A24:B37"/>
    </sheetView>
  </sheetViews>
  <sheetFormatPr defaultRowHeight="14.4" x14ac:dyDescent="0.3"/>
  <cols>
    <col min="1" max="1" width="17.21875" bestFit="1" customWidth="1"/>
    <col min="2" max="2" width="12.5546875" bestFit="1" customWidth="1"/>
    <col min="5" max="5" width="12.44140625" bestFit="1" customWidth="1"/>
    <col min="6" max="6" width="18.88671875" bestFit="1" customWidth="1"/>
    <col min="12" max="12" width="12.44140625" customWidth="1"/>
    <col min="13" max="13" width="18.8867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C1E7-A9F9-4628-B7C8-AD51839769E5}">
  <dimension ref="A1:B31"/>
  <sheetViews>
    <sheetView zoomScale="103" workbookViewId="0">
      <selection activeCell="B18" sqref="B18"/>
    </sheetView>
  </sheetViews>
  <sheetFormatPr defaultRowHeight="14.4" x14ac:dyDescent="0.3"/>
  <cols>
    <col min="1" max="2" width="9" customWidth="1"/>
  </cols>
  <sheetData>
    <row r="1" spans="1:2" x14ac:dyDescent="0.3">
      <c r="A1" t="s">
        <v>49</v>
      </c>
      <c r="B1" t="s">
        <v>59</v>
      </c>
    </row>
    <row r="2" spans="1:2" x14ac:dyDescent="0.3">
      <c r="A2" t="s">
        <v>42</v>
      </c>
    </row>
    <row r="3" spans="1:2" x14ac:dyDescent="0.3">
      <c r="A3" t="s">
        <v>43</v>
      </c>
      <c r="B3">
        <f>SUM(Coffe_sales!C:C)</f>
        <v>112245.57999999814</v>
      </c>
    </row>
    <row r="4" spans="1:2" x14ac:dyDescent="0.3">
      <c r="A4" t="s">
        <v>44</v>
      </c>
      <c r="B4">
        <f>AVERAGE(Coffe_sales!C:C)</f>
        <v>31.645215675217969</v>
      </c>
    </row>
    <row r="5" spans="1:2" x14ac:dyDescent="0.3">
      <c r="A5" t="s">
        <v>45</v>
      </c>
      <c r="B5">
        <f>MIN(Coffe_sales!C:C)</f>
        <v>18.12</v>
      </c>
    </row>
    <row r="6" spans="1:2" x14ac:dyDescent="0.3">
      <c r="A6" t="s">
        <v>46</v>
      </c>
      <c r="B6">
        <f>MAX(Coffe_sales!C:C)</f>
        <v>38.700000000000003</v>
      </c>
    </row>
    <row r="7" spans="1:2" x14ac:dyDescent="0.3">
      <c r="A7" t="s">
        <v>47</v>
      </c>
      <c r="B7">
        <f>COUNT(Coffe_sales!C:C)</f>
        <v>3547</v>
      </c>
    </row>
    <row r="8" spans="1:2" x14ac:dyDescent="0.3">
      <c r="A8" t="s">
        <v>48</v>
      </c>
      <c r="B8">
        <f>COUNTA(Coffe_sales!C:C)</f>
        <v>3548</v>
      </c>
    </row>
    <row r="9" spans="1:2" x14ac:dyDescent="0.3">
      <c r="A9" t="s">
        <v>50</v>
      </c>
    </row>
    <row r="10" spans="1:2" x14ac:dyDescent="0.3">
      <c r="A10" t="s">
        <v>51</v>
      </c>
    </row>
    <row r="11" spans="1:2" x14ac:dyDescent="0.3">
      <c r="A11" t="s">
        <v>52</v>
      </c>
    </row>
    <row r="12" spans="1:2" x14ac:dyDescent="0.3">
      <c r="A12" t="s">
        <v>53</v>
      </c>
    </row>
    <row r="13" spans="1:2" x14ac:dyDescent="0.3">
      <c r="A13" t="s">
        <v>54</v>
      </c>
    </row>
    <row r="14" spans="1:2" x14ac:dyDescent="0.3">
      <c r="A14" t="s">
        <v>55</v>
      </c>
    </row>
    <row r="15" spans="1:2" x14ac:dyDescent="0.3">
      <c r="A15" t="s">
        <v>58</v>
      </c>
    </row>
    <row r="16" spans="1:2" x14ac:dyDescent="0.3">
      <c r="A16" t="s">
        <v>56</v>
      </c>
    </row>
    <row r="17" spans="1:2" x14ac:dyDescent="0.3">
      <c r="A17" t="s">
        <v>57</v>
      </c>
      <c r="B17" t="str" cm="1">
        <f t="array" ref="B17:B31">_xlfn.UNIQUE(Coffe_sales!C:C)</f>
        <v>money</v>
      </c>
    </row>
    <row r="18" spans="1:2" x14ac:dyDescent="0.3">
      <c r="B18">
        <v>38.700000000000003</v>
      </c>
    </row>
    <row r="19" spans="1:2" x14ac:dyDescent="0.3">
      <c r="B19">
        <v>28.9</v>
      </c>
    </row>
    <row r="20" spans="1:2" x14ac:dyDescent="0.3">
      <c r="B20">
        <v>33.799999999999997</v>
      </c>
    </row>
    <row r="21" spans="1:2" x14ac:dyDescent="0.3">
      <c r="B21">
        <v>24</v>
      </c>
    </row>
    <row r="22" spans="1:2" x14ac:dyDescent="0.3">
      <c r="B22">
        <v>32.82</v>
      </c>
    </row>
    <row r="23" spans="1:2" x14ac:dyDescent="0.3">
      <c r="B23">
        <v>37.72</v>
      </c>
    </row>
    <row r="24" spans="1:2" x14ac:dyDescent="0.3">
      <c r="B24">
        <v>27.92</v>
      </c>
    </row>
    <row r="25" spans="1:2" x14ac:dyDescent="0.3">
      <c r="B25">
        <v>23.02</v>
      </c>
    </row>
    <row r="26" spans="1:2" x14ac:dyDescent="0.3">
      <c r="B26">
        <v>18.12</v>
      </c>
    </row>
    <row r="27" spans="1:2" x14ac:dyDescent="0.3">
      <c r="B27">
        <v>35.76</v>
      </c>
    </row>
    <row r="28" spans="1:2" x14ac:dyDescent="0.3">
      <c r="B28">
        <v>30.86</v>
      </c>
    </row>
    <row r="29" spans="1:2" x14ac:dyDescent="0.3">
      <c r="B29">
        <v>25.96</v>
      </c>
    </row>
    <row r="30" spans="1:2" x14ac:dyDescent="0.3">
      <c r="B30">
        <v>21.06</v>
      </c>
    </row>
    <row r="31" spans="1:2" x14ac:dyDescent="0.3">
      <c r="B3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64B-2984-451C-9477-2AD1677F26D5}">
  <dimension ref="A1:B149"/>
  <sheetViews>
    <sheetView tabSelected="1" topLeftCell="G1" zoomScale="58" zoomScaleNormal="72" workbookViewId="0">
      <selection activeCell="E3" sqref="E3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8" bestFit="1" customWidth="1"/>
    <col min="4" max="4" width="13.5546875" bestFit="1" customWidth="1"/>
    <col min="5" max="5" width="12.77734375" bestFit="1" customWidth="1"/>
    <col min="6" max="6" width="7.6640625" bestFit="1" customWidth="1"/>
    <col min="7" max="7" width="8.44140625" bestFit="1" customWidth="1"/>
    <col min="8" max="8" width="12.77734375" bestFit="1" customWidth="1"/>
    <col min="9" max="9" width="5.21875" bestFit="1" customWidth="1"/>
    <col min="10" max="10" width="10.5546875" bestFit="1" customWidth="1"/>
  </cols>
  <sheetData>
    <row r="1" spans="1:2" x14ac:dyDescent="0.3">
      <c r="A1" s="7" t="s">
        <v>66</v>
      </c>
      <c r="B1" t="s">
        <v>68</v>
      </c>
    </row>
    <row r="2" spans="1:2" x14ac:dyDescent="0.3">
      <c r="A2" s="8" t="s">
        <v>18</v>
      </c>
      <c r="B2">
        <v>14650.259999999824</v>
      </c>
    </row>
    <row r="3" spans="1:2" x14ac:dyDescent="0.3">
      <c r="A3" s="8" t="s">
        <v>19</v>
      </c>
      <c r="B3">
        <v>24751.120000000228</v>
      </c>
    </row>
    <row r="4" spans="1:2" x14ac:dyDescent="0.3">
      <c r="A4" s="8" t="s">
        <v>29</v>
      </c>
      <c r="B4">
        <v>17439.139999999974</v>
      </c>
    </row>
    <row r="5" spans="1:2" x14ac:dyDescent="0.3">
      <c r="A5" s="8" t="s">
        <v>21</v>
      </c>
      <c r="B5">
        <v>8521.1600000000381</v>
      </c>
    </row>
    <row r="6" spans="1:2" x14ac:dyDescent="0.3">
      <c r="A6" s="8" t="s">
        <v>24</v>
      </c>
      <c r="B6">
        <v>7384.8600000000097</v>
      </c>
    </row>
    <row r="7" spans="1:2" x14ac:dyDescent="0.3">
      <c r="A7" s="8" t="s">
        <v>26</v>
      </c>
      <c r="B7">
        <v>2690.2799999999938</v>
      </c>
    </row>
    <row r="8" spans="1:2" x14ac:dyDescent="0.3">
      <c r="A8" s="8" t="s">
        <v>16</v>
      </c>
      <c r="B8">
        <v>9933.4600000000464</v>
      </c>
    </row>
    <row r="9" spans="1:2" x14ac:dyDescent="0.3">
      <c r="A9" s="8" t="s">
        <v>12</v>
      </c>
      <c r="B9">
        <v>26875.299999999501</v>
      </c>
    </row>
    <row r="10" spans="1:2" x14ac:dyDescent="0.3">
      <c r="A10" s="8" t="s">
        <v>67</v>
      </c>
      <c r="B10">
        <v>112245.57999999961</v>
      </c>
    </row>
    <row r="13" spans="1:2" x14ac:dyDescent="0.3">
      <c r="A13" s="7" t="s">
        <v>66</v>
      </c>
      <c r="B13" t="s">
        <v>68</v>
      </c>
    </row>
    <row r="14" spans="1:2" x14ac:dyDescent="0.3">
      <c r="A14" s="8">
        <v>6</v>
      </c>
      <c r="B14">
        <v>149.4</v>
      </c>
    </row>
    <row r="15" spans="1:2" x14ac:dyDescent="0.3">
      <c r="A15" s="8">
        <v>7</v>
      </c>
      <c r="B15">
        <v>2846.0200000000032</v>
      </c>
    </row>
    <row r="16" spans="1:2" x14ac:dyDescent="0.3">
      <c r="A16" s="8">
        <v>8</v>
      </c>
      <c r="B16">
        <v>7017.8800000000074</v>
      </c>
    </row>
    <row r="17" spans="1:2" x14ac:dyDescent="0.3">
      <c r="A17" s="8">
        <v>9</v>
      </c>
      <c r="B17">
        <v>7264.2800000000052</v>
      </c>
    </row>
    <row r="18" spans="1:2" x14ac:dyDescent="0.3">
      <c r="A18" s="8">
        <v>10</v>
      </c>
      <c r="B18">
        <v>10198.519999999991</v>
      </c>
    </row>
    <row r="19" spans="1:2" x14ac:dyDescent="0.3">
      <c r="A19" s="8">
        <v>11</v>
      </c>
      <c r="B19">
        <v>8453.1000000000076</v>
      </c>
    </row>
    <row r="20" spans="1:2" x14ac:dyDescent="0.3">
      <c r="A20" s="8">
        <v>12</v>
      </c>
      <c r="B20">
        <v>7419.6200000000117</v>
      </c>
    </row>
    <row r="21" spans="1:2" x14ac:dyDescent="0.3">
      <c r="A21" s="8">
        <v>13</v>
      </c>
      <c r="B21">
        <v>7028.760000000013</v>
      </c>
    </row>
    <row r="22" spans="1:2" x14ac:dyDescent="0.3">
      <c r="A22" s="8">
        <v>14</v>
      </c>
      <c r="B22">
        <v>7173.8000000000175</v>
      </c>
    </row>
    <row r="23" spans="1:2" x14ac:dyDescent="0.3">
      <c r="A23" s="8">
        <v>15</v>
      </c>
      <c r="B23">
        <v>7476.0200000000195</v>
      </c>
    </row>
    <row r="24" spans="1:2" x14ac:dyDescent="0.3">
      <c r="A24" s="8">
        <v>16</v>
      </c>
      <c r="B24">
        <v>9031.8400000000238</v>
      </c>
    </row>
    <row r="25" spans="1:2" x14ac:dyDescent="0.3">
      <c r="A25" s="8">
        <v>17</v>
      </c>
      <c r="B25">
        <v>7659.760000000013</v>
      </c>
    </row>
    <row r="26" spans="1:2" x14ac:dyDescent="0.3">
      <c r="A26" s="8">
        <v>18</v>
      </c>
      <c r="B26">
        <v>7162.6000000000176</v>
      </c>
    </row>
    <row r="27" spans="1:2" x14ac:dyDescent="0.3">
      <c r="A27" s="8">
        <v>19</v>
      </c>
      <c r="B27">
        <v>7751.9600000000155</v>
      </c>
    </row>
    <row r="28" spans="1:2" x14ac:dyDescent="0.3">
      <c r="A28" s="8">
        <v>20</v>
      </c>
      <c r="B28">
        <v>5578.9200000000155</v>
      </c>
    </row>
    <row r="29" spans="1:2" x14ac:dyDescent="0.3">
      <c r="A29" s="8">
        <v>21</v>
      </c>
      <c r="B29">
        <v>6397.9400000000169</v>
      </c>
    </row>
    <row r="30" spans="1:2" x14ac:dyDescent="0.3">
      <c r="A30" s="8">
        <v>22</v>
      </c>
      <c r="B30">
        <v>3635.160000000008</v>
      </c>
    </row>
    <row r="31" spans="1:2" x14ac:dyDescent="0.3">
      <c r="A31" s="8" t="s">
        <v>67</v>
      </c>
      <c r="B31">
        <v>112245.58000000018</v>
      </c>
    </row>
    <row r="33" spans="1:2" x14ac:dyDescent="0.3">
      <c r="A33" s="7" t="s">
        <v>66</v>
      </c>
      <c r="B33" t="s">
        <v>68</v>
      </c>
    </row>
    <row r="34" spans="1:2" x14ac:dyDescent="0.3">
      <c r="A34" s="8" t="s">
        <v>17</v>
      </c>
      <c r="B34">
        <v>38130.039999999637</v>
      </c>
    </row>
    <row r="35" spans="1:2" x14ac:dyDescent="0.3">
      <c r="A35" s="8" t="s">
        <v>13</v>
      </c>
      <c r="B35">
        <v>35929.199999999742</v>
      </c>
    </row>
    <row r="36" spans="1:2" x14ac:dyDescent="0.3">
      <c r="A36" s="8" t="s">
        <v>20</v>
      </c>
      <c r="B36">
        <v>38186.339999999633</v>
      </c>
    </row>
    <row r="37" spans="1:2" x14ac:dyDescent="0.3">
      <c r="A37" s="8" t="s">
        <v>67</v>
      </c>
      <c r="B37">
        <v>112245.57999999901</v>
      </c>
    </row>
    <row r="42" spans="1:2" x14ac:dyDescent="0.3">
      <c r="A42" s="7" t="s">
        <v>66</v>
      </c>
      <c r="B42" t="s">
        <v>68</v>
      </c>
    </row>
    <row r="43" spans="1:2" x14ac:dyDescent="0.3">
      <c r="A43" s="8" t="s">
        <v>23</v>
      </c>
      <c r="B43">
        <v>13336.060000000019</v>
      </c>
    </row>
    <row r="44" spans="1:2" x14ac:dyDescent="0.3">
      <c r="A44" s="8" t="s">
        <v>25</v>
      </c>
      <c r="B44">
        <v>17363.099999999977</v>
      </c>
    </row>
    <row r="45" spans="1:2" x14ac:dyDescent="0.3">
      <c r="A45" s="8" t="s">
        <v>27</v>
      </c>
      <c r="B45">
        <v>18168.379999999957</v>
      </c>
    </row>
    <row r="46" spans="1:2" x14ac:dyDescent="0.3">
      <c r="A46" s="8" t="s">
        <v>28</v>
      </c>
      <c r="B46">
        <v>15750.459999999994</v>
      </c>
    </row>
    <row r="47" spans="1:2" x14ac:dyDescent="0.3">
      <c r="A47" s="8" t="s">
        <v>30</v>
      </c>
      <c r="B47">
        <v>16091.400000000001</v>
      </c>
    </row>
    <row r="48" spans="1:2" x14ac:dyDescent="0.3">
      <c r="A48" s="8" t="s">
        <v>14</v>
      </c>
      <c r="B48">
        <v>16802.659999999971</v>
      </c>
    </row>
    <row r="49" spans="1:2" x14ac:dyDescent="0.3">
      <c r="A49" s="8" t="s">
        <v>22</v>
      </c>
      <c r="B49">
        <v>14733.519999999995</v>
      </c>
    </row>
    <row r="50" spans="1:2" x14ac:dyDescent="0.3">
      <c r="A50" s="8" t="s">
        <v>67</v>
      </c>
      <c r="B50">
        <v>112245.5799999999</v>
      </c>
    </row>
    <row r="53" spans="1:2" x14ac:dyDescent="0.3">
      <c r="A53" s="7" t="s">
        <v>66</v>
      </c>
      <c r="B53" t="s">
        <v>68</v>
      </c>
    </row>
    <row r="54" spans="1:2" x14ac:dyDescent="0.3">
      <c r="A54" s="8" t="s">
        <v>40</v>
      </c>
      <c r="B54">
        <v>6398.8600000000124</v>
      </c>
    </row>
    <row r="55" spans="1:2" x14ac:dyDescent="0.3">
      <c r="A55" s="8" t="s">
        <v>41</v>
      </c>
      <c r="B55">
        <v>13215.479999999996</v>
      </c>
    </row>
    <row r="56" spans="1:2" x14ac:dyDescent="0.3">
      <c r="A56" s="8" t="s">
        <v>15</v>
      </c>
      <c r="B56">
        <v>15891.639999999976</v>
      </c>
    </row>
    <row r="57" spans="1:2" x14ac:dyDescent="0.3">
      <c r="A57" s="8" t="s">
        <v>31</v>
      </c>
      <c r="B57">
        <v>5719.5600000000022</v>
      </c>
    </row>
    <row r="58" spans="1:2" x14ac:dyDescent="0.3">
      <c r="A58" s="8" t="s">
        <v>32</v>
      </c>
      <c r="B58">
        <v>8164.4200000000119</v>
      </c>
    </row>
    <row r="59" spans="1:2" x14ac:dyDescent="0.3">
      <c r="A59" s="8" t="s">
        <v>33</v>
      </c>
      <c r="B59">
        <v>7617.7600000000057</v>
      </c>
    </row>
    <row r="60" spans="1:2" x14ac:dyDescent="0.3">
      <c r="A60" s="8" t="s">
        <v>34</v>
      </c>
      <c r="B60">
        <v>6915.940000000006</v>
      </c>
    </row>
    <row r="61" spans="1:2" x14ac:dyDescent="0.3">
      <c r="A61" s="8" t="s">
        <v>35</v>
      </c>
      <c r="B61">
        <v>7613.8400000000147</v>
      </c>
    </row>
    <row r="62" spans="1:2" x14ac:dyDescent="0.3">
      <c r="A62" s="8" t="s">
        <v>36</v>
      </c>
      <c r="B62">
        <v>9988.6400000000067</v>
      </c>
    </row>
    <row r="63" spans="1:2" x14ac:dyDescent="0.3">
      <c r="A63" s="8" t="s">
        <v>37</v>
      </c>
      <c r="B63">
        <v>13891.16000000004</v>
      </c>
    </row>
    <row r="64" spans="1:2" x14ac:dyDescent="0.3">
      <c r="A64" s="8" t="s">
        <v>38</v>
      </c>
      <c r="B64">
        <v>8590.5400000000227</v>
      </c>
    </row>
    <row r="65" spans="1:2" x14ac:dyDescent="0.3">
      <c r="A65" s="8" t="s">
        <v>39</v>
      </c>
      <c r="B65">
        <v>8237.740000000018</v>
      </c>
    </row>
    <row r="66" spans="1:2" x14ac:dyDescent="0.3">
      <c r="A66" s="8" t="s">
        <v>67</v>
      </c>
      <c r="B66">
        <v>112245.58000000009</v>
      </c>
    </row>
    <row r="68" spans="1:2" x14ac:dyDescent="0.3">
      <c r="A68" s="7" t="s">
        <v>66</v>
      </c>
      <c r="B68" t="s">
        <v>69</v>
      </c>
    </row>
    <row r="69" spans="1:2" x14ac:dyDescent="0.3">
      <c r="A69" s="8" t="s">
        <v>11</v>
      </c>
      <c r="B69">
        <v>3547</v>
      </c>
    </row>
    <row r="70" spans="1:2" x14ac:dyDescent="0.3">
      <c r="A70" s="8" t="s">
        <v>67</v>
      </c>
      <c r="B70">
        <v>3547</v>
      </c>
    </row>
    <row r="76" spans="1:2" x14ac:dyDescent="0.3">
      <c r="A76" s="7" t="s">
        <v>66</v>
      </c>
      <c r="B76" t="s">
        <v>69</v>
      </c>
    </row>
    <row r="77" spans="1:2" x14ac:dyDescent="0.3">
      <c r="A77" s="8" t="s">
        <v>18</v>
      </c>
      <c r="B77">
        <v>564</v>
      </c>
    </row>
    <row r="78" spans="1:2" x14ac:dyDescent="0.3">
      <c r="A78" s="8" t="s">
        <v>19</v>
      </c>
      <c r="B78">
        <v>809</v>
      </c>
    </row>
    <row r="79" spans="1:2" x14ac:dyDescent="0.3">
      <c r="A79" s="8" t="s">
        <v>29</v>
      </c>
      <c r="B79">
        <v>486</v>
      </c>
    </row>
    <row r="80" spans="1:2" x14ac:dyDescent="0.3">
      <c r="A80" s="8" t="s">
        <v>21</v>
      </c>
      <c r="B80">
        <v>239</v>
      </c>
    </row>
    <row r="81" spans="1:2" x14ac:dyDescent="0.3">
      <c r="A81" s="8" t="s">
        <v>24</v>
      </c>
      <c r="B81">
        <v>287</v>
      </c>
    </row>
    <row r="82" spans="1:2" x14ac:dyDescent="0.3">
      <c r="A82" s="8" t="s">
        <v>26</v>
      </c>
      <c r="B82">
        <v>129</v>
      </c>
    </row>
    <row r="83" spans="1:2" x14ac:dyDescent="0.3">
      <c r="A83" s="8" t="s">
        <v>16</v>
      </c>
      <c r="B83">
        <v>276</v>
      </c>
    </row>
    <row r="84" spans="1:2" x14ac:dyDescent="0.3">
      <c r="A84" s="8" t="s">
        <v>12</v>
      </c>
      <c r="B84">
        <v>757</v>
      </c>
    </row>
    <row r="85" spans="1:2" x14ac:dyDescent="0.3">
      <c r="A85" s="8" t="s">
        <v>67</v>
      </c>
      <c r="B85">
        <v>3547</v>
      </c>
    </row>
    <row r="91" spans="1:2" x14ac:dyDescent="0.3">
      <c r="A91" s="7" t="s">
        <v>66</v>
      </c>
      <c r="B91" t="s">
        <v>70</v>
      </c>
    </row>
    <row r="92" spans="1:2" x14ac:dyDescent="0.3">
      <c r="A92" s="8" t="s">
        <v>18</v>
      </c>
      <c r="B92">
        <v>564</v>
      </c>
    </row>
    <row r="93" spans="1:2" x14ac:dyDescent="0.3">
      <c r="A93" s="8" t="s">
        <v>19</v>
      </c>
      <c r="B93">
        <v>809</v>
      </c>
    </row>
    <row r="94" spans="1:2" x14ac:dyDescent="0.3">
      <c r="A94" s="8" t="s">
        <v>29</v>
      </c>
      <c r="B94">
        <v>486</v>
      </c>
    </row>
    <row r="95" spans="1:2" x14ac:dyDescent="0.3">
      <c r="A95" s="8" t="s">
        <v>21</v>
      </c>
      <c r="B95">
        <v>239</v>
      </c>
    </row>
    <row r="96" spans="1:2" x14ac:dyDescent="0.3">
      <c r="A96" s="8" t="s">
        <v>24</v>
      </c>
      <c r="B96">
        <v>287</v>
      </c>
    </row>
    <row r="97" spans="1:2" x14ac:dyDescent="0.3">
      <c r="A97" s="8" t="s">
        <v>26</v>
      </c>
      <c r="B97">
        <v>129</v>
      </c>
    </row>
    <row r="98" spans="1:2" x14ac:dyDescent="0.3">
      <c r="A98" s="8" t="s">
        <v>16</v>
      </c>
      <c r="B98">
        <v>276</v>
      </c>
    </row>
    <row r="99" spans="1:2" x14ac:dyDescent="0.3">
      <c r="A99" s="8" t="s">
        <v>12</v>
      </c>
      <c r="B99">
        <v>757</v>
      </c>
    </row>
    <row r="100" spans="1:2" x14ac:dyDescent="0.3">
      <c r="A100" s="8" t="s">
        <v>67</v>
      </c>
      <c r="B100">
        <v>3547</v>
      </c>
    </row>
    <row r="105" spans="1:2" x14ac:dyDescent="0.3">
      <c r="A105" s="7" t="s">
        <v>66</v>
      </c>
      <c r="B105" t="s">
        <v>68</v>
      </c>
    </row>
    <row r="106" spans="1:2" x14ac:dyDescent="0.3">
      <c r="A106" s="8" t="s">
        <v>71</v>
      </c>
      <c r="B106">
        <v>82644.79999999865</v>
      </c>
    </row>
    <row r="107" spans="1:2" x14ac:dyDescent="0.3">
      <c r="A107" s="8" t="s">
        <v>72</v>
      </c>
      <c r="B107">
        <v>29600.779999999606</v>
      </c>
    </row>
    <row r="108" spans="1:2" x14ac:dyDescent="0.3">
      <c r="A108" s="8" t="s">
        <v>67</v>
      </c>
      <c r="B108">
        <v>112245.57999999826</v>
      </c>
    </row>
    <row r="114" spans="1:2" x14ac:dyDescent="0.3">
      <c r="A114" s="7" t="s">
        <v>66</v>
      </c>
      <c r="B114" t="s">
        <v>68</v>
      </c>
    </row>
    <row r="115" spans="1:2" x14ac:dyDescent="0.3">
      <c r="A115" s="8">
        <v>6</v>
      </c>
      <c r="B115">
        <v>149.4</v>
      </c>
    </row>
    <row r="116" spans="1:2" x14ac:dyDescent="0.3">
      <c r="A116" s="9" t="s">
        <v>13</v>
      </c>
      <c r="B116">
        <v>149.4</v>
      </c>
    </row>
    <row r="117" spans="1:2" x14ac:dyDescent="0.3">
      <c r="A117" s="8">
        <v>7</v>
      </c>
      <c r="B117">
        <v>2846.0200000000032</v>
      </c>
    </row>
    <row r="118" spans="1:2" x14ac:dyDescent="0.3">
      <c r="A118" s="9" t="s">
        <v>13</v>
      </c>
      <c r="B118">
        <v>2846.0200000000032</v>
      </c>
    </row>
    <row r="119" spans="1:2" x14ac:dyDescent="0.3">
      <c r="A119" s="8">
        <v>8</v>
      </c>
      <c r="B119">
        <v>7017.8800000000074</v>
      </c>
    </row>
    <row r="120" spans="1:2" x14ac:dyDescent="0.3">
      <c r="A120" s="9" t="s">
        <v>13</v>
      </c>
      <c r="B120">
        <v>7017.8800000000074</v>
      </c>
    </row>
    <row r="121" spans="1:2" x14ac:dyDescent="0.3">
      <c r="A121" s="8">
        <v>9</v>
      </c>
      <c r="B121">
        <v>7264.2800000000052</v>
      </c>
    </row>
    <row r="122" spans="1:2" x14ac:dyDescent="0.3">
      <c r="A122" s="9" t="s">
        <v>13</v>
      </c>
      <c r="B122">
        <v>7264.2800000000052</v>
      </c>
    </row>
    <row r="123" spans="1:2" x14ac:dyDescent="0.3">
      <c r="A123" s="8">
        <v>10</v>
      </c>
      <c r="B123">
        <v>10198.519999999991</v>
      </c>
    </row>
    <row r="124" spans="1:2" x14ac:dyDescent="0.3">
      <c r="A124" s="9" t="s">
        <v>13</v>
      </c>
      <c r="B124">
        <v>10198.519999999991</v>
      </c>
    </row>
    <row r="125" spans="1:2" x14ac:dyDescent="0.3">
      <c r="A125" s="8">
        <v>11</v>
      </c>
      <c r="B125">
        <v>8453.1000000000076</v>
      </c>
    </row>
    <row r="126" spans="1:2" x14ac:dyDescent="0.3">
      <c r="A126" s="9" t="s">
        <v>13</v>
      </c>
      <c r="B126">
        <v>8453.1000000000076</v>
      </c>
    </row>
    <row r="127" spans="1:2" x14ac:dyDescent="0.3">
      <c r="A127" s="8">
        <v>12</v>
      </c>
      <c r="B127">
        <v>7419.6200000000117</v>
      </c>
    </row>
    <row r="128" spans="1:2" x14ac:dyDescent="0.3">
      <c r="A128" s="9" t="s">
        <v>17</v>
      </c>
      <c r="B128">
        <v>7419.6200000000117</v>
      </c>
    </row>
    <row r="129" spans="1:2" x14ac:dyDescent="0.3">
      <c r="A129" s="8">
        <v>13</v>
      </c>
      <c r="B129">
        <v>7028.760000000013</v>
      </c>
    </row>
    <row r="130" spans="1:2" x14ac:dyDescent="0.3">
      <c r="A130" s="9" t="s">
        <v>17</v>
      </c>
      <c r="B130">
        <v>7028.760000000013</v>
      </c>
    </row>
    <row r="131" spans="1:2" x14ac:dyDescent="0.3">
      <c r="A131" s="8">
        <v>14</v>
      </c>
      <c r="B131">
        <v>7173.8000000000175</v>
      </c>
    </row>
    <row r="132" spans="1:2" x14ac:dyDescent="0.3">
      <c r="A132" s="9" t="s">
        <v>17</v>
      </c>
      <c r="B132">
        <v>7173.8000000000175</v>
      </c>
    </row>
    <row r="133" spans="1:2" x14ac:dyDescent="0.3">
      <c r="A133" s="8">
        <v>15</v>
      </c>
      <c r="B133">
        <v>7476.0200000000195</v>
      </c>
    </row>
    <row r="134" spans="1:2" x14ac:dyDescent="0.3">
      <c r="A134" s="9" t="s">
        <v>17</v>
      </c>
      <c r="B134">
        <v>7476.0200000000195</v>
      </c>
    </row>
    <row r="135" spans="1:2" x14ac:dyDescent="0.3">
      <c r="A135" s="8">
        <v>16</v>
      </c>
      <c r="B135">
        <v>9031.8400000000238</v>
      </c>
    </row>
    <row r="136" spans="1:2" x14ac:dyDescent="0.3">
      <c r="A136" s="9" t="s">
        <v>17</v>
      </c>
      <c r="B136">
        <v>9031.8400000000238</v>
      </c>
    </row>
    <row r="137" spans="1:2" x14ac:dyDescent="0.3">
      <c r="A137" s="8">
        <v>17</v>
      </c>
      <c r="B137">
        <v>7659.760000000013</v>
      </c>
    </row>
    <row r="138" spans="1:2" x14ac:dyDescent="0.3">
      <c r="A138" s="9" t="s">
        <v>20</v>
      </c>
      <c r="B138">
        <v>7659.760000000013</v>
      </c>
    </row>
    <row r="139" spans="1:2" x14ac:dyDescent="0.3">
      <c r="A139" s="8">
        <v>18</v>
      </c>
      <c r="B139">
        <v>7162.6000000000176</v>
      </c>
    </row>
    <row r="140" spans="1:2" x14ac:dyDescent="0.3">
      <c r="A140" s="9" t="s">
        <v>20</v>
      </c>
      <c r="B140">
        <v>7162.6000000000176</v>
      </c>
    </row>
    <row r="141" spans="1:2" x14ac:dyDescent="0.3">
      <c r="A141" s="8">
        <v>19</v>
      </c>
      <c r="B141">
        <v>7751.9600000000155</v>
      </c>
    </row>
    <row r="142" spans="1:2" x14ac:dyDescent="0.3">
      <c r="A142" s="9" t="s">
        <v>20</v>
      </c>
      <c r="B142">
        <v>7751.9600000000155</v>
      </c>
    </row>
    <row r="143" spans="1:2" x14ac:dyDescent="0.3">
      <c r="A143" s="8">
        <v>20</v>
      </c>
      <c r="B143">
        <v>5578.9200000000155</v>
      </c>
    </row>
    <row r="144" spans="1:2" x14ac:dyDescent="0.3">
      <c r="A144" s="9" t="s">
        <v>20</v>
      </c>
      <c r="B144">
        <v>5578.9200000000155</v>
      </c>
    </row>
    <row r="145" spans="1:2" x14ac:dyDescent="0.3">
      <c r="A145" s="8">
        <v>21</v>
      </c>
      <c r="B145">
        <v>6397.9400000000169</v>
      </c>
    </row>
    <row r="146" spans="1:2" x14ac:dyDescent="0.3">
      <c r="A146" s="9" t="s">
        <v>20</v>
      </c>
      <c r="B146">
        <v>6397.9400000000169</v>
      </c>
    </row>
    <row r="147" spans="1:2" x14ac:dyDescent="0.3">
      <c r="A147" s="8">
        <v>22</v>
      </c>
      <c r="B147">
        <v>3635.160000000008</v>
      </c>
    </row>
    <row r="148" spans="1:2" x14ac:dyDescent="0.3">
      <c r="A148" s="9" t="s">
        <v>20</v>
      </c>
      <c r="B148">
        <v>3635.160000000008</v>
      </c>
    </row>
    <row r="149" spans="1:2" x14ac:dyDescent="0.3">
      <c r="A149" s="8" t="s">
        <v>67</v>
      </c>
      <c r="B149">
        <v>112245.58000000018</v>
      </c>
    </row>
  </sheetData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Coffe_sales</vt:lpstr>
      <vt:lpstr>Sheet7</vt:lpstr>
      <vt:lpstr>Sheet2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HP</dc:creator>
  <cp:lastModifiedBy>Akilesh Varadhan</cp:lastModifiedBy>
  <cp:lastPrinted>2026-08-10T08:36:38Z</cp:lastPrinted>
  <dcterms:created xsi:type="dcterms:W3CDTF">2026-08-10T04:08:24Z</dcterms:created>
  <dcterms:modified xsi:type="dcterms:W3CDTF">2026-08-11T03:27:58Z</dcterms:modified>
</cp:coreProperties>
</file>